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Description" sheetId="1" state="visible" r:id="rId2"/>
    <sheet name="Standalone" sheetId="2" state="visible" r:id="rId3"/>
    <sheet name="Chained" sheetId="3" state="visible" r:id="rId4"/>
    <sheet name="Float Colum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<sst xmlns="http://schemas.openxmlformats.org/spreadsheetml/2006/main" count="408" uniqueCount="113">
  <si>
    <t xml:space="preserve">Replay store compression benchmarks</t>
  </si>
  <si>
    <t xml:space="preserve">Every figure below was measured through the real SQL query path, not by calling the stores directly.</t>
  </si>
  <si>
    <t xml:space="preserve">Dataset</t>
  </si>
  <si>
    <t xml:space="preserve">dataset</t>
  </si>
  <si>
    <t xml:space="preserve">debs_wind_turbines</t>
  </si>
  <si>
    <t xml:space="preserve">source_file</t>
  </si>
  <si>
    <t xml:space="preserve">large/debs/WIND_TURBINES_TOPIC_5M.csv</t>
  </si>
  <si>
    <t xml:space="preserve">csv_bytes</t>
  </si>
  <si>
    <t xml:space="preserve">rows</t>
  </si>
  <si>
    <t xml:space="preserve">columns</t>
  </si>
  <si>
    <t xml:space="preserve">stored_row_width_bytes</t>
  </si>
  <si>
    <t xml:space="preserve">stored_bytes_total</t>
  </si>
  <si>
    <t xml:space="preserve">truncated</t>
  </si>
  <si>
    <t xml:space="preserve">no - the whole shipped file</t>
  </si>
  <si>
    <t xml:space="preserve">timestamp_sorted</t>
  </si>
  <si>
    <t xml:space="preserve">True</t>
  </si>
  <si>
    <t xml:space="preserve">timestamp_distinct_deltas</t>
  </si>
  <si>
    <t xml:space="preserve">timestamp_delta_pattern</t>
  </si>
  <si>
    <t xml:space="preserve">0x133334; 60000x66666</t>
  </si>
  <si>
    <t xml:space="preserve">timestamp_range</t>
  </si>
  <si>
    <t xml:space="preserve">1000000000000 .. 1003999960000</t>
  </si>
  <si>
    <t xml:space="preserve">Columns</t>
  </si>
  <si>
    <t xml:space="preserve">column</t>
  </si>
  <si>
    <t xml:space="preserve">sql_type</t>
  </si>
  <si>
    <t xml:space="preserve">payload_bytes</t>
  </si>
  <si>
    <t xml:space="preserve">null_indicator_bytes</t>
  </si>
  <si>
    <t xml:space="preserve">stored_bytes_per_value</t>
  </si>
  <si>
    <t xml:space="preserve">distinct_values</t>
  </si>
  <si>
    <t xml:space="preserve">distinct_pct</t>
  </si>
  <si>
    <t xml:space="preserve">min</t>
  </si>
  <si>
    <t xml:space="preserve">max</t>
  </si>
  <si>
    <t xml:space="preserve">decimal_places</t>
  </si>
  <si>
    <t xml:space="preserve">quantisable_by_accuracy_bound</t>
  </si>
  <si>
    <t xml:space="preserve">example</t>
  </si>
  <si>
    <t xml:space="preserve">producerId</t>
  </si>
  <si>
    <t xml:space="preserve">INT32</t>
  </si>
  <si>
    <t xml:space="preserve">no</t>
  </si>
  <si>
    <t xml:space="preserve">groupId</t>
  </si>
  <si>
    <t xml:space="preserve">producedPower</t>
  </si>
  <si>
    <t xml:space="preserve">FLOAT64</t>
  </si>
  <si>
    <t xml:space="preserve">1:19865/2:180136</t>
  </si>
  <si>
    <t xml:space="preserve">yes</t>
  </si>
  <si>
    <t xml:space="preserve">timestamp</t>
  </si>
  <si>
    <t xml:space="preserve">UINT64</t>
  </si>
  <si>
    <t xml:space="preserve">What the measured columns mean</t>
  </si>
  <si>
    <t xml:space="preserve">bytes_in</t>
  </si>
  <si>
    <t xml:space="preserve">rows x stored row width. Fixed by the schema, so it is the control, not a measurement.</t>
  </si>
  <si>
    <t xml:space="preserve">data_out</t>
  </si>
  <si>
    <t xml:space="preserve">the encoded data alone, every byte of framing removed -- what the codec produced.</t>
  </si>
  <si>
    <t xml:space="preserve">disk_bytes</t>
  </si>
  <si>
    <t xml:space="preserve">the file size. For a chain, every tier's files added together.</t>
  </si>
  <si>
    <t xml:space="preserve">framing_bytes</t>
  </si>
  <si>
    <t xml:space="preserve">disk_bytes - data_out: file headers, preallocated tables, per-unit descriptors.</t>
  </si>
  <si>
    <t xml:space="preserve">framing_ratio</t>
  </si>
  <si>
    <t xml:space="preserve">framing_bytes / disk_bytes.</t>
  </si>
  <si>
    <t xml:space="preserve">ratio_on_data</t>
  </si>
  <si>
    <t xml:space="preserve">bytes_in / data_out. Compares codecs without format overhead in the way.</t>
  </si>
  <si>
    <t xml:space="preserve">ratio_on_disk</t>
  </si>
  <si>
    <t xml:space="preserve">bytes_in / disk_bytes. What the data actually costs to keep.</t>
  </si>
  <si>
    <t xml:space="preserve">encode_s</t>
  </si>
  <si>
    <t xml:space="preserve">wall time of the write query, median of the repeats.</t>
  </si>
  <si>
    <t xml:space="preserve">decode_s</t>
  </si>
  <si>
    <t xml:space="preserve">wall time of the read-back query, median of the repeats.</t>
  </si>
  <si>
    <t xml:space="preserve">unit_kb</t>
  </si>
  <si>
    <t xml:space="preserve">the granule each tier seals on: FileStore segment, LossyStore group, CompressedStore segment.</t>
  </si>
  <si>
    <t xml:space="preserve">MemoryStore</t>
  </si>
  <si>
    <t xml:space="preserve">holds rows in TupleBuffers and writes no file, so disk_bytes is 0 while data_out is not.</t>
  </si>
  <si>
    <t xml:space="preserve">green figures</t>
  </si>
  <si>
    <t xml:space="preserve">formulas computed by the sheet; black figures are measurements.</t>
  </si>
  <si>
    <t xml:space="preserve">Caveats that affect how these read</t>
  </si>
  <si>
    <t xml:space="preserve">decode_s measures the unit size against a FIXED 4 KB read buffer, not the unit size alone. CompressedStore re-decompresses a whole segment per read() call, so a 1 MB segment is decompressed 257 times to fill 4 KB buffers. Given a larger destination it decodes in 0.47 s.</t>
  </si>
  <si>
    <t xml:space="preserve">LossyStore's size is not monotonic in unit size on this dataset. The timestamp column uses ForBitpack, its bit width tracks the group's span, and this data's period-3 delta pattern aligns to a byte boundary only at certain widths. It is an artifact of this data's regularity, so the 16 KB result should not be read as a recommendation.</t>
  </si>
  <si>
    <t xml:space="preserve">Wind turbine data is unusually compressible: 2 distinct timestamp deltas, 40% repeated floats. Treat its ratios as a best case.</t>
  </si>
  <si>
    <t xml:space="preserve">In a CHAIN the unit size is min(segmentSize, flush threshold). HISTORY OF '1MB' drains MemoryStore every 1 MB, so FileStore never accumulates more than that and a segment larger than 1 MB cannot fill. The 1024 and 4096 chained rows are therefore the SAME configuration -- 6 units each, identical bytes. Standalone has no flush policy and does reach 4 MB units, 2 of them.</t>
  </si>
  <si>
    <t xml:space="preserve">LossyStore's groupSize is ignored in a chain: it seals one group per incoming segment, so its group is FileStore's segment. Sweeping all three sizes together is the only shape that moves every tier's unit at once.</t>
  </si>
  <si>
    <t xml:space="preserve">store_order</t>
  </si>
  <si>
    <t xml:space="preserve">bound_pct</t>
  </si>
  <si>
    <t xml:space="preserve">filestore_segment_kb</t>
  </si>
  <si>
    <t xml:space="preserve">lossystore_group_kb</t>
  </si>
  <si>
    <t xml:space="preserve">compressedstore_segment_kb</t>
  </si>
  <si>
    <t xml:space="preserve">flush_threshold</t>
  </si>
  <si>
    <t xml:space="preserve">row_width_bytes</t>
  </si>
  <si>
    <t xml:space="preserve">units</t>
  </si>
  <si>
    <t xml:space="preserve">runs</t>
  </si>
  <si>
    <t xml:space="preserve">CompressedStore</t>
  </si>
  <si>
    <t xml:space="preserve">1MB</t>
  </si>
  <si>
    <t xml:space="preserve">LossyStore</t>
  </si>
  <si>
    <t xml:space="preserve">FileStore</t>
  </si>
  <si>
    <t xml:space="preserve">MemoryStore_data</t>
  </si>
  <si>
    <t xml:space="preserve">MemoryStore_disk</t>
  </si>
  <si>
    <t xml:space="preserve">FileStore_data</t>
  </si>
  <si>
    <t xml:space="preserve">FileStore_disk</t>
  </si>
  <si>
    <t xml:space="preserve">CompressedStore_data</t>
  </si>
  <si>
    <t xml:space="preserve">CompressedStore_disk</t>
  </si>
  <si>
    <t xml:space="preserve">LossyStore_data</t>
  </si>
  <si>
    <t xml:space="preserve">LossyStore_disk</t>
  </si>
  <si>
    <t xml:space="preserve">MemoryStore-&gt;FileStore-&gt;CompressedStore</t>
  </si>
  <si>
    <t xml:space="preserve">MemoryStore-&gt;FileStore-&gt;LossyStore</t>
  </si>
  <si>
    <t xml:space="preserve">type</t>
  </si>
  <si>
    <t xml:space="preserve">is_quantisable</t>
  </si>
  <si>
    <t xml:space="preserve">groups</t>
  </si>
  <si>
    <t xml:space="preserve">bytes</t>
  </si>
  <si>
    <t xml:space="preserve">bytes_per_row</t>
  </si>
  <si>
    <t xml:space="preserve">vs_lossless_bytes</t>
  </si>
  <si>
    <t xml:space="preserve">vs_lossless_pct</t>
  </si>
  <si>
    <t xml:space="preserve">codec</t>
  </si>
  <si>
    <t xml:space="preserve">worst_recorded_error</t>
  </si>
  <si>
    <t xml:space="preserve">bound_as_fraction</t>
  </si>
  <si>
    <t xml:space="preserve">error_within_bound</t>
  </si>
  <si>
    <t xml:space="preserve">ForBitpack</t>
  </si>
  <si>
    <t xml:space="preserve">Raw</t>
  </si>
  <si>
    <t xml:space="preserve">ts</t>
  </si>
  <si>
    <t xml:space="preserve">Quantized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</si>
</sst>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0.00%"/>
    <numFmt numFmtId="168" formatCode="0.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</font>
    <font>
      <i val="true"/>
      <sz val="10"/>
      <color rgb="FF555555"/>
      <name val="Arial"/>
      <family val="0"/>
    </font>
    <font>
      <b val="true"/>
      <sz val="10"/>
      <name val="Arial"/>
      <family val="0"/>
    </font>
    <font>
      <b val="true"/>
      <sz val="10"/>
      <color rgb="FFFFFFFF"/>
      <name val="Arial"/>
      <family val="0"/>
    </font>
    <font>
      <sz val="10"/>
      <color rgb="FF1F6F3D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2F5496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2" min="1" style="0" width="24.65"/>
  </cols>
  <sheetData>
    <row r="1" customFormat="false" ht="17.3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3" t="s">
        <v>2</v>
      </c>
      <c r="B4" s="3"/>
    </row>
    <row r="5" customFormat="false" ht="12.8" hidden="false" customHeight="false" outlineLevel="0" collapsed="false">
      <c r="A5" s="4" t="s">
        <v>3</v>
      </c>
      <c r="B5" s="4" t="s">
        <v>4</v>
      </c>
    </row>
    <row r="6" customFormat="false" ht="12.8" hidden="false" customHeight="false" outlineLevel="0" collapsed="false">
      <c r="A6" s="4" t="s">
        <v>5</v>
      </c>
      <c r="B6" s="4" t="s">
        <v>6</v>
      </c>
    </row>
    <row r="7" customFormat="false" ht="12.8" hidden="false" customHeight="false" outlineLevel="0" collapsed="false">
      <c r="A7" s="4" t="s">
        <v>7</v>
      </c>
      <c r="B7" s="5" t="n">
        <v>5278962</v>
      </c>
    </row>
    <row r="8" customFormat="false" ht="12.8" hidden="false" customHeight="false" outlineLevel="0" collapsed="false">
      <c r="A8" s="4" t="s">
        <v>8</v>
      </c>
      <c r="B8" s="5" t="n">
        <v>200001</v>
      </c>
    </row>
    <row r="9" customFormat="false" ht="12.8" hidden="false" customHeight="false" outlineLevel="0" collapsed="false">
      <c r="A9" s="4" t="s">
        <v>9</v>
      </c>
      <c r="B9" s="5" t="n">
        <v>4</v>
      </c>
    </row>
    <row r="10" customFormat="false" ht="12.8" hidden="false" customHeight="false" outlineLevel="0" collapsed="false">
      <c r="A10" s="4" t="s">
        <v>10</v>
      </c>
      <c r="B10" s="5" t="n">
        <v>28</v>
      </c>
    </row>
    <row r="11" customFormat="false" ht="12.8" hidden="false" customHeight="false" outlineLevel="0" collapsed="false">
      <c r="A11" s="4" t="s">
        <v>11</v>
      </c>
      <c r="B11" s="5" t="n">
        <v>5600028</v>
      </c>
    </row>
    <row r="12" customFormat="false" ht="12.8" hidden="false" customHeight="false" outlineLevel="0" collapsed="false">
      <c r="A12" s="4" t="s">
        <v>12</v>
      </c>
      <c r="B12" s="4" t="s">
        <v>13</v>
      </c>
    </row>
    <row r="13" customFormat="false" ht="12.8" hidden="false" customHeight="false" outlineLevel="0" collapsed="false">
      <c r="A13" s="4" t="s">
        <v>14</v>
      </c>
      <c r="B13" s="4" t="s">
        <v>15</v>
      </c>
    </row>
    <row r="14" customFormat="false" ht="12.8" hidden="false" customHeight="false" outlineLevel="0" collapsed="false">
      <c r="A14" s="4" t="s">
        <v>16</v>
      </c>
      <c r="B14" s="5" t="n">
        <v>2</v>
      </c>
    </row>
    <row r="15" customFormat="false" ht="12.8" hidden="false" customHeight="false" outlineLevel="0" collapsed="false">
      <c r="A15" s="4" t="s">
        <v>17</v>
      </c>
      <c r="B15" s="4" t="s">
        <v>18</v>
      </c>
    </row>
    <row r="16" customFormat="false" ht="12.8" hidden="false" customHeight="false" outlineLevel="0" collapsed="false">
      <c r="A16" s="4" t="s">
        <v>19</v>
      </c>
      <c r="B16" s="4" t="s">
        <v>20</v>
      </c>
    </row>
    <row r="18" customFormat="false" ht="12.8" hidden="false" customHeight="false" outlineLevel="0" collapsed="false">
      <c r="A18" s="3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23.85" hidden="false" customHeight="false" outlineLevel="0" collapsed="false">
      <c r="A19" s="6" t="s">
        <v>3</v>
      </c>
      <c r="B19" s="6" t="s">
        <v>22</v>
      </c>
      <c r="C19" s="6" t="s">
        <v>23</v>
      </c>
      <c r="D19" s="6" t="s">
        <v>24</v>
      </c>
      <c r="E19" s="6" t="s">
        <v>25</v>
      </c>
      <c r="F19" s="6" t="s">
        <v>26</v>
      </c>
      <c r="G19" s="6" t="s">
        <v>27</v>
      </c>
      <c r="H19" s="6" t="s">
        <v>28</v>
      </c>
      <c r="I19" s="6" t="s">
        <v>29</v>
      </c>
      <c r="J19" s="6" t="s">
        <v>30</v>
      </c>
      <c r="K19" s="6" t="s">
        <v>31</v>
      </c>
      <c r="L19" s="6" t="s">
        <v>32</v>
      </c>
      <c r="M19" s="6" t="s">
        <v>33</v>
      </c>
    </row>
    <row r="20" customFormat="false" ht="12.8" hidden="false" customHeight="false" outlineLevel="0" collapsed="false">
      <c r="A20" s="4" t="s">
        <v>4</v>
      </c>
      <c r="B20" s="4" t="s">
        <v>34</v>
      </c>
      <c r="C20" s="4" t="s">
        <v>35</v>
      </c>
      <c r="D20" s="5" t="n">
        <v>4</v>
      </c>
      <c r="E20" s="5" t="n">
        <v>1</v>
      </c>
      <c r="F20" s="5" t="n">
        <v>5</v>
      </c>
      <c r="G20" s="5" t="n">
        <v>26</v>
      </c>
      <c r="H20" s="5" t="n">
        <v>0.01</v>
      </c>
      <c r="I20" s="5" t="n">
        <v>0</v>
      </c>
      <c r="J20" s="5" t="n">
        <v>25</v>
      </c>
      <c r="K20" s="4"/>
      <c r="L20" s="4" t="s">
        <v>36</v>
      </c>
      <c r="M20" s="5" t="n">
        <v>6</v>
      </c>
    </row>
    <row r="21" customFormat="false" ht="12.8" hidden="false" customHeight="false" outlineLevel="0" collapsed="false">
      <c r="A21" s="4" t="s">
        <v>4</v>
      </c>
      <c r="B21" s="4" t="s">
        <v>37</v>
      </c>
      <c r="C21" s="4" t="s">
        <v>35</v>
      </c>
      <c r="D21" s="5" t="n">
        <v>4</v>
      </c>
      <c r="E21" s="5" t="n">
        <v>1</v>
      </c>
      <c r="F21" s="5" t="n">
        <v>5</v>
      </c>
      <c r="G21" s="5" t="n">
        <v>4</v>
      </c>
      <c r="H21" s="5" t="n">
        <v>0</v>
      </c>
      <c r="I21" s="5" t="n">
        <v>0</v>
      </c>
      <c r="J21" s="5" t="n">
        <v>3</v>
      </c>
      <c r="K21" s="4"/>
      <c r="L21" s="4" t="s">
        <v>36</v>
      </c>
      <c r="M21" s="5" t="n">
        <v>1</v>
      </c>
    </row>
    <row r="22" customFormat="false" ht="12.8" hidden="false" customHeight="false" outlineLevel="0" collapsed="false">
      <c r="A22" s="4" t="s">
        <v>4</v>
      </c>
      <c r="B22" s="4" t="s">
        <v>38</v>
      </c>
      <c r="C22" s="4" t="s">
        <v>39</v>
      </c>
      <c r="D22" s="5" t="n">
        <v>8</v>
      </c>
      <c r="E22" s="5" t="n">
        <v>1</v>
      </c>
      <c r="F22" s="5" t="n">
        <v>9</v>
      </c>
      <c r="G22" s="5" t="n">
        <v>80200</v>
      </c>
      <c r="H22" s="5" t="n">
        <v>40.1</v>
      </c>
      <c r="I22" s="5" t="n">
        <v>0.01</v>
      </c>
      <c r="J22" s="5" t="n">
        <v>900</v>
      </c>
      <c r="K22" s="4" t="s">
        <v>40</v>
      </c>
      <c r="L22" s="4" t="s">
        <v>41</v>
      </c>
      <c r="M22" s="5" t="n">
        <v>725.07</v>
      </c>
    </row>
    <row r="23" customFormat="false" ht="12.8" hidden="false" customHeight="false" outlineLevel="0" collapsed="false">
      <c r="A23" s="4" t="s">
        <v>4</v>
      </c>
      <c r="B23" s="4" t="s">
        <v>42</v>
      </c>
      <c r="C23" s="4" t="s">
        <v>43</v>
      </c>
      <c r="D23" s="5" t="n">
        <v>8</v>
      </c>
      <c r="E23" s="5" t="n">
        <v>1</v>
      </c>
      <c r="F23" s="5" t="n">
        <v>9</v>
      </c>
      <c r="G23" s="5" t="n">
        <v>66667</v>
      </c>
      <c r="H23" s="5" t="n">
        <v>33.33</v>
      </c>
      <c r="I23" s="5" t="n">
        <v>1000000000000</v>
      </c>
      <c r="J23" s="5" t="n">
        <v>1004000000000</v>
      </c>
      <c r="K23" s="4"/>
      <c r="L23" s="4" t="s">
        <v>36</v>
      </c>
      <c r="M23" s="5" t="n">
        <v>1000000000000</v>
      </c>
    </row>
    <row r="25" customFormat="false" ht="12.8" hidden="false" customHeight="false" outlineLevel="0" collapsed="false">
      <c r="A25" s="3" t="s">
        <v>44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2.8" hidden="false" customHeight="false" outlineLevel="0" collapsed="false">
      <c r="A26" s="4" t="s">
        <v>45</v>
      </c>
      <c r="B26" s="2" t="s">
        <v>46</v>
      </c>
    </row>
    <row r="27" customFormat="false" ht="12.8" hidden="false" customHeight="false" outlineLevel="0" collapsed="false">
      <c r="A27" s="4" t="s">
        <v>47</v>
      </c>
      <c r="B27" s="2" t="s">
        <v>48</v>
      </c>
    </row>
    <row r="28" customFormat="false" ht="12.8" hidden="false" customHeight="false" outlineLevel="0" collapsed="false">
      <c r="A28" s="4" t="s">
        <v>49</v>
      </c>
      <c r="B28" s="2" t="s">
        <v>50</v>
      </c>
    </row>
    <row r="29" customFormat="false" ht="12.8" hidden="false" customHeight="false" outlineLevel="0" collapsed="false">
      <c r="A29" s="4" t="s">
        <v>51</v>
      </c>
      <c r="B29" s="2" t="s">
        <v>52</v>
      </c>
    </row>
    <row r="30" customFormat="false" ht="12.8" hidden="false" customHeight="false" outlineLevel="0" collapsed="false">
      <c r="A30" s="4" t="s">
        <v>53</v>
      </c>
      <c r="B30" s="2" t="s">
        <v>54</v>
      </c>
    </row>
    <row r="31" customFormat="false" ht="12.8" hidden="false" customHeight="false" outlineLevel="0" collapsed="false">
      <c r="A31" s="4" t="s">
        <v>55</v>
      </c>
      <c r="B31" s="2" t="s">
        <v>56</v>
      </c>
    </row>
    <row r="32" customFormat="false" ht="12.8" hidden="false" customHeight="false" outlineLevel="0" collapsed="false">
      <c r="A32" s="4" t="s">
        <v>57</v>
      </c>
      <c r="B32" s="2" t="s">
        <v>58</v>
      </c>
    </row>
    <row r="33" customFormat="false" ht="12.8" hidden="false" customHeight="false" outlineLevel="0" collapsed="false">
      <c r="A33" s="4" t="s">
        <v>59</v>
      </c>
      <c r="B33" s="2" t="s">
        <v>60</v>
      </c>
    </row>
    <row r="34" customFormat="false" ht="12.8" hidden="false" customHeight="false" outlineLevel="0" collapsed="false">
      <c r="A34" s="4" t="s">
        <v>61</v>
      </c>
      <c r="B34" s="2" t="s">
        <v>62</v>
      </c>
    </row>
    <row r="35" customFormat="false" ht="12.8" hidden="false" customHeight="false" outlineLevel="0" collapsed="false">
      <c r="A35" s="4" t="s">
        <v>63</v>
      </c>
      <c r="B35" s="2" t="s">
        <v>64</v>
      </c>
    </row>
    <row r="36" customFormat="false" ht="12.8" hidden="false" customHeight="false" outlineLevel="0" collapsed="false">
      <c r="A36" s="4" t="s">
        <v>65</v>
      </c>
      <c r="B36" s="2" t="s">
        <v>66</v>
      </c>
    </row>
    <row r="37" customFormat="false" ht="12.8" hidden="false" customHeight="false" outlineLevel="0" collapsed="false">
      <c r="A37" s="4" t="s">
        <v>67</v>
      </c>
      <c r="B37" s="2" t="s">
        <v>68</v>
      </c>
    </row>
    <row r="39" customFormat="false" ht="12.8" hidden="false" customHeight="false" outlineLevel="0" collapsed="false">
      <c r="A39" s="3" t="s">
        <v>69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2.8" hidden="false" customHeight="false" outlineLevel="0" collapsed="false">
      <c r="A40" s="2" t="s">
        <v>70</v>
      </c>
    </row>
    <row r="41" customFormat="false" ht="12.8" hidden="false" customHeight="false" outlineLevel="0" collapsed="false">
      <c r="A41" s="2" t="s">
        <v>71</v>
      </c>
    </row>
    <row r="42" customFormat="false" ht="12.8" hidden="false" customHeight="false" outlineLevel="0" collapsed="false">
      <c r="A42" s="2" t="s">
        <v>72</v>
      </c>
    </row>
    <row r="43" customFormat="false" ht="12.8" hidden="false" customHeight="false" outlineLevel="0" collapsed="false">
      <c r="A43" s="2" t="s">
        <v>73</v>
      </c>
    </row>
    <row r="44" customFormat="false" ht="12.8" hidden="false" customHeight="false" outlineLevel="0" collapsed="false">
      <c r="A44" s="2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20" min="2" style="0" width="13.62"/>
  </cols>
  <sheetData>
    <row r="1" customFormat="false" ht="35.05" hidden="false" customHeight="false" outlineLevel="0" collapsed="false">
      <c r="A1" s="6" t="s">
        <v>75</v>
      </c>
      <c r="B1" s="6" t="s">
        <v>76</v>
      </c>
      <c r="C1" s="6" t="s">
        <v>63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</v>
      </c>
      <c r="I1" s="6" t="s">
        <v>81</v>
      </c>
      <c r="J1" s="6" t="s">
        <v>45</v>
      </c>
      <c r="K1" s="6" t="s">
        <v>59</v>
      </c>
      <c r="L1" s="6" t="s">
        <v>61</v>
      </c>
      <c r="M1" s="6" t="s">
        <v>47</v>
      </c>
      <c r="N1" s="6" t="s">
        <v>49</v>
      </c>
      <c r="O1" s="6" t="s">
        <v>51</v>
      </c>
      <c r="P1" s="6" t="s">
        <v>53</v>
      </c>
      <c r="Q1" s="6" t="s">
        <v>55</v>
      </c>
      <c r="R1" s="6" t="s">
        <v>57</v>
      </c>
      <c r="S1" s="6" t="s">
        <v>82</v>
      </c>
      <c r="T1" s="6" t="s">
        <v>83</v>
      </c>
    </row>
    <row r="2" customFormat="false" ht="12.8" hidden="false" customHeight="false" outlineLevel="0" collapsed="false">
      <c r="A2" s="4" t="s">
        <v>84</v>
      </c>
      <c r="B2" s="4"/>
      <c r="C2" s="5" t="n">
        <v>16</v>
      </c>
      <c r="D2" s="5" t="n">
        <v>16</v>
      </c>
      <c r="E2" s="5" t="n">
        <v>16</v>
      </c>
      <c r="F2" s="5" t="n">
        <v>16</v>
      </c>
      <c r="G2" s="4" t="s">
        <v>85</v>
      </c>
      <c r="H2" s="5" t="n">
        <v>200001</v>
      </c>
      <c r="I2" s="5" t="n">
        <v>28</v>
      </c>
      <c r="J2" s="7" t="n">
        <f aca="false">H2*I2</f>
        <v>5600028</v>
      </c>
      <c r="K2" s="8" t="n">
        <v>0.6633</v>
      </c>
      <c r="L2" s="8" t="n">
        <v>0.4436</v>
      </c>
      <c r="M2" s="5" t="n">
        <v>1768681</v>
      </c>
      <c r="N2" s="5" t="n">
        <v>1783081</v>
      </c>
      <c r="O2" s="7" t="n">
        <f aca="false">IF(N2=0,0,N2-M2)</f>
        <v>14400</v>
      </c>
      <c r="P2" s="9" t="n">
        <f aca="false">IFERROR(O2/N2,0)</f>
        <v>0.00807590905853408</v>
      </c>
      <c r="Q2" s="10" t="n">
        <f aca="false">IFERROR(J2/M2,0)</f>
        <v>3.16621708493505</v>
      </c>
      <c r="R2" s="10" t="n">
        <f aca="false">IFERROR(J2/N2,0)</f>
        <v>3.14064700369753</v>
      </c>
      <c r="S2" s="5" t="n">
        <v>342</v>
      </c>
      <c r="T2" s="5" t="n">
        <v>3</v>
      </c>
    </row>
    <row r="3" customFormat="false" ht="12.8" hidden="false" customHeight="false" outlineLevel="0" collapsed="false">
      <c r="A3" s="4" t="s">
        <v>86</v>
      </c>
      <c r="B3" s="4"/>
      <c r="C3" s="5" t="n">
        <v>16</v>
      </c>
      <c r="D3" s="5" t="n">
        <v>16</v>
      </c>
      <c r="E3" s="5" t="n">
        <v>16</v>
      </c>
      <c r="F3" s="5" t="n">
        <v>16</v>
      </c>
      <c r="G3" s="4" t="s">
        <v>85</v>
      </c>
      <c r="H3" s="5" t="n">
        <v>200001</v>
      </c>
      <c r="I3" s="5" t="n">
        <v>28</v>
      </c>
      <c r="J3" s="7" t="n">
        <f aca="false">H3*I3</f>
        <v>5600028</v>
      </c>
      <c r="K3" s="8" t="n">
        <v>0.6942</v>
      </c>
      <c r="L3" s="8" t="n">
        <v>0.4582</v>
      </c>
      <c r="M3" s="5" t="n">
        <v>1206685</v>
      </c>
      <c r="N3" s="5" t="n">
        <v>1287775</v>
      </c>
      <c r="O3" s="7" t="n">
        <f aca="false">IF(N3=0,0,N3-M3)</f>
        <v>81090</v>
      </c>
      <c r="P3" s="9" t="n">
        <f aca="false">IFERROR(O3/N3,0)</f>
        <v>0.0629690745665974</v>
      </c>
      <c r="Q3" s="10" t="n">
        <f aca="false">IFERROR(J3/M3,0)</f>
        <v>4.640836672371</v>
      </c>
      <c r="R3" s="10" t="n">
        <f aca="false">IFERROR(J3/N3,0)</f>
        <v>4.34860748189707</v>
      </c>
      <c r="S3" s="5" t="n">
        <v>342</v>
      </c>
      <c r="T3" s="5" t="n">
        <v>3</v>
      </c>
    </row>
    <row r="4" customFormat="false" ht="12.8" hidden="false" customHeight="false" outlineLevel="0" collapsed="false">
      <c r="A4" s="4" t="s">
        <v>86</v>
      </c>
      <c r="B4" s="11" t="n">
        <v>0.1</v>
      </c>
      <c r="C4" s="5" t="n">
        <v>16</v>
      </c>
      <c r="D4" s="5" t="n">
        <v>16</v>
      </c>
      <c r="E4" s="5" t="n">
        <v>16</v>
      </c>
      <c r="F4" s="5" t="n">
        <v>16</v>
      </c>
      <c r="G4" s="4" t="s">
        <v>85</v>
      </c>
      <c r="H4" s="5" t="n">
        <v>200001</v>
      </c>
      <c r="I4" s="5" t="n">
        <v>28</v>
      </c>
      <c r="J4" s="7" t="n">
        <f aca="false">H4*I4</f>
        <v>5600028</v>
      </c>
      <c r="K4" s="8" t="n">
        <v>0.7128</v>
      </c>
      <c r="L4" s="8" t="n">
        <v>0.4379</v>
      </c>
      <c r="M4" s="5" t="n">
        <v>808854</v>
      </c>
      <c r="N4" s="5" t="n">
        <v>889944</v>
      </c>
      <c r="O4" s="7" t="n">
        <f aca="false">IF(N4=0,0,N4-M4)</f>
        <v>81090</v>
      </c>
      <c r="P4" s="9" t="n">
        <f aca="false">IFERROR(O4/N4,0)</f>
        <v>0.0911180928238181</v>
      </c>
      <c r="Q4" s="10" t="n">
        <f aca="false">IFERROR(J4/M4,0)</f>
        <v>6.9234101580755</v>
      </c>
      <c r="R4" s="10" t="n">
        <f aca="false">IFERROR(J4/N4,0)</f>
        <v>6.29256222863461</v>
      </c>
      <c r="S4" s="5" t="n">
        <v>342</v>
      </c>
      <c r="T4" s="5" t="n">
        <v>3</v>
      </c>
    </row>
    <row r="5" customFormat="false" ht="12.8" hidden="false" customHeight="false" outlineLevel="0" collapsed="false">
      <c r="A5" s="4" t="s">
        <v>86</v>
      </c>
      <c r="B5" s="11" t="n">
        <v>1</v>
      </c>
      <c r="C5" s="5" t="n">
        <v>16</v>
      </c>
      <c r="D5" s="5" t="n">
        <v>16</v>
      </c>
      <c r="E5" s="5" t="n">
        <v>16</v>
      </c>
      <c r="F5" s="5" t="n">
        <v>16</v>
      </c>
      <c r="G5" s="4" t="s">
        <v>85</v>
      </c>
      <c r="H5" s="5" t="n">
        <v>200001</v>
      </c>
      <c r="I5" s="5" t="n">
        <v>28</v>
      </c>
      <c r="J5" s="7" t="n">
        <f aca="false">H5*I5</f>
        <v>5600028</v>
      </c>
      <c r="K5" s="8" t="n">
        <v>0.6768</v>
      </c>
      <c r="L5" s="8" t="n">
        <v>0.4401</v>
      </c>
      <c r="M5" s="5" t="n">
        <v>730085</v>
      </c>
      <c r="N5" s="5" t="n">
        <v>811175</v>
      </c>
      <c r="O5" s="7" t="n">
        <f aca="false">IF(N5=0,0,N5-M5)</f>
        <v>81090</v>
      </c>
      <c r="P5" s="9" t="n">
        <f aca="false">IFERROR(O5/N5,0)</f>
        <v>0.0999660985607298</v>
      </c>
      <c r="Q5" s="10" t="n">
        <f aca="false">IFERROR(J5/M5,0)</f>
        <v>7.67037810665881</v>
      </c>
      <c r="R5" s="10" t="n">
        <f aca="false">IFERROR(J5/N5,0)</f>
        <v>6.9036003328505</v>
      </c>
      <c r="S5" s="5" t="n">
        <v>342</v>
      </c>
      <c r="T5" s="5" t="n">
        <v>3</v>
      </c>
    </row>
    <row r="6" customFormat="false" ht="12.8" hidden="false" customHeight="false" outlineLevel="0" collapsed="false">
      <c r="A6" s="4" t="s">
        <v>86</v>
      </c>
      <c r="B6" s="11" t="n">
        <v>5</v>
      </c>
      <c r="C6" s="5" t="n">
        <v>16</v>
      </c>
      <c r="D6" s="5" t="n">
        <v>16</v>
      </c>
      <c r="E6" s="5" t="n">
        <v>16</v>
      </c>
      <c r="F6" s="5" t="n">
        <v>16</v>
      </c>
      <c r="G6" s="4" t="s">
        <v>85</v>
      </c>
      <c r="H6" s="5" t="n">
        <v>200001</v>
      </c>
      <c r="I6" s="5" t="n">
        <v>28</v>
      </c>
      <c r="J6" s="7" t="n">
        <f aca="false">H6*I6</f>
        <v>5600028</v>
      </c>
      <c r="K6" s="8" t="n">
        <v>0.6939</v>
      </c>
      <c r="L6" s="8" t="n">
        <v>0.4377</v>
      </c>
      <c r="M6" s="5" t="n">
        <v>672699</v>
      </c>
      <c r="N6" s="5" t="n">
        <v>753789</v>
      </c>
      <c r="O6" s="7" t="n">
        <f aca="false">IF(N6=0,0,N6-M6)</f>
        <v>81090</v>
      </c>
      <c r="P6" s="9" t="n">
        <f aca="false">IFERROR(O6/N6,0)</f>
        <v>0.107576523403764</v>
      </c>
      <c r="Q6" s="10" t="n">
        <f aca="false">IFERROR(J6/M6,0)</f>
        <v>8.32471580900224</v>
      </c>
      <c r="R6" s="10" t="n">
        <f aca="false">IFERROR(J6/N6,0)</f>
        <v>7.42917182394543</v>
      </c>
      <c r="S6" s="5" t="n">
        <v>342</v>
      </c>
      <c r="T6" s="5" t="n">
        <v>3</v>
      </c>
    </row>
    <row r="7" customFormat="false" ht="12.8" hidden="false" customHeight="false" outlineLevel="0" collapsed="false">
      <c r="A7" s="4" t="s">
        <v>65</v>
      </c>
      <c r="B7" s="4"/>
      <c r="C7" s="5" t="n">
        <v>16</v>
      </c>
      <c r="D7" s="5" t="n">
        <v>16</v>
      </c>
      <c r="E7" s="5" t="n">
        <v>16</v>
      </c>
      <c r="F7" s="5" t="n">
        <v>16</v>
      </c>
      <c r="G7" s="4" t="s">
        <v>85</v>
      </c>
      <c r="H7" s="5" t="n">
        <v>200001</v>
      </c>
      <c r="I7" s="5" t="n">
        <v>28</v>
      </c>
      <c r="J7" s="7" t="n">
        <f aca="false">H7*I7</f>
        <v>5600028</v>
      </c>
      <c r="K7" s="8" t="n">
        <v>0.64</v>
      </c>
      <c r="L7" s="8" t="n">
        <v>0.4427</v>
      </c>
      <c r="M7" s="5" t="n">
        <v>5600028</v>
      </c>
      <c r="N7" s="5" t="n">
        <v>0</v>
      </c>
      <c r="O7" s="7" t="n">
        <f aca="false">IF(N7=0,0,N7-M7)</f>
        <v>0</v>
      </c>
      <c r="P7" s="9" t="n">
        <f aca="false">IFERROR(O7/N7,0)</f>
        <v>0</v>
      </c>
      <c r="Q7" s="10" t="n">
        <f aca="false">IFERROR(J7/M7,0)</f>
        <v>1</v>
      </c>
      <c r="R7" s="10" t="n">
        <f aca="false">IFERROR(J7/N7,0)</f>
        <v>0</v>
      </c>
      <c r="S7" s="5" t="n">
        <v>0</v>
      </c>
      <c r="T7" s="5" t="n">
        <v>3</v>
      </c>
    </row>
    <row r="8" customFormat="false" ht="12.8" hidden="false" customHeight="false" outlineLevel="0" collapsed="false">
      <c r="A8" s="4" t="s">
        <v>87</v>
      </c>
      <c r="B8" s="4"/>
      <c r="C8" s="5" t="n">
        <v>16</v>
      </c>
      <c r="D8" s="5" t="n">
        <v>16</v>
      </c>
      <c r="E8" s="5" t="n">
        <v>16</v>
      </c>
      <c r="F8" s="5" t="n">
        <v>16</v>
      </c>
      <c r="G8" s="4" t="s">
        <v>85</v>
      </c>
      <c r="H8" s="5" t="n">
        <v>200001</v>
      </c>
      <c r="I8" s="5" t="n">
        <v>28</v>
      </c>
      <c r="J8" s="7" t="n">
        <f aca="false">H8*I8</f>
        <v>5600028</v>
      </c>
      <c r="K8" s="8" t="n">
        <v>0.6478</v>
      </c>
      <c r="L8" s="8" t="n">
        <v>0.4545</v>
      </c>
      <c r="M8" s="5" t="n">
        <v>5600028</v>
      </c>
      <c r="N8" s="5" t="n">
        <v>5621264</v>
      </c>
      <c r="O8" s="7" t="n">
        <f aca="false">IF(N8=0,0,N8-M8)</f>
        <v>21236</v>
      </c>
      <c r="P8" s="9" t="n">
        <f aca="false">IFERROR(O8/N8,0)</f>
        <v>0.00377779801838163</v>
      </c>
      <c r="Q8" s="10" t="n">
        <f aca="false">IFERROR(J8/M8,0)</f>
        <v>1</v>
      </c>
      <c r="R8" s="10" t="n">
        <f aca="false">IFERROR(J8/N8,0)</f>
        <v>0.996222201981618</v>
      </c>
      <c r="S8" s="5" t="n">
        <v>342</v>
      </c>
      <c r="T8" s="5" t="n">
        <v>3</v>
      </c>
    </row>
    <row r="9" customFormat="false" ht="12.8" hidden="false" customHeight="false" outlineLevel="0" collapsed="false">
      <c r="A9" s="4" t="s">
        <v>84</v>
      </c>
      <c r="B9" s="4"/>
      <c r="C9" s="5" t="n">
        <v>64</v>
      </c>
      <c r="D9" s="5" t="n">
        <v>64</v>
      </c>
      <c r="E9" s="5" t="n">
        <v>64</v>
      </c>
      <c r="F9" s="5" t="n">
        <v>64</v>
      </c>
      <c r="G9" s="4" t="s">
        <v>85</v>
      </c>
      <c r="H9" s="5" t="n">
        <v>200001</v>
      </c>
      <c r="I9" s="5" t="n">
        <v>28</v>
      </c>
      <c r="J9" s="7" t="n">
        <f aca="false">H9*I9</f>
        <v>5600028</v>
      </c>
      <c r="K9" s="8" t="n">
        <v>0.7209</v>
      </c>
      <c r="L9" s="8" t="n">
        <v>0.4371</v>
      </c>
      <c r="M9" s="5" t="n">
        <v>1719557</v>
      </c>
      <c r="N9" s="5" t="n">
        <v>1723461</v>
      </c>
      <c r="O9" s="7" t="n">
        <f aca="false">IF(N9=0,0,N9-M9)</f>
        <v>3904</v>
      </c>
      <c r="P9" s="9" t="n">
        <f aca="false">IFERROR(O9/N9,0)</f>
        <v>0.00226520936650148</v>
      </c>
      <c r="Q9" s="10" t="n">
        <f aca="false">IFERROR(J9/M9,0)</f>
        <v>3.25666901417051</v>
      </c>
      <c r="R9" s="10" t="n">
        <f aca="false">IFERROR(J9/N9,0)</f>
        <v>3.24929197701602</v>
      </c>
      <c r="S9" s="5" t="n">
        <v>86</v>
      </c>
      <c r="T9" s="5" t="n">
        <v>3</v>
      </c>
    </row>
    <row r="10" customFormat="false" ht="12.8" hidden="false" customHeight="false" outlineLevel="0" collapsed="false">
      <c r="A10" s="4" t="s">
        <v>86</v>
      </c>
      <c r="B10" s="4"/>
      <c r="C10" s="5" t="n">
        <v>64</v>
      </c>
      <c r="D10" s="5" t="n">
        <v>64</v>
      </c>
      <c r="E10" s="5" t="n">
        <v>64</v>
      </c>
      <c r="F10" s="5" t="n">
        <v>64</v>
      </c>
      <c r="G10" s="4" t="s">
        <v>85</v>
      </c>
      <c r="H10" s="5" t="n">
        <v>200001</v>
      </c>
      <c r="I10" s="5" t="n">
        <v>28</v>
      </c>
      <c r="J10" s="7" t="n">
        <f aca="false">H10*I10</f>
        <v>5600028</v>
      </c>
      <c r="K10" s="8" t="n">
        <v>0.6893</v>
      </c>
      <c r="L10" s="8" t="n">
        <v>0.4762</v>
      </c>
      <c r="M10" s="5" t="n">
        <v>1499024</v>
      </c>
      <c r="N10" s="5" t="n">
        <v>1519698</v>
      </c>
      <c r="O10" s="7" t="n">
        <f aca="false">IF(N10=0,0,N10-M10)</f>
        <v>20674</v>
      </c>
      <c r="P10" s="9" t="n">
        <f aca="false">IFERROR(O10/N10,0)</f>
        <v>0.0136040186931877</v>
      </c>
      <c r="Q10" s="10" t="n">
        <f aca="false">IFERROR(J10/M10,0)</f>
        <v>3.73578274930888</v>
      </c>
      <c r="R10" s="10" t="n">
        <f aca="false">IFERROR(J10/N10,0)</f>
        <v>3.6849610909536</v>
      </c>
      <c r="S10" s="5" t="n">
        <v>86</v>
      </c>
      <c r="T10" s="5" t="n">
        <v>3</v>
      </c>
    </row>
    <row r="11" customFormat="false" ht="12.8" hidden="false" customHeight="false" outlineLevel="0" collapsed="false">
      <c r="A11" s="4" t="s">
        <v>86</v>
      </c>
      <c r="B11" s="11" t="n">
        <v>0.1</v>
      </c>
      <c r="C11" s="5" t="n">
        <v>64</v>
      </c>
      <c r="D11" s="5" t="n">
        <v>64</v>
      </c>
      <c r="E11" s="5" t="n">
        <v>64</v>
      </c>
      <c r="F11" s="5" t="n">
        <v>64</v>
      </c>
      <c r="G11" s="4" t="s">
        <v>85</v>
      </c>
      <c r="H11" s="5" t="n">
        <v>200001</v>
      </c>
      <c r="I11" s="5" t="n">
        <v>28</v>
      </c>
      <c r="J11" s="7" t="n">
        <f aca="false">H11*I11</f>
        <v>5600028</v>
      </c>
      <c r="K11" s="8" t="n">
        <v>0.6673</v>
      </c>
      <c r="L11" s="8" t="n">
        <v>0.4328</v>
      </c>
      <c r="M11" s="5" t="n">
        <v>1136554</v>
      </c>
      <c r="N11" s="5" t="n">
        <v>1157228</v>
      </c>
      <c r="O11" s="7" t="n">
        <f aca="false">IF(N11=0,0,N11-M11)</f>
        <v>20674</v>
      </c>
      <c r="P11" s="9" t="n">
        <f aca="false">IFERROR(O11/N11,0)</f>
        <v>0.0178651052342321</v>
      </c>
      <c r="Q11" s="10" t="n">
        <f aca="false">IFERROR(J11/M11,0)</f>
        <v>4.92719923558406</v>
      </c>
      <c r="R11" s="10" t="n">
        <f aca="false">IFERROR(J11/N11,0)</f>
        <v>4.83917430273032</v>
      </c>
      <c r="S11" s="5" t="n">
        <v>86</v>
      </c>
      <c r="T11" s="5" t="n">
        <v>3</v>
      </c>
    </row>
    <row r="12" customFormat="false" ht="12.8" hidden="false" customHeight="false" outlineLevel="0" collapsed="false">
      <c r="A12" s="4" t="s">
        <v>86</v>
      </c>
      <c r="B12" s="11" t="n">
        <v>1</v>
      </c>
      <c r="C12" s="5" t="n">
        <v>64</v>
      </c>
      <c r="D12" s="5" t="n">
        <v>64</v>
      </c>
      <c r="E12" s="5" t="n">
        <v>64</v>
      </c>
      <c r="F12" s="5" t="n">
        <v>64</v>
      </c>
      <c r="G12" s="4" t="s">
        <v>85</v>
      </c>
      <c r="H12" s="5" t="n">
        <v>200001</v>
      </c>
      <c r="I12" s="5" t="n">
        <v>28</v>
      </c>
      <c r="J12" s="7" t="n">
        <f aca="false">H12*I12</f>
        <v>5600028</v>
      </c>
      <c r="K12" s="8" t="n">
        <v>0.7025</v>
      </c>
      <c r="L12" s="8" t="n">
        <v>0.4397</v>
      </c>
      <c r="M12" s="5" t="n">
        <v>1053788</v>
      </c>
      <c r="N12" s="5" t="n">
        <v>1074462</v>
      </c>
      <c r="O12" s="7" t="n">
        <f aca="false">IF(N12=0,0,N12-M12)</f>
        <v>20674</v>
      </c>
      <c r="P12" s="9" t="n">
        <f aca="false">IFERROR(O12/N12,0)</f>
        <v>0.0192412574851414</v>
      </c>
      <c r="Q12" s="10" t="n">
        <f aca="false">IFERROR(J12/M12,0)</f>
        <v>5.31418843258796</v>
      </c>
      <c r="R12" s="10" t="n">
        <f aca="false">IFERROR(J12/N12,0)</f>
        <v>5.21193676463197</v>
      </c>
      <c r="S12" s="5" t="n">
        <v>86</v>
      </c>
      <c r="T12" s="5" t="n">
        <v>3</v>
      </c>
    </row>
    <row r="13" customFormat="false" ht="12.8" hidden="false" customHeight="false" outlineLevel="0" collapsed="false">
      <c r="A13" s="4" t="s">
        <v>86</v>
      </c>
      <c r="B13" s="11" t="n">
        <v>5</v>
      </c>
      <c r="C13" s="5" t="n">
        <v>64</v>
      </c>
      <c r="D13" s="5" t="n">
        <v>64</v>
      </c>
      <c r="E13" s="5" t="n">
        <v>64</v>
      </c>
      <c r="F13" s="5" t="n">
        <v>64</v>
      </c>
      <c r="G13" s="4" t="s">
        <v>85</v>
      </c>
      <c r="H13" s="5" t="n">
        <v>200001</v>
      </c>
      <c r="I13" s="5" t="n">
        <v>28</v>
      </c>
      <c r="J13" s="7" t="n">
        <f aca="false">H13*I13</f>
        <v>5600028</v>
      </c>
      <c r="K13" s="8" t="n">
        <v>0.695</v>
      </c>
      <c r="L13" s="8" t="n">
        <v>0.4472</v>
      </c>
      <c r="M13" s="5" t="n">
        <v>1000058</v>
      </c>
      <c r="N13" s="5" t="n">
        <v>1020732</v>
      </c>
      <c r="O13" s="7" t="n">
        <f aca="false">IF(N13=0,0,N13-M13)</f>
        <v>20674</v>
      </c>
      <c r="P13" s="9" t="n">
        <f aca="false">IFERROR(O13/N13,0)</f>
        <v>0.0202540921613117</v>
      </c>
      <c r="Q13" s="10" t="n">
        <f aca="false">IFERROR(J13/M13,0)</f>
        <v>5.5997032172134</v>
      </c>
      <c r="R13" s="10" t="n">
        <f aca="false">IFERROR(J13/N13,0)</f>
        <v>5.48628631217597</v>
      </c>
      <c r="S13" s="5" t="n">
        <v>86</v>
      </c>
      <c r="T13" s="5" t="n">
        <v>3</v>
      </c>
    </row>
    <row r="14" customFormat="false" ht="12.8" hidden="false" customHeight="false" outlineLevel="0" collapsed="false">
      <c r="A14" s="4" t="s">
        <v>65</v>
      </c>
      <c r="B14" s="4"/>
      <c r="C14" s="5" t="n">
        <v>64</v>
      </c>
      <c r="D14" s="5" t="n">
        <v>64</v>
      </c>
      <c r="E14" s="5" t="n">
        <v>64</v>
      </c>
      <c r="F14" s="5" t="n">
        <v>64</v>
      </c>
      <c r="G14" s="4" t="s">
        <v>85</v>
      </c>
      <c r="H14" s="5" t="n">
        <v>200001</v>
      </c>
      <c r="I14" s="5" t="n">
        <v>28</v>
      </c>
      <c r="J14" s="7" t="n">
        <f aca="false">H14*I14</f>
        <v>5600028</v>
      </c>
      <c r="K14" s="8" t="n">
        <v>0.6394</v>
      </c>
      <c r="L14" s="8" t="n">
        <v>0.4397</v>
      </c>
      <c r="M14" s="5" t="n">
        <v>5600028</v>
      </c>
      <c r="N14" s="5" t="n">
        <v>0</v>
      </c>
      <c r="O14" s="7" t="n">
        <f aca="false">IF(N14=0,0,N14-M14)</f>
        <v>0</v>
      </c>
      <c r="P14" s="9" t="n">
        <f aca="false">IFERROR(O14/N14,0)</f>
        <v>0</v>
      </c>
      <c r="Q14" s="10" t="n">
        <f aca="false">IFERROR(J14/M14,0)</f>
        <v>1</v>
      </c>
      <c r="R14" s="10" t="n">
        <f aca="false">IFERROR(J14/N14,0)</f>
        <v>0</v>
      </c>
      <c r="S14" s="5" t="n">
        <v>0</v>
      </c>
      <c r="T14" s="5" t="n">
        <v>3</v>
      </c>
    </row>
    <row r="15" customFormat="false" ht="12.8" hidden="false" customHeight="false" outlineLevel="0" collapsed="false">
      <c r="A15" s="4" t="s">
        <v>87</v>
      </c>
      <c r="B15" s="4"/>
      <c r="C15" s="5" t="n">
        <v>64</v>
      </c>
      <c r="D15" s="5" t="n">
        <v>64</v>
      </c>
      <c r="E15" s="5" t="n">
        <v>64</v>
      </c>
      <c r="F15" s="5" t="n">
        <v>64</v>
      </c>
      <c r="G15" s="4" t="s">
        <v>85</v>
      </c>
      <c r="H15" s="5" t="n">
        <v>200001</v>
      </c>
      <c r="I15" s="5" t="n">
        <v>28</v>
      </c>
      <c r="J15" s="7" t="n">
        <f aca="false">H15*I15</f>
        <v>5600028</v>
      </c>
      <c r="K15" s="8" t="n">
        <v>0.6674</v>
      </c>
      <c r="L15" s="8" t="n">
        <v>0.45</v>
      </c>
      <c r="M15" s="5" t="n">
        <v>5600028</v>
      </c>
      <c r="N15" s="5" t="n">
        <v>5605904</v>
      </c>
      <c r="O15" s="7" t="n">
        <f aca="false">IF(N15=0,0,N15-M15)</f>
        <v>5876</v>
      </c>
      <c r="P15" s="9" t="n">
        <f aca="false">IFERROR(O15/N15,0)</f>
        <v>0.00104818063241896</v>
      </c>
      <c r="Q15" s="10" t="n">
        <f aca="false">IFERROR(J15/M15,0)</f>
        <v>1</v>
      </c>
      <c r="R15" s="10" t="n">
        <f aca="false">IFERROR(J15/N15,0)</f>
        <v>0.998951819367581</v>
      </c>
      <c r="S15" s="5" t="n">
        <v>86</v>
      </c>
      <c r="T15" s="5" t="n">
        <v>3</v>
      </c>
    </row>
    <row r="16" customFormat="false" ht="12.8" hidden="false" customHeight="false" outlineLevel="0" collapsed="false">
      <c r="A16" s="4" t="s">
        <v>84</v>
      </c>
      <c r="B16" s="4"/>
      <c r="C16" s="5" t="n">
        <v>256</v>
      </c>
      <c r="D16" s="5" t="n">
        <v>256</v>
      </c>
      <c r="E16" s="5" t="n">
        <v>256</v>
      </c>
      <c r="F16" s="5" t="n">
        <v>256</v>
      </c>
      <c r="G16" s="4" t="s">
        <v>85</v>
      </c>
      <c r="H16" s="5" t="n">
        <v>200001</v>
      </c>
      <c r="I16" s="5" t="n">
        <v>28</v>
      </c>
      <c r="J16" s="7" t="n">
        <f aca="false">H16*I16</f>
        <v>5600028</v>
      </c>
      <c r="K16" s="8" t="n">
        <v>0.6871</v>
      </c>
      <c r="L16" s="8" t="n">
        <v>0.511</v>
      </c>
      <c r="M16" s="5" t="n">
        <v>1713493</v>
      </c>
      <c r="N16" s="5" t="n">
        <v>1714773</v>
      </c>
      <c r="O16" s="7" t="n">
        <f aca="false">IF(N16=0,0,N16-M16)</f>
        <v>1280</v>
      </c>
      <c r="P16" s="9" t="n">
        <f aca="false">IFERROR(O16/N16,0)</f>
        <v>0.000746454486978743</v>
      </c>
      <c r="Q16" s="10" t="n">
        <f aca="false">IFERROR(J16/M16,0)</f>
        <v>3.2681942674992</v>
      </c>
      <c r="R16" s="10" t="n">
        <f aca="false">IFERROR(J16/N16,0)</f>
        <v>3.2657547092239</v>
      </c>
      <c r="S16" s="5" t="n">
        <v>22</v>
      </c>
      <c r="T16" s="5" t="n">
        <v>3</v>
      </c>
    </row>
    <row r="17" customFormat="false" ht="12.8" hidden="false" customHeight="false" outlineLevel="0" collapsed="false">
      <c r="A17" s="4" t="s">
        <v>86</v>
      </c>
      <c r="B17" s="4"/>
      <c r="C17" s="5" t="n">
        <v>256</v>
      </c>
      <c r="D17" s="5" t="n">
        <v>256</v>
      </c>
      <c r="E17" s="5" t="n">
        <v>256</v>
      </c>
      <c r="F17" s="5" t="n">
        <v>256</v>
      </c>
      <c r="G17" s="4" t="s">
        <v>85</v>
      </c>
      <c r="H17" s="5" t="n">
        <v>200001</v>
      </c>
      <c r="I17" s="5" t="n">
        <v>28</v>
      </c>
      <c r="J17" s="7" t="n">
        <f aca="false">H17*I17</f>
        <v>5600028</v>
      </c>
      <c r="K17" s="8" t="n">
        <v>0.6818</v>
      </c>
      <c r="L17" s="8" t="n">
        <v>0.7358</v>
      </c>
      <c r="M17" s="5" t="n">
        <v>1365416</v>
      </c>
      <c r="N17" s="5" t="n">
        <v>1370986</v>
      </c>
      <c r="O17" s="7" t="n">
        <f aca="false">IF(N17=0,0,N17-M17)</f>
        <v>5570</v>
      </c>
      <c r="P17" s="9" t="n">
        <f aca="false">IFERROR(O17/N17,0)</f>
        <v>0.00406276942288251</v>
      </c>
      <c r="Q17" s="10" t="n">
        <f aca="false">IFERROR(J17/M17,0)</f>
        <v>4.10133468481401</v>
      </c>
      <c r="R17" s="10" t="n">
        <f aca="false">IFERROR(J17/N17,0)</f>
        <v>4.08467190766354</v>
      </c>
      <c r="S17" s="5" t="n">
        <v>22</v>
      </c>
      <c r="T17" s="5" t="n">
        <v>3</v>
      </c>
    </row>
    <row r="18" customFormat="false" ht="12.8" hidden="false" customHeight="false" outlineLevel="0" collapsed="false">
      <c r="A18" s="4" t="s">
        <v>86</v>
      </c>
      <c r="B18" s="11" t="n">
        <v>0.1</v>
      </c>
      <c r="C18" s="5" t="n">
        <v>256</v>
      </c>
      <c r="D18" s="5" t="n">
        <v>256</v>
      </c>
      <c r="E18" s="5" t="n">
        <v>256</v>
      </c>
      <c r="F18" s="5" t="n">
        <v>256</v>
      </c>
      <c r="G18" s="4" t="s">
        <v>85</v>
      </c>
      <c r="H18" s="5" t="n">
        <v>200001</v>
      </c>
      <c r="I18" s="5" t="n">
        <v>28</v>
      </c>
      <c r="J18" s="7" t="n">
        <f aca="false">H18*I18</f>
        <v>5600028</v>
      </c>
      <c r="K18" s="8" t="n">
        <v>0.6735</v>
      </c>
      <c r="L18" s="8" t="n">
        <v>0.7887</v>
      </c>
      <c r="M18" s="5" t="n">
        <v>1018407</v>
      </c>
      <c r="N18" s="5" t="n">
        <v>1023977</v>
      </c>
      <c r="O18" s="7" t="n">
        <f aca="false">IF(N18=0,0,N18-M18)</f>
        <v>5570</v>
      </c>
      <c r="P18" s="9" t="n">
        <f aca="false">IFERROR(O18/N18,0)</f>
        <v>0.00543957530296091</v>
      </c>
      <c r="Q18" s="10" t="n">
        <f aca="false">IFERROR(J18/M18,0)</f>
        <v>5.49881137894771</v>
      </c>
      <c r="R18" s="10" t="n">
        <f aca="false">IFERROR(J18/N18,0)</f>
        <v>5.46890018037515</v>
      </c>
      <c r="S18" s="5" t="n">
        <v>22</v>
      </c>
      <c r="T18" s="5" t="n">
        <v>3</v>
      </c>
    </row>
    <row r="19" customFormat="false" ht="12.8" hidden="false" customHeight="false" outlineLevel="0" collapsed="false">
      <c r="A19" s="4" t="s">
        <v>86</v>
      </c>
      <c r="B19" s="11" t="n">
        <v>1</v>
      </c>
      <c r="C19" s="5" t="n">
        <v>256</v>
      </c>
      <c r="D19" s="5" t="n">
        <v>256</v>
      </c>
      <c r="E19" s="5" t="n">
        <v>256</v>
      </c>
      <c r="F19" s="5" t="n">
        <v>256</v>
      </c>
      <c r="G19" s="4" t="s">
        <v>85</v>
      </c>
      <c r="H19" s="5" t="n">
        <v>200001</v>
      </c>
      <c r="I19" s="5" t="n">
        <v>28</v>
      </c>
      <c r="J19" s="7" t="n">
        <f aca="false">H19*I19</f>
        <v>5600028</v>
      </c>
      <c r="K19" s="8" t="n">
        <v>0.6893</v>
      </c>
      <c r="L19" s="8" t="n">
        <v>0.7246</v>
      </c>
      <c r="M19" s="5" t="n">
        <v>920140</v>
      </c>
      <c r="N19" s="5" t="n">
        <v>925710</v>
      </c>
      <c r="O19" s="7" t="n">
        <f aca="false">IF(N19=0,0,N19-M19)</f>
        <v>5570</v>
      </c>
      <c r="P19" s="9" t="n">
        <f aca="false">IFERROR(O19/N19,0)</f>
        <v>0.00601700316513811</v>
      </c>
      <c r="Q19" s="10" t="n">
        <f aca="false">IFERROR(J19/M19,0)</f>
        <v>6.08606081683222</v>
      </c>
      <c r="R19" s="10" t="n">
        <f aca="false">IFERROR(J19/N19,0)</f>
        <v>6.04944096963412</v>
      </c>
      <c r="S19" s="5" t="n">
        <v>22</v>
      </c>
      <c r="T19" s="5" t="n">
        <v>3</v>
      </c>
    </row>
    <row r="20" customFormat="false" ht="12.8" hidden="false" customHeight="false" outlineLevel="0" collapsed="false">
      <c r="A20" s="4" t="s">
        <v>86</v>
      </c>
      <c r="B20" s="11" t="n">
        <v>5</v>
      </c>
      <c r="C20" s="5" t="n">
        <v>256</v>
      </c>
      <c r="D20" s="5" t="n">
        <v>256</v>
      </c>
      <c r="E20" s="5" t="n">
        <v>256</v>
      </c>
      <c r="F20" s="5" t="n">
        <v>256</v>
      </c>
      <c r="G20" s="4" t="s">
        <v>85</v>
      </c>
      <c r="H20" s="5" t="n">
        <v>200001</v>
      </c>
      <c r="I20" s="5" t="n">
        <v>28</v>
      </c>
      <c r="J20" s="7" t="n">
        <f aca="false">H20*I20</f>
        <v>5600028</v>
      </c>
      <c r="K20" s="8" t="n">
        <v>0.6698</v>
      </c>
      <c r="L20" s="8" t="n">
        <v>0.7615</v>
      </c>
      <c r="M20" s="5" t="n">
        <v>861047</v>
      </c>
      <c r="N20" s="5" t="n">
        <v>866617</v>
      </c>
      <c r="O20" s="7" t="n">
        <f aca="false">IF(N20=0,0,N20-M20)</f>
        <v>5570</v>
      </c>
      <c r="P20" s="9" t="n">
        <f aca="false">IFERROR(O20/N20,0)</f>
        <v>0.00642729141016158</v>
      </c>
      <c r="Q20" s="10" t="n">
        <f aca="false">IFERROR(J20/M20,0)</f>
        <v>6.50374253670241</v>
      </c>
      <c r="R20" s="10" t="n">
        <f aca="false">IFERROR(J20/N20,0)</f>
        <v>6.46194108816236</v>
      </c>
      <c r="S20" s="5" t="n">
        <v>22</v>
      </c>
      <c r="T20" s="5" t="n">
        <v>3</v>
      </c>
    </row>
    <row r="21" customFormat="false" ht="12.8" hidden="false" customHeight="false" outlineLevel="0" collapsed="false">
      <c r="A21" s="4" t="s">
        <v>65</v>
      </c>
      <c r="B21" s="4"/>
      <c r="C21" s="5" t="n">
        <v>256</v>
      </c>
      <c r="D21" s="5" t="n">
        <v>256</v>
      </c>
      <c r="E21" s="5" t="n">
        <v>256</v>
      </c>
      <c r="F21" s="5" t="n">
        <v>256</v>
      </c>
      <c r="G21" s="4" t="s">
        <v>85</v>
      </c>
      <c r="H21" s="5" t="n">
        <v>200001</v>
      </c>
      <c r="I21" s="5" t="n">
        <v>28</v>
      </c>
      <c r="J21" s="7" t="n">
        <f aca="false">H21*I21</f>
        <v>5600028</v>
      </c>
      <c r="K21" s="8" t="n">
        <v>0.6812</v>
      </c>
      <c r="L21" s="8" t="n">
        <v>0.4624</v>
      </c>
      <c r="M21" s="5" t="n">
        <v>5600028</v>
      </c>
      <c r="N21" s="5" t="n">
        <v>0</v>
      </c>
      <c r="O21" s="7" t="n">
        <f aca="false">IF(N21=0,0,N21-M21)</f>
        <v>0</v>
      </c>
      <c r="P21" s="9" t="n">
        <f aca="false">IFERROR(O21/N21,0)</f>
        <v>0</v>
      </c>
      <c r="Q21" s="10" t="n">
        <f aca="false">IFERROR(J21/M21,0)</f>
        <v>1</v>
      </c>
      <c r="R21" s="10" t="n">
        <f aca="false">IFERROR(J21/N21,0)</f>
        <v>0</v>
      </c>
      <c r="S21" s="5" t="n">
        <v>0</v>
      </c>
      <c r="T21" s="5" t="n">
        <v>3</v>
      </c>
    </row>
    <row r="22" customFormat="false" ht="12.8" hidden="false" customHeight="false" outlineLevel="0" collapsed="false">
      <c r="A22" s="4" t="s">
        <v>87</v>
      </c>
      <c r="B22" s="4"/>
      <c r="C22" s="5" t="n">
        <v>256</v>
      </c>
      <c r="D22" s="5" t="n">
        <v>256</v>
      </c>
      <c r="E22" s="5" t="n">
        <v>256</v>
      </c>
      <c r="F22" s="5" t="n">
        <v>256</v>
      </c>
      <c r="G22" s="4" t="s">
        <v>85</v>
      </c>
      <c r="H22" s="5" t="n">
        <v>200001</v>
      </c>
      <c r="I22" s="5" t="n">
        <v>28</v>
      </c>
      <c r="J22" s="7" t="n">
        <f aca="false">H22*I22</f>
        <v>5600028</v>
      </c>
      <c r="K22" s="8" t="n">
        <v>0.6824</v>
      </c>
      <c r="L22" s="8" t="n">
        <v>0.4525</v>
      </c>
      <c r="M22" s="5" t="n">
        <v>5600028</v>
      </c>
      <c r="N22" s="5" t="n">
        <v>5602064</v>
      </c>
      <c r="O22" s="7" t="n">
        <f aca="false">IF(N22=0,0,N22-M22)</f>
        <v>2036</v>
      </c>
      <c r="P22" s="9" t="n">
        <f aca="false">IFERROR(O22/N22,0)</f>
        <v>0.000363437475901739</v>
      </c>
      <c r="Q22" s="10" t="n">
        <f aca="false">IFERROR(J22/M22,0)</f>
        <v>1</v>
      </c>
      <c r="R22" s="10" t="n">
        <f aca="false">IFERROR(J22/N22,0)</f>
        <v>0.999636562524098</v>
      </c>
      <c r="S22" s="5" t="n">
        <v>22</v>
      </c>
      <c r="T22" s="5" t="n">
        <v>3</v>
      </c>
    </row>
    <row r="23" customFormat="false" ht="12.8" hidden="false" customHeight="false" outlineLevel="0" collapsed="false">
      <c r="A23" s="4" t="s">
        <v>84</v>
      </c>
      <c r="B23" s="4"/>
      <c r="C23" s="5" t="n">
        <v>1024</v>
      </c>
      <c r="D23" s="5" t="n">
        <v>1024</v>
      </c>
      <c r="E23" s="5" t="n">
        <v>1024</v>
      </c>
      <c r="F23" s="5" t="n">
        <v>1024</v>
      </c>
      <c r="G23" s="4" t="s">
        <v>85</v>
      </c>
      <c r="H23" s="5" t="n">
        <v>200001</v>
      </c>
      <c r="I23" s="5" t="n">
        <v>28</v>
      </c>
      <c r="J23" s="7" t="n">
        <f aca="false">H23*I23</f>
        <v>5600028</v>
      </c>
      <c r="K23" s="8" t="n">
        <v>0.655</v>
      </c>
      <c r="L23" s="8" t="n">
        <v>2.0591</v>
      </c>
      <c r="M23" s="5" t="n">
        <v>1714576</v>
      </c>
      <c r="N23" s="5" t="n">
        <v>1715200</v>
      </c>
      <c r="O23" s="7" t="n">
        <f aca="false">IF(N23=0,0,N23-M23)</f>
        <v>624</v>
      </c>
      <c r="P23" s="9" t="n">
        <f aca="false">IFERROR(O23/N23,0)</f>
        <v>0.000363805970149254</v>
      </c>
      <c r="Q23" s="10" t="n">
        <f aca="false">IFERROR(J23/M23,0)</f>
        <v>3.26612993533095</v>
      </c>
      <c r="R23" s="10" t="n">
        <f aca="false">IFERROR(J23/N23,0)</f>
        <v>3.26494169776119</v>
      </c>
      <c r="S23" s="5" t="n">
        <v>6</v>
      </c>
      <c r="T23" s="5" t="n">
        <v>3</v>
      </c>
    </row>
    <row r="24" customFormat="false" ht="12.8" hidden="false" customHeight="false" outlineLevel="0" collapsed="false">
      <c r="A24" s="4" t="s">
        <v>86</v>
      </c>
      <c r="B24" s="4"/>
      <c r="C24" s="5" t="n">
        <v>1024</v>
      </c>
      <c r="D24" s="5" t="n">
        <v>1024</v>
      </c>
      <c r="E24" s="5" t="n">
        <v>1024</v>
      </c>
      <c r="F24" s="5" t="n">
        <v>1024</v>
      </c>
      <c r="G24" s="4" t="s">
        <v>85</v>
      </c>
      <c r="H24" s="5" t="n">
        <v>200001</v>
      </c>
      <c r="I24" s="5" t="n">
        <v>28</v>
      </c>
      <c r="J24" s="7" t="n">
        <f aca="false">H24*I24</f>
        <v>5600028</v>
      </c>
      <c r="K24" s="8" t="n">
        <v>0.714</v>
      </c>
      <c r="L24" s="8" t="n">
        <v>2.7825</v>
      </c>
      <c r="M24" s="5" t="n">
        <v>1560562</v>
      </c>
      <c r="N24" s="5" t="n">
        <v>1562356</v>
      </c>
      <c r="O24" s="7" t="n">
        <f aca="false">IF(N24=0,0,N24-M24)</f>
        <v>1794</v>
      </c>
      <c r="P24" s="9" t="n">
        <f aca="false">IFERROR(O24/N24,0)</f>
        <v>0.00114826582417836</v>
      </c>
      <c r="Q24" s="10" t="n">
        <f aca="false">IFERROR(J24/M24,0)</f>
        <v>3.58846876958429</v>
      </c>
      <c r="R24" s="10" t="n">
        <f aca="false">IFERROR(J24/N24,0)</f>
        <v>3.58434825353505</v>
      </c>
      <c r="S24" s="5" t="n">
        <v>6</v>
      </c>
      <c r="T24" s="5" t="n">
        <v>3</v>
      </c>
    </row>
    <row r="25" customFormat="false" ht="12.8" hidden="false" customHeight="false" outlineLevel="0" collapsed="false">
      <c r="A25" s="4" t="s">
        <v>86</v>
      </c>
      <c r="B25" s="11" t="n">
        <v>0.1</v>
      </c>
      <c r="C25" s="5" t="n">
        <v>1024</v>
      </c>
      <c r="D25" s="5" t="n">
        <v>1024</v>
      </c>
      <c r="E25" s="5" t="n">
        <v>1024</v>
      </c>
      <c r="F25" s="5" t="n">
        <v>1024</v>
      </c>
      <c r="G25" s="4" t="s">
        <v>85</v>
      </c>
      <c r="H25" s="5" t="n">
        <v>200001</v>
      </c>
      <c r="I25" s="5" t="n">
        <v>28</v>
      </c>
      <c r="J25" s="7" t="n">
        <f aca="false">H25*I25</f>
        <v>5600028</v>
      </c>
      <c r="K25" s="8" t="n">
        <v>0.6506</v>
      </c>
      <c r="L25" s="8" t="n">
        <v>2.921</v>
      </c>
      <c r="M25" s="5" t="n">
        <v>1213496</v>
      </c>
      <c r="N25" s="5" t="n">
        <v>1215290</v>
      </c>
      <c r="O25" s="7" t="n">
        <f aca="false">IF(N25=0,0,N25-M25)</f>
        <v>1794</v>
      </c>
      <c r="P25" s="9" t="n">
        <f aca="false">IFERROR(O25/N25,0)</f>
        <v>0.00147619086802327</v>
      </c>
      <c r="Q25" s="10" t="n">
        <f aca="false">IFERROR(J25/M25,0)</f>
        <v>4.61478900630904</v>
      </c>
      <c r="R25" s="10" t="n">
        <f aca="false">IFERROR(J25/N25,0)</f>
        <v>4.60797669692008</v>
      </c>
      <c r="S25" s="5" t="n">
        <v>6</v>
      </c>
      <c r="T25" s="5" t="n">
        <v>3</v>
      </c>
    </row>
    <row r="26" customFormat="false" ht="12.8" hidden="false" customHeight="false" outlineLevel="0" collapsed="false">
      <c r="A26" s="4" t="s">
        <v>86</v>
      </c>
      <c r="B26" s="11" t="n">
        <v>1</v>
      </c>
      <c r="C26" s="5" t="n">
        <v>1024</v>
      </c>
      <c r="D26" s="5" t="n">
        <v>1024</v>
      </c>
      <c r="E26" s="5" t="n">
        <v>1024</v>
      </c>
      <c r="F26" s="5" t="n">
        <v>1024</v>
      </c>
      <c r="G26" s="4" t="s">
        <v>85</v>
      </c>
      <c r="H26" s="5" t="n">
        <v>200001</v>
      </c>
      <c r="I26" s="5" t="n">
        <v>28</v>
      </c>
      <c r="J26" s="7" t="n">
        <f aca="false">H26*I26</f>
        <v>5600028</v>
      </c>
      <c r="K26" s="8" t="n">
        <v>0.7092</v>
      </c>
      <c r="L26" s="8" t="n">
        <v>2.9134</v>
      </c>
      <c r="M26" s="5" t="n">
        <v>1120901</v>
      </c>
      <c r="N26" s="5" t="n">
        <v>1122695</v>
      </c>
      <c r="O26" s="7" t="n">
        <f aca="false">IF(N26=0,0,N26-M26)</f>
        <v>1794</v>
      </c>
      <c r="P26" s="9" t="n">
        <f aca="false">IFERROR(O26/N26,0)</f>
        <v>0.00159794066954961</v>
      </c>
      <c r="Q26" s="10" t="n">
        <f aca="false">IFERROR(J26/M26,0)</f>
        <v>4.99600589168892</v>
      </c>
      <c r="R26" s="10" t="n">
        <f aca="false">IFERROR(J26/N26,0)</f>
        <v>4.98802257068928</v>
      </c>
      <c r="S26" s="5" t="n">
        <v>6</v>
      </c>
      <c r="T26" s="5" t="n">
        <v>3</v>
      </c>
    </row>
    <row r="27" customFormat="false" ht="12.8" hidden="false" customHeight="false" outlineLevel="0" collapsed="false">
      <c r="A27" s="4" t="s">
        <v>86</v>
      </c>
      <c r="B27" s="11" t="n">
        <v>5</v>
      </c>
      <c r="C27" s="5" t="n">
        <v>1024</v>
      </c>
      <c r="D27" s="5" t="n">
        <v>1024</v>
      </c>
      <c r="E27" s="5" t="n">
        <v>1024</v>
      </c>
      <c r="F27" s="5" t="n">
        <v>1024</v>
      </c>
      <c r="G27" s="4" t="s">
        <v>85</v>
      </c>
      <c r="H27" s="5" t="n">
        <v>200001</v>
      </c>
      <c r="I27" s="5" t="n">
        <v>28</v>
      </c>
      <c r="J27" s="7" t="n">
        <f aca="false">H27*I27</f>
        <v>5600028</v>
      </c>
      <c r="K27" s="8" t="n">
        <v>0.6748</v>
      </c>
      <c r="L27" s="8" t="n">
        <v>2.8792</v>
      </c>
      <c r="M27" s="5" t="n">
        <v>1051816</v>
      </c>
      <c r="N27" s="5" t="n">
        <v>1053610</v>
      </c>
      <c r="O27" s="7" t="n">
        <f aca="false">IF(N27=0,0,N27-M27)</f>
        <v>1794</v>
      </c>
      <c r="P27" s="9" t="n">
        <f aca="false">IFERROR(O27/N27,0)</f>
        <v>0.00170271732424711</v>
      </c>
      <c r="Q27" s="10" t="n">
        <f aca="false">IFERROR(J27/M27,0)</f>
        <v>5.32415175277805</v>
      </c>
      <c r="R27" s="10" t="n">
        <f aca="false">IFERROR(J27/N27,0)</f>
        <v>5.31508622735168</v>
      </c>
      <c r="S27" s="5" t="n">
        <v>6</v>
      </c>
      <c r="T27" s="5" t="n">
        <v>3</v>
      </c>
    </row>
    <row r="28" customFormat="false" ht="12.8" hidden="false" customHeight="false" outlineLevel="0" collapsed="false">
      <c r="A28" s="4" t="s">
        <v>65</v>
      </c>
      <c r="B28" s="4"/>
      <c r="C28" s="5" t="n">
        <v>1024</v>
      </c>
      <c r="D28" s="5" t="n">
        <v>1024</v>
      </c>
      <c r="E28" s="5" t="n">
        <v>1024</v>
      </c>
      <c r="F28" s="5" t="n">
        <v>1024</v>
      </c>
      <c r="G28" s="4" t="s">
        <v>85</v>
      </c>
      <c r="H28" s="5" t="n">
        <v>200001</v>
      </c>
      <c r="I28" s="5" t="n">
        <v>28</v>
      </c>
      <c r="J28" s="7" t="n">
        <f aca="false">H28*I28</f>
        <v>5600028</v>
      </c>
      <c r="K28" s="8" t="n">
        <v>0.6501</v>
      </c>
      <c r="L28" s="8" t="n">
        <v>0.4349</v>
      </c>
      <c r="M28" s="5" t="n">
        <v>5600028</v>
      </c>
      <c r="N28" s="5" t="n">
        <v>0</v>
      </c>
      <c r="O28" s="7" t="n">
        <f aca="false">IF(N28=0,0,N28-M28)</f>
        <v>0</v>
      </c>
      <c r="P28" s="9" t="n">
        <f aca="false">IFERROR(O28/N28,0)</f>
        <v>0</v>
      </c>
      <c r="Q28" s="10" t="n">
        <f aca="false">IFERROR(J28/M28,0)</f>
        <v>1</v>
      </c>
      <c r="R28" s="10" t="n">
        <f aca="false">IFERROR(J28/N28,0)</f>
        <v>0</v>
      </c>
      <c r="S28" s="5" t="n">
        <v>0</v>
      </c>
      <c r="T28" s="5" t="n">
        <v>3</v>
      </c>
    </row>
    <row r="29" customFormat="false" ht="12.8" hidden="false" customHeight="false" outlineLevel="0" collapsed="false">
      <c r="A29" s="4" t="s">
        <v>87</v>
      </c>
      <c r="B29" s="4"/>
      <c r="C29" s="5" t="n">
        <v>1024</v>
      </c>
      <c r="D29" s="5" t="n">
        <v>1024</v>
      </c>
      <c r="E29" s="5" t="n">
        <v>1024</v>
      </c>
      <c r="F29" s="5" t="n">
        <v>1024</v>
      </c>
      <c r="G29" s="4" t="s">
        <v>85</v>
      </c>
      <c r="H29" s="5" t="n">
        <v>200001</v>
      </c>
      <c r="I29" s="5" t="n">
        <v>28</v>
      </c>
      <c r="J29" s="7" t="n">
        <f aca="false">H29*I29</f>
        <v>5600028</v>
      </c>
      <c r="K29" s="8" t="n">
        <v>0.669</v>
      </c>
      <c r="L29" s="8" t="n">
        <v>0.419</v>
      </c>
      <c r="M29" s="5" t="n">
        <v>5600028</v>
      </c>
      <c r="N29" s="5" t="n">
        <v>5601104</v>
      </c>
      <c r="O29" s="7" t="n">
        <f aca="false">IF(N29=0,0,N29-M29)</f>
        <v>1076</v>
      </c>
      <c r="P29" s="9" t="n">
        <f aca="false">IFERROR(O29/N29,0)</f>
        <v>0.000192104985017239</v>
      </c>
      <c r="Q29" s="10" t="n">
        <f aca="false">IFERROR(J29/M29,0)</f>
        <v>1</v>
      </c>
      <c r="R29" s="10" t="n">
        <f aca="false">IFERROR(J29/N29,0)</f>
        <v>0.999807895014983</v>
      </c>
      <c r="S29" s="5" t="n">
        <v>6</v>
      </c>
      <c r="T29" s="5" t="n">
        <v>3</v>
      </c>
    </row>
    <row r="30" customFormat="false" ht="12.8" hidden="false" customHeight="false" outlineLevel="0" collapsed="false">
      <c r="A30" s="4" t="s">
        <v>84</v>
      </c>
      <c r="B30" s="4"/>
      <c r="C30" s="5" t="n">
        <v>4096</v>
      </c>
      <c r="D30" s="5" t="n">
        <v>4096</v>
      </c>
      <c r="E30" s="5" t="n">
        <v>4096</v>
      </c>
      <c r="F30" s="5" t="n">
        <v>4096</v>
      </c>
      <c r="G30" s="4" t="s">
        <v>85</v>
      </c>
      <c r="H30" s="5" t="n">
        <v>200001</v>
      </c>
      <c r="I30" s="5" t="n">
        <v>28</v>
      </c>
      <c r="J30" s="7" t="n">
        <f aca="false">H30*I30</f>
        <v>5600028</v>
      </c>
      <c r="K30" s="8" t="n">
        <v>0.6972</v>
      </c>
      <c r="L30" s="8" t="n">
        <v>8.2257</v>
      </c>
      <c r="M30" s="5" t="n">
        <v>1712535</v>
      </c>
      <c r="N30" s="5" t="n">
        <v>1712995</v>
      </c>
      <c r="O30" s="7" t="n">
        <f aca="false">IF(N30=0,0,N30-M30)</f>
        <v>460</v>
      </c>
      <c r="P30" s="9" t="n">
        <f aca="false">IFERROR(O30/N30,0)</f>
        <v>0.000268535518200579</v>
      </c>
      <c r="Q30" s="10" t="n">
        <f aca="false">IFERROR(J30/M30,0)</f>
        <v>3.27002251048884</v>
      </c>
      <c r="R30" s="10" t="n">
        <f aca="false">IFERROR(J30/N30,0)</f>
        <v>3.26914439329946</v>
      </c>
      <c r="S30" s="5" t="n">
        <v>2</v>
      </c>
      <c r="T30" s="5" t="n">
        <v>3</v>
      </c>
    </row>
    <row r="31" customFormat="false" ht="12.8" hidden="false" customHeight="false" outlineLevel="0" collapsed="false">
      <c r="A31" s="4" t="s">
        <v>86</v>
      </c>
      <c r="B31" s="4"/>
      <c r="C31" s="5" t="n">
        <v>4096</v>
      </c>
      <c r="D31" s="5" t="n">
        <v>4096</v>
      </c>
      <c r="E31" s="5" t="n">
        <v>4096</v>
      </c>
      <c r="F31" s="5" t="n">
        <v>4096</v>
      </c>
      <c r="G31" s="4" t="s">
        <v>85</v>
      </c>
      <c r="H31" s="5" t="n">
        <v>200001</v>
      </c>
      <c r="I31" s="5" t="n">
        <v>28</v>
      </c>
      <c r="J31" s="7" t="n">
        <f aca="false">H31*I31</f>
        <v>5600028</v>
      </c>
      <c r="K31" s="8" t="n">
        <v>0.759</v>
      </c>
      <c r="L31" s="8" t="n">
        <v>11.1663</v>
      </c>
      <c r="M31" s="5" t="n">
        <v>1245607</v>
      </c>
      <c r="N31" s="5" t="n">
        <v>1246457</v>
      </c>
      <c r="O31" s="7" t="n">
        <f aca="false">IF(N31=0,0,N31-M31)</f>
        <v>850</v>
      </c>
      <c r="P31" s="9" t="n">
        <f aca="false">IFERROR(O31/N31,0)</f>
        <v>0.000681932870528225</v>
      </c>
      <c r="Q31" s="10" t="n">
        <f aca="false">IFERROR(J31/M31,0)</f>
        <v>4.49582251865958</v>
      </c>
      <c r="R31" s="10" t="n">
        <f aca="false">IFERROR(J31/N31,0)</f>
        <v>4.49275666950404</v>
      </c>
      <c r="S31" s="5" t="n">
        <v>2</v>
      </c>
      <c r="T31" s="5" t="n">
        <v>3</v>
      </c>
    </row>
    <row r="32" customFormat="false" ht="12.8" hidden="false" customHeight="false" outlineLevel="0" collapsed="false">
      <c r="A32" s="4" t="s">
        <v>86</v>
      </c>
      <c r="B32" s="11" t="n">
        <v>0.1</v>
      </c>
      <c r="C32" s="5" t="n">
        <v>4096</v>
      </c>
      <c r="D32" s="5" t="n">
        <v>4096</v>
      </c>
      <c r="E32" s="5" t="n">
        <v>4096</v>
      </c>
      <c r="F32" s="5" t="n">
        <v>4096</v>
      </c>
      <c r="G32" s="4" t="s">
        <v>85</v>
      </c>
      <c r="H32" s="5" t="n">
        <v>200001</v>
      </c>
      <c r="I32" s="5" t="n">
        <v>28</v>
      </c>
      <c r="J32" s="7" t="n">
        <f aca="false">H32*I32</f>
        <v>5600028</v>
      </c>
      <c r="K32" s="8" t="n">
        <v>0.6923</v>
      </c>
      <c r="L32" s="8" t="n">
        <v>11.7327</v>
      </c>
      <c r="M32" s="5" t="n">
        <v>897067</v>
      </c>
      <c r="N32" s="5" t="n">
        <v>897917</v>
      </c>
      <c r="O32" s="7" t="n">
        <f aca="false">IF(N32=0,0,N32-M32)</f>
        <v>850</v>
      </c>
      <c r="P32" s="9" t="n">
        <f aca="false">IFERROR(O32/N32,0)</f>
        <v>0.000946635379439302</v>
      </c>
      <c r="Q32" s="10" t="n">
        <f aca="false">IFERROR(J32/M32,0)</f>
        <v>6.24259726419543</v>
      </c>
      <c r="R32" s="10" t="n">
        <f aca="false">IFERROR(J32/N32,0)</f>
        <v>6.23668780076555</v>
      </c>
      <c r="S32" s="5" t="n">
        <v>2</v>
      </c>
      <c r="T32" s="5" t="n">
        <v>3</v>
      </c>
    </row>
    <row r="33" customFormat="false" ht="12.8" hidden="false" customHeight="false" outlineLevel="0" collapsed="false">
      <c r="A33" s="4" t="s">
        <v>86</v>
      </c>
      <c r="B33" s="11" t="n">
        <v>1</v>
      </c>
      <c r="C33" s="5" t="n">
        <v>4096</v>
      </c>
      <c r="D33" s="5" t="n">
        <v>4096</v>
      </c>
      <c r="E33" s="5" t="n">
        <v>4096</v>
      </c>
      <c r="F33" s="5" t="n">
        <v>4096</v>
      </c>
      <c r="G33" s="4" t="s">
        <v>85</v>
      </c>
      <c r="H33" s="5" t="n">
        <v>200001</v>
      </c>
      <c r="I33" s="5" t="n">
        <v>28</v>
      </c>
      <c r="J33" s="7" t="n">
        <f aca="false">H33*I33</f>
        <v>5600028</v>
      </c>
      <c r="K33" s="8" t="n">
        <v>0.6961</v>
      </c>
      <c r="L33" s="8" t="n">
        <v>13.2803</v>
      </c>
      <c r="M33" s="5" t="n">
        <v>807007</v>
      </c>
      <c r="N33" s="5" t="n">
        <v>807857</v>
      </c>
      <c r="O33" s="7" t="n">
        <f aca="false">IF(N33=0,0,N33-M33)</f>
        <v>850</v>
      </c>
      <c r="P33" s="9" t="n">
        <f aca="false">IFERROR(O33/N33,0)</f>
        <v>0.00105216641063951</v>
      </c>
      <c r="Q33" s="10" t="n">
        <f aca="false">IFERROR(J33/M33,0)</f>
        <v>6.93925579332026</v>
      </c>
      <c r="R33" s="10" t="n">
        <f aca="false">IFERROR(J33/N33,0)</f>
        <v>6.93195454145969</v>
      </c>
      <c r="S33" s="5" t="n">
        <v>2</v>
      </c>
      <c r="T33" s="5" t="n">
        <v>3</v>
      </c>
    </row>
    <row r="34" customFormat="false" ht="12.8" hidden="false" customHeight="false" outlineLevel="0" collapsed="false">
      <c r="A34" s="4" t="s">
        <v>86</v>
      </c>
      <c r="B34" s="11" t="n">
        <v>5</v>
      </c>
      <c r="C34" s="5" t="n">
        <v>4096</v>
      </c>
      <c r="D34" s="5" t="n">
        <v>4096</v>
      </c>
      <c r="E34" s="5" t="n">
        <v>4096</v>
      </c>
      <c r="F34" s="5" t="n">
        <v>4096</v>
      </c>
      <c r="G34" s="4" t="s">
        <v>85</v>
      </c>
      <c r="H34" s="5" t="n">
        <v>200001</v>
      </c>
      <c r="I34" s="5" t="n">
        <v>28</v>
      </c>
      <c r="J34" s="7" t="n">
        <f aca="false">H34*I34</f>
        <v>5600028</v>
      </c>
      <c r="K34" s="8" t="n">
        <v>0.6706</v>
      </c>
      <c r="L34" s="8" t="n">
        <v>11.3372</v>
      </c>
      <c r="M34" s="5" t="n">
        <v>735159</v>
      </c>
      <c r="N34" s="5" t="n">
        <v>736009</v>
      </c>
      <c r="O34" s="7" t="n">
        <f aca="false">IF(N34=0,0,N34-M34)</f>
        <v>850</v>
      </c>
      <c r="P34" s="9" t="n">
        <f aca="false">IFERROR(O34/N34,0)</f>
        <v>0.00115487718220837</v>
      </c>
      <c r="Q34" s="10" t="n">
        <f aca="false">IFERROR(J34/M34,0)</f>
        <v>7.61743786038122</v>
      </c>
      <c r="R34" s="10" t="n">
        <f aca="false">IFERROR(J34/N34,0)</f>
        <v>7.60864065520938</v>
      </c>
      <c r="S34" s="5" t="n">
        <v>2</v>
      </c>
      <c r="T34" s="5" t="n">
        <v>3</v>
      </c>
    </row>
    <row r="35" customFormat="false" ht="12.8" hidden="false" customHeight="false" outlineLevel="0" collapsed="false">
      <c r="A35" s="4" t="s">
        <v>65</v>
      </c>
      <c r="B35" s="4"/>
      <c r="C35" s="5" t="n">
        <v>4096</v>
      </c>
      <c r="D35" s="5" t="n">
        <v>4096</v>
      </c>
      <c r="E35" s="5" t="n">
        <v>4096</v>
      </c>
      <c r="F35" s="5" t="n">
        <v>4096</v>
      </c>
      <c r="G35" s="4" t="s">
        <v>85</v>
      </c>
      <c r="H35" s="5" t="n">
        <v>200001</v>
      </c>
      <c r="I35" s="5" t="n">
        <v>28</v>
      </c>
      <c r="J35" s="7" t="n">
        <f aca="false">H35*I35</f>
        <v>5600028</v>
      </c>
      <c r="K35" s="8" t="n">
        <v>0.6531</v>
      </c>
      <c r="L35" s="8" t="n">
        <v>0.4437</v>
      </c>
      <c r="M35" s="5" t="n">
        <v>5600028</v>
      </c>
      <c r="N35" s="5" t="n">
        <v>0</v>
      </c>
      <c r="O35" s="7" t="n">
        <f aca="false">IF(N35=0,0,N35-M35)</f>
        <v>0</v>
      </c>
      <c r="P35" s="9" t="n">
        <f aca="false">IFERROR(O35/N35,0)</f>
        <v>0</v>
      </c>
      <c r="Q35" s="10" t="n">
        <f aca="false">IFERROR(J35/M35,0)</f>
        <v>1</v>
      </c>
      <c r="R35" s="10" t="n">
        <f aca="false">IFERROR(J35/N35,0)</f>
        <v>0</v>
      </c>
      <c r="S35" s="5" t="n">
        <v>0</v>
      </c>
      <c r="T35" s="5" t="n">
        <v>3</v>
      </c>
    </row>
    <row r="36" customFormat="false" ht="12.8" hidden="false" customHeight="false" outlineLevel="0" collapsed="false">
      <c r="A36" s="4" t="s">
        <v>87</v>
      </c>
      <c r="B36" s="4"/>
      <c r="C36" s="5" t="n">
        <v>4096</v>
      </c>
      <c r="D36" s="5" t="n">
        <v>4096</v>
      </c>
      <c r="E36" s="5" t="n">
        <v>4096</v>
      </c>
      <c r="F36" s="5" t="n">
        <v>4096</v>
      </c>
      <c r="G36" s="4" t="s">
        <v>85</v>
      </c>
      <c r="H36" s="5" t="n">
        <v>200001</v>
      </c>
      <c r="I36" s="5" t="n">
        <v>28</v>
      </c>
      <c r="J36" s="7" t="n">
        <f aca="false">H36*I36</f>
        <v>5600028</v>
      </c>
      <c r="K36" s="8" t="n">
        <v>0.6549</v>
      </c>
      <c r="L36" s="8" t="n">
        <v>0.4573</v>
      </c>
      <c r="M36" s="5" t="n">
        <v>5600028</v>
      </c>
      <c r="N36" s="5" t="n">
        <v>5600864</v>
      </c>
      <c r="O36" s="7" t="n">
        <f aca="false">IF(N36=0,0,N36-M36)</f>
        <v>836</v>
      </c>
      <c r="P36" s="9" t="n">
        <f aca="false">IFERROR(O36/N36,0)</f>
        <v>0.000149262685185714</v>
      </c>
      <c r="Q36" s="10" t="n">
        <f aca="false">IFERROR(J36/M36,0)</f>
        <v>1</v>
      </c>
      <c r="R36" s="10" t="n">
        <f aca="false">IFERROR(J36/N36,0)</f>
        <v>0.999850737314814</v>
      </c>
      <c r="S36" s="5" t="n">
        <v>2</v>
      </c>
      <c r="T36" s="5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28" min="2" style="0" width="13.62"/>
  </cols>
  <sheetData>
    <row r="1" customFormat="false" ht="35.05" hidden="false" customHeight="false" outlineLevel="0" collapsed="false">
      <c r="A1" s="6" t="s">
        <v>75</v>
      </c>
      <c r="B1" s="6" t="s">
        <v>76</v>
      </c>
      <c r="C1" s="6" t="s">
        <v>63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</v>
      </c>
      <c r="I1" s="6" t="s">
        <v>81</v>
      </c>
      <c r="J1" s="6" t="s">
        <v>45</v>
      </c>
      <c r="K1" s="6" t="s">
        <v>59</v>
      </c>
      <c r="L1" s="6" t="s">
        <v>61</v>
      </c>
      <c r="M1" s="6" t="s">
        <v>47</v>
      </c>
      <c r="N1" s="6" t="s">
        <v>49</v>
      </c>
      <c r="O1" s="6" t="s">
        <v>51</v>
      </c>
      <c r="P1" s="6" t="s">
        <v>53</v>
      </c>
      <c r="Q1" s="6" t="s">
        <v>55</v>
      </c>
      <c r="R1" s="6" t="s">
        <v>57</v>
      </c>
      <c r="S1" s="6" t="s">
        <v>82</v>
      </c>
      <c r="T1" s="6" t="s">
        <v>83</v>
      </c>
      <c r="U1" s="6" t="s">
        <v>88</v>
      </c>
      <c r="V1" s="6" t="s">
        <v>89</v>
      </c>
      <c r="W1" s="6" t="s">
        <v>90</v>
      </c>
      <c r="X1" s="6" t="s">
        <v>91</v>
      </c>
      <c r="Y1" s="6" t="s">
        <v>92</v>
      </c>
      <c r="Z1" s="6" t="s">
        <v>93</v>
      </c>
      <c r="AA1" s="6" t="s">
        <v>94</v>
      </c>
      <c r="AB1" s="6" t="s">
        <v>95</v>
      </c>
    </row>
    <row r="2" customFormat="false" ht="12.8" hidden="false" customHeight="false" outlineLevel="0" collapsed="false">
      <c r="A2" s="4" t="s">
        <v>96</v>
      </c>
      <c r="B2" s="4"/>
      <c r="C2" s="5" t="n">
        <v>16</v>
      </c>
      <c r="D2" s="5" t="n">
        <v>16</v>
      </c>
      <c r="E2" s="5" t="n">
        <v>16</v>
      </c>
      <c r="F2" s="5" t="n">
        <v>16</v>
      </c>
      <c r="G2" s="4" t="s">
        <v>85</v>
      </c>
      <c r="H2" s="5" t="n">
        <v>200001</v>
      </c>
      <c r="I2" s="5" t="n">
        <v>28</v>
      </c>
      <c r="J2" s="7" t="n">
        <f aca="false">H2*I2</f>
        <v>5600028</v>
      </c>
      <c r="K2" s="8" t="n">
        <v>0.6889</v>
      </c>
      <c r="L2" s="8" t="n">
        <v>0.4397</v>
      </c>
      <c r="M2" s="5" t="n">
        <v>1755874</v>
      </c>
      <c r="N2" s="5" t="n">
        <v>1778268</v>
      </c>
      <c r="O2" s="7" t="n">
        <f aca="false">IF(N2=0,0,N2-M2)</f>
        <v>22394</v>
      </c>
      <c r="P2" s="9" t="n">
        <f aca="false">IFERROR(O2/N2,0)</f>
        <v>0.0125931524382152</v>
      </c>
      <c r="Q2" s="10" t="n">
        <f aca="false">IFERROR(J2/M2,0)</f>
        <v>3.18931085032297</v>
      </c>
      <c r="R2" s="10" t="n">
        <f aca="false">IFERROR(J2/N2,0)</f>
        <v>3.149147372612</v>
      </c>
      <c r="S2" s="5" t="n">
        <v>278</v>
      </c>
      <c r="T2" s="5" t="n">
        <v>3</v>
      </c>
      <c r="U2" s="4"/>
      <c r="V2" s="4"/>
      <c r="W2" s="5" t="n">
        <v>0</v>
      </c>
      <c r="X2" s="5" t="n">
        <v>10618</v>
      </c>
      <c r="Y2" s="5" t="n">
        <v>1755874</v>
      </c>
      <c r="Z2" s="5" t="n">
        <v>1767650</v>
      </c>
      <c r="AA2" s="4"/>
      <c r="AB2" s="4"/>
    </row>
    <row r="3" customFormat="false" ht="12.8" hidden="false" customHeight="false" outlineLevel="0" collapsed="false">
      <c r="A3" s="4" t="s">
        <v>97</v>
      </c>
      <c r="B3" s="4"/>
      <c r="C3" s="5" t="n">
        <v>16</v>
      </c>
      <c r="D3" s="5" t="n">
        <v>16</v>
      </c>
      <c r="E3" s="5" t="n">
        <v>16</v>
      </c>
      <c r="F3" s="5" t="n">
        <v>16</v>
      </c>
      <c r="G3" s="4" t="s">
        <v>85</v>
      </c>
      <c r="H3" s="5" t="n">
        <v>200001</v>
      </c>
      <c r="I3" s="5" t="n">
        <v>28</v>
      </c>
      <c r="J3" s="7" t="n">
        <f aca="false">H3*I3</f>
        <v>5600028</v>
      </c>
      <c r="K3" s="8" t="n">
        <v>0.7525</v>
      </c>
      <c r="L3" s="8" t="n">
        <v>0.4479</v>
      </c>
      <c r="M3" s="5" t="n">
        <v>1189336</v>
      </c>
      <c r="N3" s="5" t="n">
        <v>1265940</v>
      </c>
      <c r="O3" s="7" t="n">
        <f aca="false">IF(N3=0,0,N3-M3)</f>
        <v>76604</v>
      </c>
      <c r="P3" s="9" t="n">
        <f aca="false">IFERROR(O3/N3,0)</f>
        <v>0.0605115566298561</v>
      </c>
      <c r="Q3" s="10" t="n">
        <f aca="false">IFERROR(J3/M3,0)</f>
        <v>4.70853316472385</v>
      </c>
      <c r="R3" s="10" t="n">
        <f aca="false">IFERROR(J3/N3,0)</f>
        <v>4.4236124934831</v>
      </c>
      <c r="S3" s="5" t="n">
        <v>278</v>
      </c>
      <c r="T3" s="5" t="n">
        <v>3</v>
      </c>
      <c r="U3" s="4"/>
      <c r="V3" s="4"/>
      <c r="W3" s="5" t="n">
        <v>0</v>
      </c>
      <c r="X3" s="5" t="n">
        <v>10618</v>
      </c>
      <c r="Y3" s="4"/>
      <c r="Z3" s="4"/>
      <c r="AA3" s="5" t="n">
        <v>1189336</v>
      </c>
      <c r="AB3" s="5" t="n">
        <v>1255322</v>
      </c>
    </row>
    <row r="4" customFormat="false" ht="12.8" hidden="false" customHeight="false" outlineLevel="0" collapsed="false">
      <c r="A4" s="4" t="s">
        <v>97</v>
      </c>
      <c r="B4" s="11" t="n">
        <v>0.1</v>
      </c>
      <c r="C4" s="5" t="n">
        <v>16</v>
      </c>
      <c r="D4" s="5" t="n">
        <v>16</v>
      </c>
      <c r="E4" s="5" t="n">
        <v>16</v>
      </c>
      <c r="F4" s="5" t="n">
        <v>16</v>
      </c>
      <c r="G4" s="4" t="s">
        <v>85</v>
      </c>
      <c r="H4" s="5" t="n">
        <v>200001</v>
      </c>
      <c r="I4" s="5" t="n">
        <v>28</v>
      </c>
      <c r="J4" s="7" t="n">
        <f aca="false">H4*I4</f>
        <v>5600028</v>
      </c>
      <c r="K4" s="8" t="n">
        <v>0.7108</v>
      </c>
      <c r="L4" s="8" t="n">
        <v>0.4348</v>
      </c>
      <c r="M4" s="5" t="n">
        <v>797909</v>
      </c>
      <c r="N4" s="5" t="n">
        <v>874513</v>
      </c>
      <c r="O4" s="7" t="n">
        <f aca="false">IF(N4=0,0,N4-M4)</f>
        <v>76604</v>
      </c>
      <c r="P4" s="9" t="n">
        <f aca="false">IFERROR(O4/N4,0)</f>
        <v>0.0875961821036394</v>
      </c>
      <c r="Q4" s="10" t="n">
        <f aca="false">IFERROR(J4/M4,0)</f>
        <v>7.01837928886627</v>
      </c>
      <c r="R4" s="10" t="n">
        <f aca="false">IFERROR(J4/N4,0)</f>
        <v>6.40359605860633</v>
      </c>
      <c r="S4" s="5" t="n">
        <v>278</v>
      </c>
      <c r="T4" s="5" t="n">
        <v>3</v>
      </c>
      <c r="U4" s="4"/>
      <c r="V4" s="4"/>
      <c r="W4" s="5" t="n">
        <v>0</v>
      </c>
      <c r="X4" s="5" t="n">
        <v>10618</v>
      </c>
      <c r="Y4" s="4"/>
      <c r="Z4" s="4"/>
      <c r="AA4" s="5" t="n">
        <v>797909</v>
      </c>
      <c r="AB4" s="5" t="n">
        <v>863895</v>
      </c>
    </row>
    <row r="5" customFormat="false" ht="12.8" hidden="false" customHeight="false" outlineLevel="0" collapsed="false">
      <c r="A5" s="4" t="s">
        <v>97</v>
      </c>
      <c r="B5" s="11" t="n">
        <v>1</v>
      </c>
      <c r="C5" s="5" t="n">
        <v>16</v>
      </c>
      <c r="D5" s="5" t="n">
        <v>16</v>
      </c>
      <c r="E5" s="5" t="n">
        <v>16</v>
      </c>
      <c r="F5" s="5" t="n">
        <v>16</v>
      </c>
      <c r="G5" s="4" t="s">
        <v>85</v>
      </c>
      <c r="H5" s="5" t="n">
        <v>200001</v>
      </c>
      <c r="I5" s="5" t="n">
        <v>28</v>
      </c>
      <c r="J5" s="7" t="n">
        <f aca="false">H5*I5</f>
        <v>5600028</v>
      </c>
      <c r="K5" s="8" t="n">
        <v>0.7243</v>
      </c>
      <c r="L5" s="8" t="n">
        <v>0.4313</v>
      </c>
      <c r="M5" s="5" t="n">
        <v>718683</v>
      </c>
      <c r="N5" s="5" t="n">
        <v>795287</v>
      </c>
      <c r="O5" s="7" t="n">
        <f aca="false">IF(N5=0,0,N5-M5)</f>
        <v>76604</v>
      </c>
      <c r="P5" s="9" t="n">
        <f aca="false">IFERROR(O5/N5,0)</f>
        <v>0.0963224596906526</v>
      </c>
      <c r="Q5" s="10" t="n">
        <f aca="false">IFERROR(J5/M5,0)</f>
        <v>7.79206966075446</v>
      </c>
      <c r="R5" s="10" t="n">
        <f aca="false">IFERROR(J5/N5,0)</f>
        <v>7.04151834494969</v>
      </c>
      <c r="S5" s="5" t="n">
        <v>278</v>
      </c>
      <c r="T5" s="5" t="n">
        <v>3</v>
      </c>
      <c r="U5" s="4"/>
      <c r="V5" s="4"/>
      <c r="W5" s="5" t="n">
        <v>0</v>
      </c>
      <c r="X5" s="5" t="n">
        <v>10618</v>
      </c>
      <c r="Y5" s="4"/>
      <c r="Z5" s="4"/>
      <c r="AA5" s="5" t="n">
        <v>718683</v>
      </c>
      <c r="AB5" s="5" t="n">
        <v>784669</v>
      </c>
    </row>
    <row r="6" customFormat="false" ht="12.8" hidden="false" customHeight="false" outlineLevel="0" collapsed="false">
      <c r="A6" s="4" t="s">
        <v>97</v>
      </c>
      <c r="B6" s="11" t="n">
        <v>5</v>
      </c>
      <c r="C6" s="5" t="n">
        <v>16</v>
      </c>
      <c r="D6" s="5" t="n">
        <v>16</v>
      </c>
      <c r="E6" s="5" t="n">
        <v>16</v>
      </c>
      <c r="F6" s="5" t="n">
        <v>16</v>
      </c>
      <c r="G6" s="4" t="s">
        <v>85</v>
      </c>
      <c r="H6" s="5" t="n">
        <v>200001</v>
      </c>
      <c r="I6" s="5" t="n">
        <v>28</v>
      </c>
      <c r="J6" s="7" t="n">
        <f aca="false">H6*I6</f>
        <v>5600028</v>
      </c>
      <c r="K6" s="8" t="n">
        <v>0.7221</v>
      </c>
      <c r="L6" s="8" t="n">
        <v>0.469</v>
      </c>
      <c r="M6" s="5" t="n">
        <v>662558</v>
      </c>
      <c r="N6" s="5" t="n">
        <v>739162</v>
      </c>
      <c r="O6" s="7" t="n">
        <f aca="false">IF(N6=0,0,N6-M6)</f>
        <v>76604</v>
      </c>
      <c r="P6" s="9" t="n">
        <f aca="false">IFERROR(O6/N6,0)</f>
        <v>0.103636280003572</v>
      </c>
      <c r="Q6" s="10" t="n">
        <f aca="false">IFERROR(J6/M6,0)</f>
        <v>8.4521324925516</v>
      </c>
      <c r="R6" s="10" t="n">
        <f aca="false">IFERROR(J6/N6,0)</f>
        <v>7.57618492292623</v>
      </c>
      <c r="S6" s="5" t="n">
        <v>278</v>
      </c>
      <c r="T6" s="5" t="n">
        <v>3</v>
      </c>
      <c r="U6" s="4"/>
      <c r="V6" s="4"/>
      <c r="W6" s="5" t="n">
        <v>0</v>
      </c>
      <c r="X6" s="5" t="n">
        <v>10618</v>
      </c>
      <c r="Y6" s="4"/>
      <c r="Z6" s="4"/>
      <c r="AA6" s="5" t="n">
        <v>662558</v>
      </c>
      <c r="AB6" s="5" t="n">
        <v>728544</v>
      </c>
    </row>
    <row r="7" customFormat="false" ht="12.8" hidden="false" customHeight="false" outlineLevel="0" collapsed="false">
      <c r="A7" s="4" t="s">
        <v>96</v>
      </c>
      <c r="B7" s="4"/>
      <c r="C7" s="5" t="n">
        <v>64</v>
      </c>
      <c r="D7" s="5" t="n">
        <v>64</v>
      </c>
      <c r="E7" s="5" t="n">
        <v>64</v>
      </c>
      <c r="F7" s="5" t="n">
        <v>64</v>
      </c>
      <c r="G7" s="4" t="s">
        <v>85</v>
      </c>
      <c r="H7" s="5" t="n">
        <v>200001</v>
      </c>
      <c r="I7" s="5" t="n">
        <v>28</v>
      </c>
      <c r="J7" s="7" t="n">
        <f aca="false">H7*I7</f>
        <v>5600028</v>
      </c>
      <c r="K7" s="8" t="n">
        <v>0.6706</v>
      </c>
      <c r="L7" s="8" t="n">
        <v>0.4792</v>
      </c>
      <c r="M7" s="5" t="n">
        <v>1720140</v>
      </c>
      <c r="N7" s="5" t="n">
        <v>1726982</v>
      </c>
      <c r="O7" s="7" t="n">
        <f aca="false">IF(N7=0,0,N7-M7)</f>
        <v>6842</v>
      </c>
      <c r="P7" s="9" t="n">
        <f aca="false">IFERROR(O7/N7,0)</f>
        <v>0.00396182473239443</v>
      </c>
      <c r="Q7" s="10" t="n">
        <f aca="false">IFERROR(J7/M7,0)</f>
        <v>3.25556524468939</v>
      </c>
      <c r="R7" s="10" t="n">
        <f aca="false">IFERROR(J7/N7,0)</f>
        <v>3.24266726578505</v>
      </c>
      <c r="S7" s="5" t="n">
        <v>86</v>
      </c>
      <c r="T7" s="5" t="n">
        <v>3</v>
      </c>
      <c r="U7" s="4"/>
      <c r="V7" s="4"/>
      <c r="W7" s="5" t="n">
        <v>0</v>
      </c>
      <c r="X7" s="5" t="n">
        <v>2938</v>
      </c>
      <c r="Y7" s="5" t="n">
        <v>1720140</v>
      </c>
      <c r="Z7" s="5" t="n">
        <v>1724044</v>
      </c>
      <c r="AA7" s="4"/>
      <c r="AB7" s="4"/>
    </row>
    <row r="8" customFormat="false" ht="12.8" hidden="false" customHeight="false" outlineLevel="0" collapsed="false">
      <c r="A8" s="4" t="s">
        <v>97</v>
      </c>
      <c r="B8" s="4"/>
      <c r="C8" s="5" t="n">
        <v>64</v>
      </c>
      <c r="D8" s="5" t="n">
        <v>64</v>
      </c>
      <c r="E8" s="5" t="n">
        <v>64</v>
      </c>
      <c r="F8" s="5" t="n">
        <v>64</v>
      </c>
      <c r="G8" s="4" t="s">
        <v>85</v>
      </c>
      <c r="H8" s="5" t="n">
        <v>200001</v>
      </c>
      <c r="I8" s="5" t="n">
        <v>28</v>
      </c>
      <c r="J8" s="7" t="n">
        <f aca="false">H8*I8</f>
        <v>5600028</v>
      </c>
      <c r="K8" s="8" t="n">
        <v>0.7234</v>
      </c>
      <c r="L8" s="8" t="n">
        <v>0.5021</v>
      </c>
      <c r="M8" s="5" t="n">
        <v>1498733</v>
      </c>
      <c r="N8" s="5" t="n">
        <v>1522345</v>
      </c>
      <c r="O8" s="7" t="n">
        <f aca="false">IF(N8=0,0,N8-M8)</f>
        <v>23612</v>
      </c>
      <c r="P8" s="9" t="n">
        <f aca="false">IFERROR(O8/N8,0)</f>
        <v>0.0155102818349323</v>
      </c>
      <c r="Q8" s="10" t="n">
        <f aca="false">IFERROR(J8/M8,0)</f>
        <v>3.73650810384505</v>
      </c>
      <c r="R8" s="10" t="n">
        <f aca="false">IFERROR(J8/N8,0)</f>
        <v>3.6785538100759</v>
      </c>
      <c r="S8" s="5" t="n">
        <v>86</v>
      </c>
      <c r="T8" s="5" t="n">
        <v>3</v>
      </c>
      <c r="U8" s="4"/>
      <c r="V8" s="4"/>
      <c r="W8" s="5" t="n">
        <v>0</v>
      </c>
      <c r="X8" s="5" t="n">
        <v>2938</v>
      </c>
      <c r="Y8" s="4"/>
      <c r="Z8" s="4"/>
      <c r="AA8" s="5" t="n">
        <v>1498733</v>
      </c>
      <c r="AB8" s="5" t="n">
        <v>1519407</v>
      </c>
    </row>
    <row r="9" customFormat="false" ht="12.8" hidden="false" customHeight="false" outlineLevel="0" collapsed="false">
      <c r="A9" s="4" t="s">
        <v>97</v>
      </c>
      <c r="B9" s="11" t="n">
        <v>0.1</v>
      </c>
      <c r="C9" s="5" t="n">
        <v>64</v>
      </c>
      <c r="D9" s="5" t="n">
        <v>64</v>
      </c>
      <c r="E9" s="5" t="n">
        <v>64</v>
      </c>
      <c r="F9" s="5" t="n">
        <v>64</v>
      </c>
      <c r="G9" s="4" t="s">
        <v>85</v>
      </c>
      <c r="H9" s="5" t="n">
        <v>200001</v>
      </c>
      <c r="I9" s="5" t="n">
        <v>28</v>
      </c>
      <c r="J9" s="7" t="n">
        <f aca="false">H9*I9</f>
        <v>5600028</v>
      </c>
      <c r="K9" s="8" t="n">
        <v>0.7304</v>
      </c>
      <c r="L9" s="8" t="n">
        <v>0.4489</v>
      </c>
      <c r="M9" s="5" t="n">
        <v>1135131</v>
      </c>
      <c r="N9" s="5" t="n">
        <v>1158743</v>
      </c>
      <c r="O9" s="7" t="n">
        <f aca="false">IF(N9=0,0,N9-M9)</f>
        <v>23612</v>
      </c>
      <c r="P9" s="9" t="n">
        <f aca="false">IFERROR(O9/N9,0)</f>
        <v>0.0203772536274221</v>
      </c>
      <c r="Q9" s="10" t="n">
        <f aca="false">IFERROR(J9/M9,0)</f>
        <v>4.9333759715839</v>
      </c>
      <c r="R9" s="10" t="n">
        <f aca="false">IFERROR(J9/N9,0)</f>
        <v>4.8328473181715</v>
      </c>
      <c r="S9" s="5" t="n">
        <v>86</v>
      </c>
      <c r="T9" s="5" t="n">
        <v>3</v>
      </c>
      <c r="U9" s="4"/>
      <c r="V9" s="4"/>
      <c r="W9" s="5" t="n">
        <v>0</v>
      </c>
      <c r="X9" s="5" t="n">
        <v>2938</v>
      </c>
      <c r="Y9" s="4"/>
      <c r="Z9" s="4"/>
      <c r="AA9" s="5" t="n">
        <v>1135131</v>
      </c>
      <c r="AB9" s="5" t="n">
        <v>1155805</v>
      </c>
    </row>
    <row r="10" customFormat="false" ht="12.8" hidden="false" customHeight="false" outlineLevel="0" collapsed="false">
      <c r="A10" s="4" t="s">
        <v>97</v>
      </c>
      <c r="B10" s="11" t="n">
        <v>1</v>
      </c>
      <c r="C10" s="5" t="n">
        <v>64</v>
      </c>
      <c r="D10" s="5" t="n">
        <v>64</v>
      </c>
      <c r="E10" s="5" t="n">
        <v>64</v>
      </c>
      <c r="F10" s="5" t="n">
        <v>64</v>
      </c>
      <c r="G10" s="4" t="s">
        <v>85</v>
      </c>
      <c r="H10" s="5" t="n">
        <v>200001</v>
      </c>
      <c r="I10" s="5" t="n">
        <v>28</v>
      </c>
      <c r="J10" s="7" t="n">
        <f aca="false">H10*I10</f>
        <v>5600028</v>
      </c>
      <c r="K10" s="8" t="n">
        <v>0.6966</v>
      </c>
      <c r="L10" s="8" t="n">
        <v>0.4432</v>
      </c>
      <c r="M10" s="5" t="n">
        <v>1052946</v>
      </c>
      <c r="N10" s="5" t="n">
        <v>1076558</v>
      </c>
      <c r="O10" s="7" t="n">
        <f aca="false">IF(N10=0,0,N10-M10)</f>
        <v>23612</v>
      </c>
      <c r="P10" s="9" t="n">
        <f aca="false">IFERROR(O10/N10,0)</f>
        <v>0.0219328638122609</v>
      </c>
      <c r="Q10" s="10" t="n">
        <f aca="false">IFERROR(J10/M10,0)</f>
        <v>5.31843798257461</v>
      </c>
      <c r="R10" s="10" t="n">
        <f aca="false">IFERROR(J10/N10,0)</f>
        <v>5.20178940660884</v>
      </c>
      <c r="S10" s="5" t="n">
        <v>86</v>
      </c>
      <c r="T10" s="5" t="n">
        <v>3</v>
      </c>
      <c r="U10" s="4"/>
      <c r="V10" s="4"/>
      <c r="W10" s="5" t="n">
        <v>0</v>
      </c>
      <c r="X10" s="5" t="n">
        <v>2938</v>
      </c>
      <c r="Y10" s="4"/>
      <c r="Z10" s="4"/>
      <c r="AA10" s="5" t="n">
        <v>1052946</v>
      </c>
      <c r="AB10" s="5" t="n">
        <v>1073620</v>
      </c>
    </row>
    <row r="11" customFormat="false" ht="12.8" hidden="false" customHeight="false" outlineLevel="0" collapsed="false">
      <c r="A11" s="4" t="s">
        <v>97</v>
      </c>
      <c r="B11" s="11" t="n">
        <v>5</v>
      </c>
      <c r="C11" s="5" t="n">
        <v>64</v>
      </c>
      <c r="D11" s="5" t="n">
        <v>64</v>
      </c>
      <c r="E11" s="5" t="n">
        <v>64</v>
      </c>
      <c r="F11" s="5" t="n">
        <v>64</v>
      </c>
      <c r="G11" s="4" t="s">
        <v>85</v>
      </c>
      <c r="H11" s="5" t="n">
        <v>200001</v>
      </c>
      <c r="I11" s="5" t="n">
        <v>28</v>
      </c>
      <c r="J11" s="7" t="n">
        <f aca="false">H11*I11</f>
        <v>5600028</v>
      </c>
      <c r="K11" s="8" t="n">
        <v>0.6981</v>
      </c>
      <c r="L11" s="8" t="n">
        <v>0.4686</v>
      </c>
      <c r="M11" s="5" t="n">
        <v>999449</v>
      </c>
      <c r="N11" s="5" t="n">
        <v>1023061</v>
      </c>
      <c r="O11" s="7" t="n">
        <f aca="false">IF(N11=0,0,N11-M11)</f>
        <v>23612</v>
      </c>
      <c r="P11" s="9" t="n">
        <f aca="false">IFERROR(O11/N11,0)</f>
        <v>0.0230797577075072</v>
      </c>
      <c r="Q11" s="10" t="n">
        <f aca="false">IFERROR(J11/M11,0)</f>
        <v>5.60311531653941</v>
      </c>
      <c r="R11" s="10" t="n">
        <f aca="false">IFERROR(J11/N11,0)</f>
        <v>5.47379677262646</v>
      </c>
      <c r="S11" s="5" t="n">
        <v>86</v>
      </c>
      <c r="T11" s="5" t="n">
        <v>3</v>
      </c>
      <c r="U11" s="4"/>
      <c r="V11" s="4"/>
      <c r="W11" s="5" t="n">
        <v>0</v>
      </c>
      <c r="X11" s="5" t="n">
        <v>2938</v>
      </c>
      <c r="Y11" s="4"/>
      <c r="Z11" s="4"/>
      <c r="AA11" s="5" t="n">
        <v>999449</v>
      </c>
      <c r="AB11" s="5" t="n">
        <v>1020123</v>
      </c>
    </row>
    <row r="12" customFormat="false" ht="12.8" hidden="false" customHeight="false" outlineLevel="0" collapsed="false">
      <c r="A12" s="4" t="s">
        <v>96</v>
      </c>
      <c r="B12" s="4"/>
      <c r="C12" s="5" t="n">
        <v>256</v>
      </c>
      <c r="D12" s="5" t="n">
        <v>256</v>
      </c>
      <c r="E12" s="5" t="n">
        <v>256</v>
      </c>
      <c r="F12" s="5" t="n">
        <v>256</v>
      </c>
      <c r="G12" s="4" t="s">
        <v>85</v>
      </c>
      <c r="H12" s="5" t="n">
        <v>200001</v>
      </c>
      <c r="I12" s="5" t="n">
        <v>28</v>
      </c>
      <c r="J12" s="7" t="n">
        <f aca="false">H12*I12</f>
        <v>5600028</v>
      </c>
      <c r="K12" s="8" t="n">
        <v>0.6668</v>
      </c>
      <c r="L12" s="8" t="n">
        <v>0.5527</v>
      </c>
      <c r="M12" s="5" t="n">
        <v>1723679</v>
      </c>
      <c r="N12" s="5" t="n">
        <v>1725977</v>
      </c>
      <c r="O12" s="7" t="n">
        <f aca="false">IF(N12=0,0,N12-M12)</f>
        <v>2298</v>
      </c>
      <c r="P12" s="9" t="n">
        <f aca="false">IFERROR(O12/N12,0)</f>
        <v>0.00133141982772656</v>
      </c>
      <c r="Q12" s="10" t="n">
        <f aca="false">IFERROR(J12/M12,0)</f>
        <v>3.24888102715181</v>
      </c>
      <c r="R12" s="10" t="n">
        <f aca="false">IFERROR(J12/N12,0)</f>
        <v>3.24455540253433</v>
      </c>
      <c r="S12" s="5" t="n">
        <v>22</v>
      </c>
      <c r="T12" s="5" t="n">
        <v>3</v>
      </c>
      <c r="U12" s="4"/>
      <c r="V12" s="4"/>
      <c r="W12" s="5" t="n">
        <v>0</v>
      </c>
      <c r="X12" s="5" t="n">
        <v>1018</v>
      </c>
      <c r="Y12" s="5" t="n">
        <v>1723679</v>
      </c>
      <c r="Z12" s="5" t="n">
        <v>1724959</v>
      </c>
      <c r="AA12" s="4"/>
      <c r="AB12" s="4"/>
    </row>
    <row r="13" customFormat="false" ht="12.8" hidden="false" customHeight="false" outlineLevel="0" collapsed="false">
      <c r="A13" s="4" t="s">
        <v>97</v>
      </c>
      <c r="B13" s="4"/>
      <c r="C13" s="5" t="n">
        <v>256</v>
      </c>
      <c r="D13" s="5" t="n">
        <v>256</v>
      </c>
      <c r="E13" s="5" t="n">
        <v>256</v>
      </c>
      <c r="F13" s="5" t="n">
        <v>256</v>
      </c>
      <c r="G13" s="4" t="s">
        <v>85</v>
      </c>
      <c r="H13" s="5" t="n">
        <v>200001</v>
      </c>
      <c r="I13" s="5" t="n">
        <v>28</v>
      </c>
      <c r="J13" s="7" t="n">
        <f aca="false">H13*I13</f>
        <v>5600028</v>
      </c>
      <c r="K13" s="8" t="n">
        <v>0.6933</v>
      </c>
      <c r="L13" s="8" t="n">
        <v>0.7426</v>
      </c>
      <c r="M13" s="5" t="n">
        <v>1361734</v>
      </c>
      <c r="N13" s="5" t="n">
        <v>1368322</v>
      </c>
      <c r="O13" s="7" t="n">
        <f aca="false">IF(N13=0,0,N13-M13)</f>
        <v>6588</v>
      </c>
      <c r="P13" s="9" t="n">
        <f aca="false">IFERROR(O13/N13,0)</f>
        <v>0.00481465619934489</v>
      </c>
      <c r="Q13" s="10" t="n">
        <f aca="false">IFERROR(J13/M13,0)</f>
        <v>4.11242430606859</v>
      </c>
      <c r="R13" s="10" t="n">
        <f aca="false">IFERROR(J13/N13,0)</f>
        <v>4.09262439688904</v>
      </c>
      <c r="S13" s="5" t="n">
        <v>22</v>
      </c>
      <c r="T13" s="5" t="n">
        <v>3</v>
      </c>
      <c r="U13" s="4"/>
      <c r="V13" s="4"/>
      <c r="W13" s="5" t="n">
        <v>0</v>
      </c>
      <c r="X13" s="5" t="n">
        <v>1018</v>
      </c>
      <c r="Y13" s="4"/>
      <c r="Z13" s="4"/>
      <c r="AA13" s="5" t="n">
        <v>1361734</v>
      </c>
      <c r="AB13" s="5" t="n">
        <v>1367304</v>
      </c>
    </row>
    <row r="14" customFormat="false" ht="12.8" hidden="false" customHeight="false" outlineLevel="0" collapsed="false">
      <c r="A14" s="4" t="s">
        <v>97</v>
      </c>
      <c r="B14" s="11" t="n">
        <v>0.1</v>
      </c>
      <c r="C14" s="5" t="n">
        <v>256</v>
      </c>
      <c r="D14" s="5" t="n">
        <v>256</v>
      </c>
      <c r="E14" s="5" t="n">
        <v>256</v>
      </c>
      <c r="F14" s="5" t="n">
        <v>256</v>
      </c>
      <c r="G14" s="4" t="s">
        <v>85</v>
      </c>
      <c r="H14" s="5" t="n">
        <v>200001</v>
      </c>
      <c r="I14" s="5" t="n">
        <v>28</v>
      </c>
      <c r="J14" s="7" t="n">
        <f aca="false">H14*I14</f>
        <v>5600028</v>
      </c>
      <c r="K14" s="8" t="n">
        <v>0.6989</v>
      </c>
      <c r="L14" s="8" t="n">
        <v>0.8564</v>
      </c>
      <c r="M14" s="5" t="n">
        <v>1014759</v>
      </c>
      <c r="N14" s="5" t="n">
        <v>1021347</v>
      </c>
      <c r="O14" s="7" t="n">
        <f aca="false">IF(N14=0,0,N14-M14)</f>
        <v>6588</v>
      </c>
      <c r="P14" s="9" t="n">
        <f aca="false">IFERROR(O14/N14,0)</f>
        <v>0.00645030533207617</v>
      </c>
      <c r="Q14" s="10" t="n">
        <f aca="false">IFERROR(J14/M14,0)</f>
        <v>5.51857928828421</v>
      </c>
      <c r="R14" s="10" t="n">
        <f aca="false">IFERROR(J14/N14,0)</f>
        <v>5.48298276687551</v>
      </c>
      <c r="S14" s="5" t="n">
        <v>22</v>
      </c>
      <c r="T14" s="5" t="n">
        <v>3</v>
      </c>
      <c r="U14" s="4"/>
      <c r="V14" s="4"/>
      <c r="W14" s="5" t="n">
        <v>0</v>
      </c>
      <c r="X14" s="5" t="n">
        <v>1018</v>
      </c>
      <c r="Y14" s="4"/>
      <c r="Z14" s="4"/>
      <c r="AA14" s="5" t="n">
        <v>1014759</v>
      </c>
      <c r="AB14" s="5" t="n">
        <v>1020329</v>
      </c>
    </row>
    <row r="15" customFormat="false" ht="12.8" hidden="false" customHeight="false" outlineLevel="0" collapsed="false">
      <c r="A15" s="4" t="s">
        <v>97</v>
      </c>
      <c r="B15" s="11" t="n">
        <v>1</v>
      </c>
      <c r="C15" s="5" t="n">
        <v>256</v>
      </c>
      <c r="D15" s="5" t="n">
        <v>256</v>
      </c>
      <c r="E15" s="5" t="n">
        <v>256</v>
      </c>
      <c r="F15" s="5" t="n">
        <v>256</v>
      </c>
      <c r="G15" s="4" t="s">
        <v>85</v>
      </c>
      <c r="H15" s="5" t="n">
        <v>200001</v>
      </c>
      <c r="I15" s="5" t="n">
        <v>28</v>
      </c>
      <c r="J15" s="7" t="n">
        <f aca="false">H15*I15</f>
        <v>5600028</v>
      </c>
      <c r="K15" s="8" t="n">
        <v>0.6883</v>
      </c>
      <c r="L15" s="8" t="n">
        <v>0.8381</v>
      </c>
      <c r="M15" s="5" t="n">
        <v>916572</v>
      </c>
      <c r="N15" s="5" t="n">
        <v>923160</v>
      </c>
      <c r="O15" s="7" t="n">
        <f aca="false">IF(N15=0,0,N15-M15)</f>
        <v>6588</v>
      </c>
      <c r="P15" s="9" t="n">
        <f aca="false">IFERROR(O15/N15,0)</f>
        <v>0.0071363577278045</v>
      </c>
      <c r="Q15" s="10" t="n">
        <f aca="false">IFERROR(J15/M15,0)</f>
        <v>6.10975242534138</v>
      </c>
      <c r="R15" s="10" t="n">
        <f aca="false">IFERROR(J15/N15,0)</f>
        <v>6.06615104640582</v>
      </c>
      <c r="S15" s="5" t="n">
        <v>22</v>
      </c>
      <c r="T15" s="5" t="n">
        <v>3</v>
      </c>
      <c r="U15" s="4"/>
      <c r="V15" s="4"/>
      <c r="W15" s="5" t="n">
        <v>0</v>
      </c>
      <c r="X15" s="5" t="n">
        <v>1018</v>
      </c>
      <c r="Y15" s="4"/>
      <c r="Z15" s="4"/>
      <c r="AA15" s="5" t="n">
        <v>916572</v>
      </c>
      <c r="AB15" s="5" t="n">
        <v>922142</v>
      </c>
    </row>
    <row r="16" customFormat="false" ht="12.8" hidden="false" customHeight="false" outlineLevel="0" collapsed="false">
      <c r="A16" s="4" t="s">
        <v>97</v>
      </c>
      <c r="B16" s="11" t="n">
        <v>5</v>
      </c>
      <c r="C16" s="5" t="n">
        <v>256</v>
      </c>
      <c r="D16" s="5" t="n">
        <v>256</v>
      </c>
      <c r="E16" s="5" t="n">
        <v>256</v>
      </c>
      <c r="F16" s="5" t="n">
        <v>256</v>
      </c>
      <c r="G16" s="4" t="s">
        <v>85</v>
      </c>
      <c r="H16" s="5" t="n">
        <v>200001</v>
      </c>
      <c r="I16" s="5" t="n">
        <v>28</v>
      </c>
      <c r="J16" s="7" t="n">
        <f aca="false">H16*I16</f>
        <v>5600028</v>
      </c>
      <c r="K16" s="8" t="n">
        <v>0.7298</v>
      </c>
      <c r="L16" s="8" t="n">
        <v>0.7684</v>
      </c>
      <c r="M16" s="5" t="n">
        <v>857369</v>
      </c>
      <c r="N16" s="5" t="n">
        <v>863957</v>
      </c>
      <c r="O16" s="7" t="n">
        <f aca="false">IF(N16=0,0,N16-M16)</f>
        <v>6588</v>
      </c>
      <c r="P16" s="9" t="n">
        <f aca="false">IFERROR(O16/N16,0)</f>
        <v>0.00762537950384105</v>
      </c>
      <c r="Q16" s="10" t="n">
        <f aca="false">IFERROR(J16/M16,0)</f>
        <v>6.5316427349251</v>
      </c>
      <c r="R16" s="10" t="n">
        <f aca="false">IFERROR(J16/N16,0)</f>
        <v>6.48183648028779</v>
      </c>
      <c r="S16" s="5" t="n">
        <v>22</v>
      </c>
      <c r="T16" s="5" t="n">
        <v>3</v>
      </c>
      <c r="U16" s="4"/>
      <c r="V16" s="4"/>
      <c r="W16" s="5" t="n">
        <v>0</v>
      </c>
      <c r="X16" s="5" t="n">
        <v>1018</v>
      </c>
      <c r="Y16" s="4"/>
      <c r="Z16" s="4"/>
      <c r="AA16" s="5" t="n">
        <v>857369</v>
      </c>
      <c r="AB16" s="5" t="n">
        <v>862939</v>
      </c>
    </row>
    <row r="17" customFormat="false" ht="12.8" hidden="false" customHeight="false" outlineLevel="0" collapsed="false">
      <c r="A17" s="4" t="s">
        <v>96</v>
      </c>
      <c r="B17" s="4"/>
      <c r="C17" s="5" t="n">
        <v>1024</v>
      </c>
      <c r="D17" s="5" t="n">
        <v>1024</v>
      </c>
      <c r="E17" s="5" t="n">
        <v>1024</v>
      </c>
      <c r="F17" s="5" t="n">
        <v>1024</v>
      </c>
      <c r="G17" s="4" t="s">
        <v>85</v>
      </c>
      <c r="H17" s="5" t="n">
        <v>200001</v>
      </c>
      <c r="I17" s="5" t="n">
        <v>28</v>
      </c>
      <c r="J17" s="7" t="n">
        <f aca="false">H17*I17</f>
        <v>5600028</v>
      </c>
      <c r="K17" s="8" t="n">
        <v>0.6772</v>
      </c>
      <c r="L17" s="8" t="n">
        <v>2.0669</v>
      </c>
      <c r="M17" s="5" t="n">
        <v>1714529</v>
      </c>
      <c r="N17" s="5" t="n">
        <v>1715691</v>
      </c>
      <c r="O17" s="7" t="n">
        <f aca="false">IF(N17=0,0,N17-M17)</f>
        <v>1162</v>
      </c>
      <c r="P17" s="9" t="n">
        <f aca="false">IFERROR(O17/N17,0)</f>
        <v>0.000677278134582509</v>
      </c>
      <c r="Q17" s="10" t="n">
        <f aca="false">IFERROR(J17/M17,0)</f>
        <v>3.26621946902036</v>
      </c>
      <c r="R17" s="10" t="n">
        <f aca="false">IFERROR(J17/N17,0)</f>
        <v>3.26400732999124</v>
      </c>
      <c r="S17" s="5" t="n">
        <v>6</v>
      </c>
      <c r="T17" s="5" t="n">
        <v>3</v>
      </c>
      <c r="U17" s="4"/>
      <c r="V17" s="4"/>
      <c r="W17" s="5" t="n">
        <v>0</v>
      </c>
      <c r="X17" s="5" t="n">
        <v>538</v>
      </c>
      <c r="Y17" s="5" t="n">
        <v>1714529</v>
      </c>
      <c r="Z17" s="5" t="n">
        <v>1715153</v>
      </c>
      <c r="AA17" s="4"/>
      <c r="AB17" s="4"/>
    </row>
    <row r="18" customFormat="false" ht="12.8" hidden="false" customHeight="false" outlineLevel="0" collapsed="false">
      <c r="A18" s="4" t="s">
        <v>97</v>
      </c>
      <c r="B18" s="4"/>
      <c r="C18" s="5" t="n">
        <v>1024</v>
      </c>
      <c r="D18" s="5" t="n">
        <v>1024</v>
      </c>
      <c r="E18" s="5" t="n">
        <v>1024</v>
      </c>
      <c r="F18" s="5" t="n">
        <v>1024</v>
      </c>
      <c r="G18" s="4" t="s">
        <v>85</v>
      </c>
      <c r="H18" s="5" t="n">
        <v>200001</v>
      </c>
      <c r="I18" s="5" t="n">
        <v>28</v>
      </c>
      <c r="J18" s="7" t="n">
        <f aca="false">H18*I18</f>
        <v>5600028</v>
      </c>
      <c r="K18" s="8" t="n">
        <v>0.6689</v>
      </c>
      <c r="L18" s="8" t="n">
        <v>2.5892</v>
      </c>
      <c r="M18" s="5" t="n">
        <v>1564043</v>
      </c>
      <c r="N18" s="5" t="n">
        <v>1566375</v>
      </c>
      <c r="O18" s="7" t="n">
        <f aca="false">IF(N18=0,0,N18-M18)</f>
        <v>2332</v>
      </c>
      <c r="P18" s="9" t="n">
        <f aca="false">IFERROR(O18/N18,0)</f>
        <v>0.00148878780624052</v>
      </c>
      <c r="Q18" s="10" t="n">
        <f aca="false">IFERROR(J18/M18,0)</f>
        <v>3.58048212229459</v>
      </c>
      <c r="R18" s="10" t="n">
        <f aca="false">IFERROR(J18/N18,0)</f>
        <v>3.57515154417046</v>
      </c>
      <c r="S18" s="5" t="n">
        <v>6</v>
      </c>
      <c r="T18" s="5" t="n">
        <v>3</v>
      </c>
      <c r="U18" s="4"/>
      <c r="V18" s="4"/>
      <c r="W18" s="5" t="n">
        <v>0</v>
      </c>
      <c r="X18" s="5" t="n">
        <v>538</v>
      </c>
      <c r="Y18" s="4"/>
      <c r="Z18" s="4"/>
      <c r="AA18" s="5" t="n">
        <v>1564043</v>
      </c>
      <c r="AB18" s="5" t="n">
        <v>1565837</v>
      </c>
    </row>
    <row r="19" customFormat="false" ht="12.8" hidden="false" customHeight="false" outlineLevel="0" collapsed="false">
      <c r="A19" s="4" t="s">
        <v>97</v>
      </c>
      <c r="B19" s="11" t="n">
        <v>0.1</v>
      </c>
      <c r="C19" s="5" t="n">
        <v>1024</v>
      </c>
      <c r="D19" s="5" t="n">
        <v>1024</v>
      </c>
      <c r="E19" s="5" t="n">
        <v>1024</v>
      </c>
      <c r="F19" s="5" t="n">
        <v>1024</v>
      </c>
      <c r="G19" s="4" t="s">
        <v>85</v>
      </c>
      <c r="H19" s="5" t="n">
        <v>200001</v>
      </c>
      <c r="I19" s="5" t="n">
        <v>28</v>
      </c>
      <c r="J19" s="7" t="n">
        <f aca="false">H19*I19</f>
        <v>5600028</v>
      </c>
      <c r="K19" s="8" t="n">
        <v>0.7096</v>
      </c>
      <c r="L19" s="8" t="n">
        <v>2.7683</v>
      </c>
      <c r="M19" s="5" t="n">
        <v>1216958</v>
      </c>
      <c r="N19" s="5" t="n">
        <v>1219290</v>
      </c>
      <c r="O19" s="7" t="n">
        <f aca="false">IF(N19=0,0,N19-M19)</f>
        <v>2332</v>
      </c>
      <c r="P19" s="9" t="n">
        <f aca="false">IFERROR(O19/N19,0)</f>
        <v>0.00191258847361989</v>
      </c>
      <c r="Q19" s="10" t="n">
        <f aca="false">IFERROR(J19/M19,0)</f>
        <v>4.60166086257702</v>
      </c>
      <c r="R19" s="10" t="n">
        <f aca="false">IFERROR(J19/N19,0)</f>
        <v>4.59285977905174</v>
      </c>
      <c r="S19" s="5" t="n">
        <v>6</v>
      </c>
      <c r="T19" s="5" t="n">
        <v>3</v>
      </c>
      <c r="U19" s="4"/>
      <c r="V19" s="4"/>
      <c r="W19" s="5" t="n">
        <v>0</v>
      </c>
      <c r="X19" s="5" t="n">
        <v>538</v>
      </c>
      <c r="Y19" s="4"/>
      <c r="Z19" s="4"/>
      <c r="AA19" s="5" t="n">
        <v>1216958</v>
      </c>
      <c r="AB19" s="5" t="n">
        <v>1218752</v>
      </c>
    </row>
    <row r="20" customFormat="false" ht="12.8" hidden="false" customHeight="false" outlineLevel="0" collapsed="false">
      <c r="A20" s="4" t="s">
        <v>97</v>
      </c>
      <c r="B20" s="11" t="n">
        <v>1</v>
      </c>
      <c r="C20" s="5" t="n">
        <v>1024</v>
      </c>
      <c r="D20" s="5" t="n">
        <v>1024</v>
      </c>
      <c r="E20" s="5" t="n">
        <v>1024</v>
      </c>
      <c r="F20" s="5" t="n">
        <v>1024</v>
      </c>
      <c r="G20" s="4" t="s">
        <v>85</v>
      </c>
      <c r="H20" s="5" t="n">
        <v>200001</v>
      </c>
      <c r="I20" s="5" t="n">
        <v>28</v>
      </c>
      <c r="J20" s="7" t="n">
        <f aca="false">H20*I20</f>
        <v>5600028</v>
      </c>
      <c r="K20" s="8" t="n">
        <v>0.6826</v>
      </c>
      <c r="L20" s="8" t="n">
        <v>2.856</v>
      </c>
      <c r="M20" s="5" t="n">
        <v>1124385</v>
      </c>
      <c r="N20" s="5" t="n">
        <v>1126717</v>
      </c>
      <c r="O20" s="7" t="n">
        <f aca="false">IF(N20=0,0,N20-M20)</f>
        <v>2332</v>
      </c>
      <c r="P20" s="9" t="n">
        <f aca="false">IFERROR(O20/N20,0)</f>
        <v>0.00206973002093693</v>
      </c>
      <c r="Q20" s="10" t="n">
        <f aca="false">IFERROR(J20/M20,0)</f>
        <v>4.98052535386011</v>
      </c>
      <c r="R20" s="10" t="n">
        <f aca="false">IFERROR(J20/N20,0)</f>
        <v>4.97021701101519</v>
      </c>
      <c r="S20" s="5" t="n">
        <v>6</v>
      </c>
      <c r="T20" s="5" t="n">
        <v>3</v>
      </c>
      <c r="U20" s="4"/>
      <c r="V20" s="4"/>
      <c r="W20" s="5" t="n">
        <v>0</v>
      </c>
      <c r="X20" s="5" t="n">
        <v>538</v>
      </c>
      <c r="Y20" s="4"/>
      <c r="Z20" s="4"/>
      <c r="AA20" s="5" t="n">
        <v>1124385</v>
      </c>
      <c r="AB20" s="5" t="n">
        <v>1126179</v>
      </c>
    </row>
    <row r="21" customFormat="false" ht="12.8" hidden="false" customHeight="false" outlineLevel="0" collapsed="false">
      <c r="A21" s="4" t="s">
        <v>97</v>
      </c>
      <c r="B21" s="11" t="n">
        <v>5</v>
      </c>
      <c r="C21" s="5" t="n">
        <v>1024</v>
      </c>
      <c r="D21" s="5" t="n">
        <v>1024</v>
      </c>
      <c r="E21" s="5" t="n">
        <v>1024</v>
      </c>
      <c r="F21" s="5" t="n">
        <v>1024</v>
      </c>
      <c r="G21" s="4" t="s">
        <v>85</v>
      </c>
      <c r="H21" s="5" t="n">
        <v>200001</v>
      </c>
      <c r="I21" s="5" t="n">
        <v>28</v>
      </c>
      <c r="J21" s="7" t="n">
        <f aca="false">H21*I21</f>
        <v>5600028</v>
      </c>
      <c r="K21" s="8" t="n">
        <v>0.7222</v>
      </c>
      <c r="L21" s="8" t="n">
        <v>2.7359</v>
      </c>
      <c r="M21" s="5" t="n">
        <v>1055305</v>
      </c>
      <c r="N21" s="5" t="n">
        <v>1057637</v>
      </c>
      <c r="O21" s="7" t="n">
        <f aca="false">IF(N21=0,0,N21-M21)</f>
        <v>2332</v>
      </c>
      <c r="P21" s="9" t="n">
        <f aca="false">IFERROR(O21/N21,0)</f>
        <v>0.00220491529702535</v>
      </c>
      <c r="Q21" s="10" t="n">
        <f aca="false">IFERROR(J21/M21,0)</f>
        <v>5.30654929143707</v>
      </c>
      <c r="R21" s="10" t="n">
        <f aca="false">IFERROR(J21/N21,0)</f>
        <v>5.29484879972996</v>
      </c>
      <c r="S21" s="5" t="n">
        <v>6</v>
      </c>
      <c r="T21" s="5" t="n">
        <v>3</v>
      </c>
      <c r="U21" s="4"/>
      <c r="V21" s="4"/>
      <c r="W21" s="5" t="n">
        <v>0</v>
      </c>
      <c r="X21" s="5" t="n">
        <v>538</v>
      </c>
      <c r="Y21" s="4"/>
      <c r="Z21" s="4"/>
      <c r="AA21" s="5" t="n">
        <v>1055305</v>
      </c>
      <c r="AB21" s="5" t="n">
        <v>1057099</v>
      </c>
    </row>
    <row r="22" customFormat="false" ht="12.8" hidden="false" customHeight="false" outlineLevel="0" collapsed="false">
      <c r="A22" s="4" t="s">
        <v>96</v>
      </c>
      <c r="B22" s="4"/>
      <c r="C22" s="5" t="n">
        <v>4096</v>
      </c>
      <c r="D22" s="5" t="n">
        <v>4096</v>
      </c>
      <c r="E22" s="5" t="n">
        <v>4096</v>
      </c>
      <c r="F22" s="5" t="n">
        <v>4096</v>
      </c>
      <c r="G22" s="4" t="s">
        <v>85</v>
      </c>
      <c r="H22" s="5" t="n">
        <v>200001</v>
      </c>
      <c r="I22" s="5" t="n">
        <v>28</v>
      </c>
      <c r="J22" s="7" t="n">
        <f aca="false">H22*I22</f>
        <v>5600028</v>
      </c>
      <c r="K22" s="8" t="n">
        <v>0.7458</v>
      </c>
      <c r="L22" s="8" t="n">
        <v>2.091</v>
      </c>
      <c r="M22" s="5" t="n">
        <v>1714529</v>
      </c>
      <c r="N22" s="5" t="n">
        <v>1715571</v>
      </c>
      <c r="O22" s="7" t="n">
        <f aca="false">IF(N22=0,0,N22-M22)</f>
        <v>1042</v>
      </c>
      <c r="P22" s="9" t="n">
        <f aca="false">IFERROR(O22/N22,0)</f>
        <v>0.000607377951714036</v>
      </c>
      <c r="Q22" s="10" t="n">
        <f aca="false">IFERROR(J22/M22,0)</f>
        <v>3.26621946902036</v>
      </c>
      <c r="R22" s="10" t="n">
        <f aca="false">IFERROR(J22/N22,0)</f>
        <v>3.26423563932941</v>
      </c>
      <c r="S22" s="5" t="n">
        <v>6</v>
      </c>
      <c r="T22" s="5" t="n">
        <v>3</v>
      </c>
      <c r="U22" s="4"/>
      <c r="V22" s="4"/>
      <c r="W22" s="5" t="n">
        <v>0</v>
      </c>
      <c r="X22" s="5" t="n">
        <v>418</v>
      </c>
      <c r="Y22" s="5" t="n">
        <v>1714529</v>
      </c>
      <c r="Z22" s="5" t="n">
        <v>1715153</v>
      </c>
      <c r="AA22" s="4"/>
      <c r="AB22" s="4"/>
    </row>
    <row r="23" customFormat="false" ht="12.8" hidden="false" customHeight="false" outlineLevel="0" collapsed="false">
      <c r="A23" s="4" t="s">
        <v>97</v>
      </c>
      <c r="B23" s="4"/>
      <c r="C23" s="5" t="n">
        <v>4096</v>
      </c>
      <c r="D23" s="5" t="n">
        <v>4096</v>
      </c>
      <c r="E23" s="5" t="n">
        <v>4096</v>
      </c>
      <c r="F23" s="5" t="n">
        <v>4096</v>
      </c>
      <c r="G23" s="4" t="s">
        <v>85</v>
      </c>
      <c r="H23" s="5" t="n">
        <v>200001</v>
      </c>
      <c r="I23" s="5" t="n">
        <v>28</v>
      </c>
      <c r="J23" s="7" t="n">
        <f aca="false">H23*I23</f>
        <v>5600028</v>
      </c>
      <c r="K23" s="8" t="n">
        <v>0.7082</v>
      </c>
      <c r="L23" s="8" t="n">
        <v>2.6557</v>
      </c>
      <c r="M23" s="5" t="n">
        <v>1564043</v>
      </c>
      <c r="N23" s="5" t="n">
        <v>1566255</v>
      </c>
      <c r="O23" s="7" t="n">
        <f aca="false">IF(N23=0,0,N23-M23)</f>
        <v>2212</v>
      </c>
      <c r="P23" s="9" t="n">
        <f aca="false">IFERROR(O23/N23,0)</f>
        <v>0.0014122859942985</v>
      </c>
      <c r="Q23" s="10" t="n">
        <f aca="false">IFERROR(J23/M23,0)</f>
        <v>3.58048212229459</v>
      </c>
      <c r="R23" s="10" t="n">
        <f aca="false">IFERROR(J23/N23,0)</f>
        <v>3.57542545754044</v>
      </c>
      <c r="S23" s="5" t="n">
        <v>6</v>
      </c>
      <c r="T23" s="5" t="n">
        <v>3</v>
      </c>
      <c r="U23" s="4"/>
      <c r="V23" s="4"/>
      <c r="W23" s="5" t="n">
        <v>0</v>
      </c>
      <c r="X23" s="5" t="n">
        <v>418</v>
      </c>
      <c r="Y23" s="4"/>
      <c r="Z23" s="4"/>
      <c r="AA23" s="5" t="n">
        <v>1564043</v>
      </c>
      <c r="AB23" s="5" t="n">
        <v>1565837</v>
      </c>
    </row>
    <row r="24" customFormat="false" ht="12.8" hidden="false" customHeight="false" outlineLevel="0" collapsed="false">
      <c r="A24" s="4" t="s">
        <v>97</v>
      </c>
      <c r="B24" s="11" t="n">
        <v>0.1</v>
      </c>
      <c r="C24" s="5" t="n">
        <v>4096</v>
      </c>
      <c r="D24" s="5" t="n">
        <v>4096</v>
      </c>
      <c r="E24" s="5" t="n">
        <v>4096</v>
      </c>
      <c r="F24" s="5" t="n">
        <v>4096</v>
      </c>
      <c r="G24" s="4" t="s">
        <v>85</v>
      </c>
      <c r="H24" s="5" t="n">
        <v>200001</v>
      </c>
      <c r="I24" s="5" t="n">
        <v>28</v>
      </c>
      <c r="J24" s="7" t="n">
        <f aca="false">H24*I24</f>
        <v>5600028</v>
      </c>
      <c r="K24" s="8" t="n">
        <v>0.7138</v>
      </c>
      <c r="L24" s="8" t="n">
        <v>3.0865</v>
      </c>
      <c r="M24" s="5" t="n">
        <v>1216958</v>
      </c>
      <c r="N24" s="5" t="n">
        <v>1219170</v>
      </c>
      <c r="O24" s="7" t="n">
        <f aca="false">IF(N24=0,0,N24-M24)</f>
        <v>2212</v>
      </c>
      <c r="P24" s="9" t="n">
        <f aca="false">IFERROR(O24/N24,0)</f>
        <v>0.00181434910635924</v>
      </c>
      <c r="Q24" s="10" t="n">
        <f aca="false">IFERROR(J24/M24,0)</f>
        <v>4.60166086257702</v>
      </c>
      <c r="R24" s="10" t="n">
        <f aca="false">IFERROR(J24/N24,0)</f>
        <v>4.59331184330323</v>
      </c>
      <c r="S24" s="5" t="n">
        <v>6</v>
      </c>
      <c r="T24" s="5" t="n">
        <v>3</v>
      </c>
      <c r="U24" s="4"/>
      <c r="V24" s="4"/>
      <c r="W24" s="5" t="n">
        <v>0</v>
      </c>
      <c r="X24" s="5" t="n">
        <v>418</v>
      </c>
      <c r="Y24" s="4"/>
      <c r="Z24" s="4"/>
      <c r="AA24" s="5" t="n">
        <v>1216958</v>
      </c>
      <c r="AB24" s="5" t="n">
        <v>1218752</v>
      </c>
    </row>
    <row r="25" customFormat="false" ht="12.8" hidden="false" customHeight="false" outlineLevel="0" collapsed="false">
      <c r="A25" s="4" t="s">
        <v>97</v>
      </c>
      <c r="B25" s="11" t="n">
        <v>1</v>
      </c>
      <c r="C25" s="5" t="n">
        <v>4096</v>
      </c>
      <c r="D25" s="5" t="n">
        <v>4096</v>
      </c>
      <c r="E25" s="5" t="n">
        <v>4096</v>
      </c>
      <c r="F25" s="5" t="n">
        <v>4096</v>
      </c>
      <c r="G25" s="4" t="s">
        <v>85</v>
      </c>
      <c r="H25" s="5" t="n">
        <v>200001</v>
      </c>
      <c r="I25" s="5" t="n">
        <v>28</v>
      </c>
      <c r="J25" s="7" t="n">
        <f aca="false">H25*I25</f>
        <v>5600028</v>
      </c>
      <c r="K25" s="8" t="n">
        <v>0.7383</v>
      </c>
      <c r="L25" s="8" t="n">
        <v>2.9688</v>
      </c>
      <c r="M25" s="5" t="n">
        <v>1124385</v>
      </c>
      <c r="N25" s="5" t="n">
        <v>1126597</v>
      </c>
      <c r="O25" s="7" t="n">
        <f aca="false">IF(N25=0,0,N25-M25)</f>
        <v>2212</v>
      </c>
      <c r="P25" s="9" t="n">
        <f aca="false">IFERROR(O25/N25,0)</f>
        <v>0.00196343501713567</v>
      </c>
      <c r="Q25" s="10" t="n">
        <f aca="false">IFERROR(J25/M25,0)</f>
        <v>4.98052535386011</v>
      </c>
      <c r="R25" s="10" t="n">
        <f aca="false">IFERROR(J25/N25,0)</f>
        <v>4.97074641597661</v>
      </c>
      <c r="S25" s="5" t="n">
        <v>6</v>
      </c>
      <c r="T25" s="5" t="n">
        <v>3</v>
      </c>
      <c r="U25" s="4"/>
      <c r="V25" s="4"/>
      <c r="W25" s="5" t="n">
        <v>0</v>
      </c>
      <c r="X25" s="5" t="n">
        <v>418</v>
      </c>
      <c r="Y25" s="4"/>
      <c r="Z25" s="4"/>
      <c r="AA25" s="5" t="n">
        <v>1124385</v>
      </c>
      <c r="AB25" s="5" t="n">
        <v>1126179</v>
      </c>
    </row>
    <row r="26" customFormat="false" ht="12.8" hidden="false" customHeight="false" outlineLevel="0" collapsed="false">
      <c r="A26" s="4" t="s">
        <v>97</v>
      </c>
      <c r="B26" s="11" t="n">
        <v>5</v>
      </c>
      <c r="C26" s="5" t="n">
        <v>4096</v>
      </c>
      <c r="D26" s="5" t="n">
        <v>4096</v>
      </c>
      <c r="E26" s="5" t="n">
        <v>4096</v>
      </c>
      <c r="F26" s="5" t="n">
        <v>4096</v>
      </c>
      <c r="G26" s="4" t="s">
        <v>85</v>
      </c>
      <c r="H26" s="5" t="n">
        <v>200001</v>
      </c>
      <c r="I26" s="5" t="n">
        <v>28</v>
      </c>
      <c r="J26" s="7" t="n">
        <f aca="false">H26*I26</f>
        <v>5600028</v>
      </c>
      <c r="K26" s="8" t="n">
        <v>0.6896</v>
      </c>
      <c r="L26" s="8" t="n">
        <v>2.8232</v>
      </c>
      <c r="M26" s="5" t="n">
        <v>1055305</v>
      </c>
      <c r="N26" s="5" t="n">
        <v>1057517</v>
      </c>
      <c r="O26" s="7" t="n">
        <f aca="false">IF(N26=0,0,N26-M26)</f>
        <v>2212</v>
      </c>
      <c r="P26" s="9" t="n">
        <f aca="false">IFERROR(O26/N26,0)</f>
        <v>0.00209169214301047</v>
      </c>
      <c r="Q26" s="10" t="n">
        <f aca="false">IFERROR(J26/M26,0)</f>
        <v>5.30654929143707</v>
      </c>
      <c r="R26" s="10" t="n">
        <f aca="false">IFERROR(J26/N26,0)</f>
        <v>5.29544962397768</v>
      </c>
      <c r="S26" s="5" t="n">
        <v>6</v>
      </c>
      <c r="T26" s="5" t="n">
        <v>3</v>
      </c>
      <c r="U26" s="4"/>
      <c r="V26" s="4"/>
      <c r="W26" s="5" t="n">
        <v>0</v>
      </c>
      <c r="X26" s="5" t="n">
        <v>418</v>
      </c>
      <c r="Y26" s="4"/>
      <c r="Z26" s="4"/>
      <c r="AA26" s="5" t="n">
        <v>1055305</v>
      </c>
      <c r="AB26" s="5" t="n">
        <v>1057099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5"/>
    <col collapsed="false" customWidth="true" hidden="false" outlineLevel="0" max="13" min="2" style="0" width="13.62"/>
  </cols>
  <sheetData>
    <row r="1" customFormat="false" ht="23.85" hidden="false" customHeight="false" outlineLevel="0" collapsed="false">
      <c r="A1" s="6" t="s">
        <v>22</v>
      </c>
      <c r="B1" s="6" t="s">
        <v>98</v>
      </c>
      <c r="C1" s="6" t="s">
        <v>99</v>
      </c>
      <c r="D1" s="6" t="s">
        <v>76</v>
      </c>
      <c r="E1" s="6" t="s">
        <v>100</v>
      </c>
      <c r="F1" s="6" t="s">
        <v>101</v>
      </c>
      <c r="G1" s="6" t="s">
        <v>102</v>
      </c>
      <c r="H1" s="6" t="s">
        <v>103</v>
      </c>
      <c r="I1" s="6" t="s">
        <v>104</v>
      </c>
      <c r="J1" s="6" t="s">
        <v>105</v>
      </c>
      <c r="K1" s="6" t="s">
        <v>106</v>
      </c>
      <c r="L1" s="6" t="s">
        <v>107</v>
      </c>
      <c r="M1" s="6" t="s">
        <v>108</v>
      </c>
    </row>
    <row r="2" customFormat="false" ht="12.8" hidden="false" customHeight="false" outlineLevel="0" collapsed="false">
      <c r="A2" s="4" t="s">
        <v>34</v>
      </c>
      <c r="B2" s="4" t="s">
        <v>35</v>
      </c>
      <c r="C2" s="4" t="s">
        <v>36</v>
      </c>
      <c r="D2" s="11" t="n">
        <v>0</v>
      </c>
      <c r="E2" s="5" t="n">
        <v>86</v>
      </c>
      <c r="F2" s="5" t="n">
        <v>150881</v>
      </c>
      <c r="G2" s="10" t="n">
        <f aca="false">F2/200001</f>
        <v>0.75440122799386</v>
      </c>
      <c r="H2" s="7" t="n">
        <f aca="false">F2-F2</f>
        <v>0</v>
      </c>
      <c r="I2" s="9" t="n">
        <f aca="false">IFERROR((F2-F2)/F2,0)</f>
        <v>0</v>
      </c>
      <c r="J2" s="4" t="s">
        <v>109</v>
      </c>
      <c r="K2" s="8" t="n">
        <v>0</v>
      </c>
      <c r="L2" s="10" t="n">
        <f aca="false">D2/100</f>
        <v>0</v>
      </c>
      <c r="M2" s="4" t="str">
        <f aca="false">IF(K2&lt;=L2,"within","EXCEEDED")</f>
        <v>within</v>
      </c>
    </row>
    <row r="3" customFormat="false" ht="12.8" hidden="false" customHeight="false" outlineLevel="0" collapsed="false">
      <c r="A3" s="4" t="s">
        <v>37</v>
      </c>
      <c r="B3" s="4" t="s">
        <v>35</v>
      </c>
      <c r="C3" s="4" t="s">
        <v>36</v>
      </c>
      <c r="D3" s="11" t="n">
        <v>0</v>
      </c>
      <c r="E3" s="5" t="n">
        <v>86</v>
      </c>
      <c r="F3" s="5" t="n">
        <v>75870</v>
      </c>
      <c r="G3" s="10" t="n">
        <f aca="false">F3/200001</f>
        <v>0.379348103259484</v>
      </c>
      <c r="H3" s="7" t="n">
        <f aca="false">F3-F3</f>
        <v>0</v>
      </c>
      <c r="I3" s="9" t="n">
        <f aca="false">IFERROR((F3-F3)/F3,0)</f>
        <v>0</v>
      </c>
      <c r="J3" s="4" t="s">
        <v>109</v>
      </c>
      <c r="K3" s="8" t="n">
        <v>0</v>
      </c>
      <c r="L3" s="10" t="n">
        <f aca="false">D3/100</f>
        <v>0</v>
      </c>
      <c r="M3" s="4" t="str">
        <f aca="false">IF(K3&lt;=L3,"within","EXCEEDED")</f>
        <v>within</v>
      </c>
    </row>
    <row r="4" customFormat="false" ht="12.8" hidden="false" customHeight="false" outlineLevel="0" collapsed="false">
      <c r="A4" s="4" t="s">
        <v>38</v>
      </c>
      <c r="B4" s="4" t="s">
        <v>39</v>
      </c>
      <c r="C4" s="4" t="s">
        <v>41</v>
      </c>
      <c r="D4" s="11" t="n">
        <v>0</v>
      </c>
      <c r="E4" s="5" t="n">
        <v>86</v>
      </c>
      <c r="F4" s="5" t="n">
        <v>697848</v>
      </c>
      <c r="G4" s="10" t="n">
        <f aca="false">F4/200001</f>
        <v>3.48922255388723</v>
      </c>
      <c r="H4" s="7" t="n">
        <f aca="false">F4-F4</f>
        <v>0</v>
      </c>
      <c r="I4" s="9" t="n">
        <f aca="false">IFERROR((F4-F4)/F4,0)</f>
        <v>0</v>
      </c>
      <c r="J4" s="4" t="s">
        <v>110</v>
      </c>
      <c r="K4" s="8" t="n">
        <v>0</v>
      </c>
      <c r="L4" s="10" t="n">
        <f aca="false">D4/100</f>
        <v>0</v>
      </c>
      <c r="M4" s="4" t="str">
        <f aca="false">IF(K4&lt;=L4,"within","EXCEEDED")</f>
        <v>within</v>
      </c>
    </row>
    <row r="5" customFormat="false" ht="12.8" hidden="false" customHeight="false" outlineLevel="0" collapsed="false">
      <c r="A5" s="4" t="s">
        <v>111</v>
      </c>
      <c r="B5" s="4" t="s">
        <v>43</v>
      </c>
      <c r="C5" s="4" t="s">
        <v>36</v>
      </c>
      <c r="D5" s="11" t="n">
        <v>0</v>
      </c>
      <c r="E5" s="5" t="n">
        <v>86</v>
      </c>
      <c r="F5" s="5" t="n">
        <v>574425</v>
      </c>
      <c r="G5" s="10" t="n">
        <f aca="false">F5/200001</f>
        <v>2.8721106394468</v>
      </c>
      <c r="H5" s="7" t="n">
        <f aca="false">F5-F5</f>
        <v>0</v>
      </c>
      <c r="I5" s="9" t="n">
        <f aca="false">IFERROR((F5-F5)/F5,0)</f>
        <v>0</v>
      </c>
      <c r="J5" s="4" t="s">
        <v>109</v>
      </c>
      <c r="K5" s="8" t="n">
        <v>0</v>
      </c>
      <c r="L5" s="10" t="n">
        <f aca="false">D5/100</f>
        <v>0</v>
      </c>
      <c r="M5" s="4" t="str">
        <f aca="false">IF(K5&lt;=L5,"within","EXCEEDED")</f>
        <v>within</v>
      </c>
    </row>
    <row r="6" customFormat="false" ht="12.8" hidden="false" customHeight="false" outlineLevel="0" collapsed="false">
      <c r="A6" s="4" t="s">
        <v>34</v>
      </c>
      <c r="B6" s="4" t="s">
        <v>35</v>
      </c>
      <c r="C6" s="4" t="s">
        <v>36</v>
      </c>
      <c r="D6" s="11" t="n">
        <v>0.01</v>
      </c>
      <c r="E6" s="5" t="n">
        <v>86</v>
      </c>
      <c r="F6" s="5" t="n">
        <v>150881</v>
      </c>
      <c r="G6" s="10" t="n">
        <f aca="false">F6/200001</f>
        <v>0.75440122799386</v>
      </c>
      <c r="H6" s="7" t="n">
        <f aca="false">F6-F2</f>
        <v>0</v>
      </c>
      <c r="I6" s="9" t="n">
        <f aca="false">IFERROR((F6-F2)/F2,0)</f>
        <v>0</v>
      </c>
      <c r="J6" s="4" t="s">
        <v>109</v>
      </c>
      <c r="K6" s="8" t="n">
        <v>0</v>
      </c>
      <c r="L6" s="10" t="n">
        <f aca="false">D6/100</f>
        <v>0.0001</v>
      </c>
      <c r="M6" s="4" t="str">
        <f aca="false">IF(K6&lt;=L6,"within","EXCEEDED")</f>
        <v>within</v>
      </c>
    </row>
    <row r="7" customFormat="false" ht="12.8" hidden="false" customHeight="false" outlineLevel="0" collapsed="false">
      <c r="A7" s="4" t="s">
        <v>37</v>
      </c>
      <c r="B7" s="4" t="s">
        <v>35</v>
      </c>
      <c r="C7" s="4" t="s">
        <v>36</v>
      </c>
      <c r="D7" s="11" t="n">
        <v>0.01</v>
      </c>
      <c r="E7" s="5" t="n">
        <v>86</v>
      </c>
      <c r="F7" s="5" t="n">
        <v>75870</v>
      </c>
      <c r="G7" s="10" t="n">
        <f aca="false">F7/200001</f>
        <v>0.379348103259484</v>
      </c>
      <c r="H7" s="7" t="n">
        <f aca="false">F7-F3</f>
        <v>0</v>
      </c>
      <c r="I7" s="9" t="n">
        <f aca="false">IFERROR((F7-F3)/F3,0)</f>
        <v>0</v>
      </c>
      <c r="J7" s="4" t="s">
        <v>109</v>
      </c>
      <c r="K7" s="8" t="n">
        <v>0</v>
      </c>
      <c r="L7" s="10" t="n">
        <f aca="false">D7/100</f>
        <v>0.0001</v>
      </c>
      <c r="M7" s="4" t="str">
        <f aca="false">IF(K7&lt;=L7,"within","EXCEEDED")</f>
        <v>within</v>
      </c>
    </row>
    <row r="8" customFormat="false" ht="12.8" hidden="false" customHeight="false" outlineLevel="0" collapsed="false">
      <c r="A8" s="4" t="s">
        <v>38</v>
      </c>
      <c r="B8" s="4" t="s">
        <v>39</v>
      </c>
      <c r="C8" s="4" t="s">
        <v>41</v>
      </c>
      <c r="D8" s="11" t="n">
        <v>0.01</v>
      </c>
      <c r="E8" s="5" t="n">
        <v>86</v>
      </c>
      <c r="F8" s="5" t="n">
        <v>404387</v>
      </c>
      <c r="G8" s="10" t="n">
        <f aca="false">F8/200001</f>
        <v>2.02192489037555</v>
      </c>
      <c r="H8" s="7" t="n">
        <f aca="false">F8-F4</f>
        <v>-293461</v>
      </c>
      <c r="I8" s="9" t="n">
        <f aca="false">IFERROR((F8-F4)/F4,0)</f>
        <v>-0.420522807258887</v>
      </c>
      <c r="J8" s="4" t="s">
        <v>112</v>
      </c>
      <c r="K8" s="8" t="n">
        <v>9.99979122E-005</v>
      </c>
      <c r="L8" s="10" t="n">
        <f aca="false">D8/100</f>
        <v>0.0001</v>
      </c>
      <c r="M8" s="4" t="str">
        <f aca="false">IF(K8&lt;=L8,"within","EXCEEDED")</f>
        <v>within</v>
      </c>
    </row>
    <row r="9" customFormat="false" ht="12.8" hidden="false" customHeight="false" outlineLevel="0" collapsed="false">
      <c r="A9" s="4" t="s">
        <v>111</v>
      </c>
      <c r="B9" s="4" t="s">
        <v>43</v>
      </c>
      <c r="C9" s="4" t="s">
        <v>36</v>
      </c>
      <c r="D9" s="11" t="n">
        <v>0.01</v>
      </c>
      <c r="E9" s="5" t="n">
        <v>86</v>
      </c>
      <c r="F9" s="5" t="n">
        <v>574425</v>
      </c>
      <c r="G9" s="10" t="n">
        <f aca="false">F9/200001</f>
        <v>2.8721106394468</v>
      </c>
      <c r="H9" s="7" t="n">
        <f aca="false">F9-F5</f>
        <v>0</v>
      </c>
      <c r="I9" s="9" t="n">
        <f aca="false">IFERROR((F9-F5)/F5,0)</f>
        <v>0</v>
      </c>
      <c r="J9" s="4" t="s">
        <v>109</v>
      </c>
      <c r="K9" s="8" t="n">
        <v>0</v>
      </c>
      <c r="L9" s="10" t="n">
        <f aca="false">D9/100</f>
        <v>0.0001</v>
      </c>
      <c r="M9" s="4" t="str">
        <f aca="false">IF(K9&lt;=L9,"within","EXCEEDED")</f>
        <v>within</v>
      </c>
    </row>
    <row r="10" customFormat="false" ht="12.8" hidden="false" customHeight="false" outlineLevel="0" collapsed="false">
      <c r="A10" s="4" t="s">
        <v>34</v>
      </c>
      <c r="B10" s="4" t="s">
        <v>35</v>
      </c>
      <c r="C10" s="4" t="s">
        <v>36</v>
      </c>
      <c r="D10" s="11" t="n">
        <v>0.1</v>
      </c>
      <c r="E10" s="5" t="n">
        <v>86</v>
      </c>
      <c r="F10" s="5" t="n">
        <v>150881</v>
      </c>
      <c r="G10" s="10" t="n">
        <f aca="false">F10/200001</f>
        <v>0.75440122799386</v>
      </c>
      <c r="H10" s="7" t="n">
        <f aca="false">F10-F2</f>
        <v>0</v>
      </c>
      <c r="I10" s="9" t="n">
        <f aca="false">IFERROR((F10-F2)/F2,0)</f>
        <v>0</v>
      </c>
      <c r="J10" s="4" t="s">
        <v>109</v>
      </c>
      <c r="K10" s="8" t="n">
        <v>0</v>
      </c>
      <c r="L10" s="10" t="n">
        <f aca="false">D10/100</f>
        <v>0.001</v>
      </c>
      <c r="M10" s="4" t="str">
        <f aca="false">IF(K10&lt;=L10,"within","EXCEEDED")</f>
        <v>within</v>
      </c>
    </row>
    <row r="11" customFormat="false" ht="12.8" hidden="false" customHeight="false" outlineLevel="0" collapsed="false">
      <c r="A11" s="4" t="s">
        <v>37</v>
      </c>
      <c r="B11" s="4" t="s">
        <v>35</v>
      </c>
      <c r="C11" s="4" t="s">
        <v>36</v>
      </c>
      <c r="D11" s="11" t="n">
        <v>0.1</v>
      </c>
      <c r="E11" s="5" t="n">
        <v>86</v>
      </c>
      <c r="F11" s="5" t="n">
        <v>75870</v>
      </c>
      <c r="G11" s="10" t="n">
        <f aca="false">F11/200001</f>
        <v>0.379348103259484</v>
      </c>
      <c r="H11" s="7" t="n">
        <f aca="false">F11-F3</f>
        <v>0</v>
      </c>
      <c r="I11" s="9" t="n">
        <f aca="false">IFERROR((F11-F3)/F3,0)</f>
        <v>0</v>
      </c>
      <c r="J11" s="4" t="s">
        <v>109</v>
      </c>
      <c r="K11" s="8" t="n">
        <v>0</v>
      </c>
      <c r="L11" s="10" t="n">
        <f aca="false">D11/100</f>
        <v>0.001</v>
      </c>
      <c r="M11" s="4" t="str">
        <f aca="false">IF(K11&lt;=L11,"within","EXCEEDED")</f>
        <v>within</v>
      </c>
    </row>
    <row r="12" customFormat="false" ht="12.8" hidden="false" customHeight="false" outlineLevel="0" collapsed="false">
      <c r="A12" s="4" t="s">
        <v>38</v>
      </c>
      <c r="B12" s="4" t="s">
        <v>39</v>
      </c>
      <c r="C12" s="4" t="s">
        <v>41</v>
      </c>
      <c r="D12" s="11" t="n">
        <v>0.1</v>
      </c>
      <c r="E12" s="5" t="n">
        <v>86</v>
      </c>
      <c r="F12" s="5" t="n">
        <v>335378</v>
      </c>
      <c r="G12" s="10" t="n">
        <f aca="false">F12/200001</f>
        <v>1.67688161559192</v>
      </c>
      <c r="H12" s="7" t="n">
        <f aca="false">F12-F4</f>
        <v>-362470</v>
      </c>
      <c r="I12" s="9" t="n">
        <f aca="false">IFERROR((F12-F4)/F4,0)</f>
        <v>-0.519411103850695</v>
      </c>
      <c r="J12" s="4" t="s">
        <v>112</v>
      </c>
      <c r="K12" s="8" t="n">
        <v>0.000999989495</v>
      </c>
      <c r="L12" s="10" t="n">
        <f aca="false">D12/100</f>
        <v>0.001</v>
      </c>
      <c r="M12" s="4" t="str">
        <f aca="false">IF(K12&lt;=L12,"within","EXCEEDED")</f>
        <v>within</v>
      </c>
    </row>
    <row r="13" customFormat="false" ht="12.8" hidden="false" customHeight="false" outlineLevel="0" collapsed="false">
      <c r="A13" s="4" t="s">
        <v>111</v>
      </c>
      <c r="B13" s="4" t="s">
        <v>43</v>
      </c>
      <c r="C13" s="4" t="s">
        <v>36</v>
      </c>
      <c r="D13" s="11" t="n">
        <v>0.1</v>
      </c>
      <c r="E13" s="5" t="n">
        <v>86</v>
      </c>
      <c r="F13" s="5" t="n">
        <v>574425</v>
      </c>
      <c r="G13" s="10" t="n">
        <f aca="false">F13/200001</f>
        <v>2.8721106394468</v>
      </c>
      <c r="H13" s="7" t="n">
        <f aca="false">F13-F5</f>
        <v>0</v>
      </c>
      <c r="I13" s="9" t="n">
        <f aca="false">IFERROR((F13-F5)/F5,0)</f>
        <v>0</v>
      </c>
      <c r="J13" s="4" t="s">
        <v>109</v>
      </c>
      <c r="K13" s="8" t="n">
        <v>0</v>
      </c>
      <c r="L13" s="10" t="n">
        <f aca="false">D13/100</f>
        <v>0.001</v>
      </c>
      <c r="M13" s="4" t="str">
        <f aca="false">IF(K13&lt;=L13,"within","EXCEEDED")</f>
        <v>within</v>
      </c>
    </row>
    <row r="14" customFormat="false" ht="12.8" hidden="false" customHeight="false" outlineLevel="0" collapsed="false">
      <c r="A14" s="4" t="s">
        <v>34</v>
      </c>
      <c r="B14" s="4" t="s">
        <v>35</v>
      </c>
      <c r="C14" s="4" t="s">
        <v>36</v>
      </c>
      <c r="D14" s="11" t="n">
        <v>0.5</v>
      </c>
      <c r="E14" s="5" t="n">
        <v>86</v>
      </c>
      <c r="F14" s="5" t="n">
        <v>150881</v>
      </c>
      <c r="G14" s="10" t="n">
        <f aca="false">F14/200001</f>
        <v>0.75440122799386</v>
      </c>
      <c r="H14" s="7" t="n">
        <f aca="false">F14-F2</f>
        <v>0</v>
      </c>
      <c r="I14" s="9" t="n">
        <f aca="false">IFERROR((F14-F2)/F2,0)</f>
        <v>0</v>
      </c>
      <c r="J14" s="4" t="s">
        <v>109</v>
      </c>
      <c r="K14" s="8" t="n">
        <v>0</v>
      </c>
      <c r="L14" s="10" t="n">
        <f aca="false">D14/100</f>
        <v>0.005</v>
      </c>
      <c r="M14" s="4" t="str">
        <f aca="false">IF(K14&lt;=L14,"within","EXCEEDED")</f>
        <v>within</v>
      </c>
    </row>
    <row r="15" customFormat="false" ht="12.8" hidden="false" customHeight="false" outlineLevel="0" collapsed="false">
      <c r="A15" s="4" t="s">
        <v>37</v>
      </c>
      <c r="B15" s="4" t="s">
        <v>35</v>
      </c>
      <c r="C15" s="4" t="s">
        <v>36</v>
      </c>
      <c r="D15" s="11" t="n">
        <v>0.5</v>
      </c>
      <c r="E15" s="5" t="n">
        <v>86</v>
      </c>
      <c r="F15" s="5" t="n">
        <v>75870</v>
      </c>
      <c r="G15" s="10" t="n">
        <f aca="false">F15/200001</f>
        <v>0.379348103259484</v>
      </c>
      <c r="H15" s="7" t="n">
        <f aca="false">F15-F3</f>
        <v>0</v>
      </c>
      <c r="I15" s="9" t="n">
        <f aca="false">IFERROR((F15-F3)/F3,0)</f>
        <v>0</v>
      </c>
      <c r="J15" s="4" t="s">
        <v>109</v>
      </c>
      <c r="K15" s="8" t="n">
        <v>0</v>
      </c>
      <c r="L15" s="10" t="n">
        <f aca="false">D15/100</f>
        <v>0.005</v>
      </c>
      <c r="M15" s="4" t="str">
        <f aca="false">IF(K15&lt;=L15,"within","EXCEEDED")</f>
        <v>within</v>
      </c>
    </row>
    <row r="16" customFormat="false" ht="12.8" hidden="false" customHeight="false" outlineLevel="0" collapsed="false">
      <c r="A16" s="4" t="s">
        <v>38</v>
      </c>
      <c r="B16" s="4" t="s">
        <v>39</v>
      </c>
      <c r="C16" s="4" t="s">
        <v>41</v>
      </c>
      <c r="D16" s="11" t="n">
        <v>0.5</v>
      </c>
      <c r="E16" s="5" t="n">
        <v>86</v>
      </c>
      <c r="F16" s="5" t="n">
        <v>275907</v>
      </c>
      <c r="G16" s="10" t="n">
        <f aca="false">F16/200001</f>
        <v>1.37952810235949</v>
      </c>
      <c r="H16" s="7" t="n">
        <f aca="false">F16-F4</f>
        <v>-421941</v>
      </c>
      <c r="I16" s="9" t="n">
        <f aca="false">IFERROR((F16-F4)/F4,0)</f>
        <v>-0.604631667641091</v>
      </c>
      <c r="J16" s="4" t="s">
        <v>112</v>
      </c>
      <c r="K16" s="8" t="n">
        <v>0.00499984237</v>
      </c>
      <c r="L16" s="10" t="n">
        <f aca="false">D16/100</f>
        <v>0.005</v>
      </c>
      <c r="M16" s="4" t="str">
        <f aca="false">IF(K16&lt;=L16,"within","EXCEEDED")</f>
        <v>within</v>
      </c>
    </row>
    <row r="17" customFormat="false" ht="12.8" hidden="false" customHeight="false" outlineLevel="0" collapsed="false">
      <c r="A17" s="4" t="s">
        <v>111</v>
      </c>
      <c r="B17" s="4" t="s">
        <v>43</v>
      </c>
      <c r="C17" s="4" t="s">
        <v>36</v>
      </c>
      <c r="D17" s="11" t="n">
        <v>0.5</v>
      </c>
      <c r="E17" s="5" t="n">
        <v>86</v>
      </c>
      <c r="F17" s="5" t="n">
        <v>574425</v>
      </c>
      <c r="G17" s="10" t="n">
        <f aca="false">F17/200001</f>
        <v>2.8721106394468</v>
      </c>
      <c r="H17" s="7" t="n">
        <f aca="false">F17-F5</f>
        <v>0</v>
      </c>
      <c r="I17" s="9" t="n">
        <f aca="false">IFERROR((F17-F5)/F5,0)</f>
        <v>0</v>
      </c>
      <c r="J17" s="4" t="s">
        <v>109</v>
      </c>
      <c r="K17" s="8" t="n">
        <v>0</v>
      </c>
      <c r="L17" s="10" t="n">
        <f aca="false">D17/100</f>
        <v>0.005</v>
      </c>
      <c r="M17" s="4" t="str">
        <f aca="false">IF(K17&lt;=L17,"within","EXCEEDED")</f>
        <v>within</v>
      </c>
    </row>
    <row r="18" customFormat="false" ht="12.8" hidden="false" customHeight="false" outlineLevel="0" collapsed="false">
      <c r="A18" s="4" t="s">
        <v>34</v>
      </c>
      <c r="B18" s="4" t="s">
        <v>35</v>
      </c>
      <c r="C18" s="4" t="s">
        <v>36</v>
      </c>
      <c r="D18" s="11" t="n">
        <v>1</v>
      </c>
      <c r="E18" s="5" t="n">
        <v>86</v>
      </c>
      <c r="F18" s="5" t="n">
        <v>150881</v>
      </c>
      <c r="G18" s="10" t="n">
        <f aca="false">F18/200001</f>
        <v>0.75440122799386</v>
      </c>
      <c r="H18" s="7" t="n">
        <f aca="false">F18-F2</f>
        <v>0</v>
      </c>
      <c r="I18" s="9" t="n">
        <f aca="false">IFERROR((F18-F2)/F2,0)</f>
        <v>0</v>
      </c>
      <c r="J18" s="4" t="s">
        <v>109</v>
      </c>
      <c r="K18" s="8" t="n">
        <v>0</v>
      </c>
      <c r="L18" s="10" t="n">
        <f aca="false">D18/100</f>
        <v>0.01</v>
      </c>
      <c r="M18" s="4" t="str">
        <f aca="false">IF(K18&lt;=L18,"within","EXCEEDED")</f>
        <v>within</v>
      </c>
    </row>
    <row r="19" customFormat="false" ht="12.8" hidden="false" customHeight="false" outlineLevel="0" collapsed="false">
      <c r="A19" s="4" t="s">
        <v>37</v>
      </c>
      <c r="B19" s="4" t="s">
        <v>35</v>
      </c>
      <c r="C19" s="4" t="s">
        <v>36</v>
      </c>
      <c r="D19" s="11" t="n">
        <v>1</v>
      </c>
      <c r="E19" s="5" t="n">
        <v>86</v>
      </c>
      <c r="F19" s="5" t="n">
        <v>75870</v>
      </c>
      <c r="G19" s="10" t="n">
        <f aca="false">F19/200001</f>
        <v>0.379348103259484</v>
      </c>
      <c r="H19" s="7" t="n">
        <f aca="false">F19-F3</f>
        <v>0</v>
      </c>
      <c r="I19" s="9" t="n">
        <f aca="false">IFERROR((F19-F3)/F3,0)</f>
        <v>0</v>
      </c>
      <c r="J19" s="4" t="s">
        <v>109</v>
      </c>
      <c r="K19" s="8" t="n">
        <v>0</v>
      </c>
      <c r="L19" s="10" t="n">
        <f aca="false">D19/100</f>
        <v>0.01</v>
      </c>
      <c r="M19" s="4" t="str">
        <f aca="false">IF(K19&lt;=L19,"within","EXCEEDED")</f>
        <v>within</v>
      </c>
    </row>
    <row r="20" customFormat="false" ht="12.8" hidden="false" customHeight="false" outlineLevel="0" collapsed="false">
      <c r="A20" s="4" t="s">
        <v>38</v>
      </c>
      <c r="B20" s="4" t="s">
        <v>39</v>
      </c>
      <c r="C20" s="4" t="s">
        <v>41</v>
      </c>
      <c r="D20" s="11" t="n">
        <v>1</v>
      </c>
      <c r="E20" s="5" t="n">
        <v>86</v>
      </c>
      <c r="F20" s="5" t="n">
        <v>252612</v>
      </c>
      <c r="G20" s="10" t="n">
        <f aca="false">F20/200001</f>
        <v>1.26305368473158</v>
      </c>
      <c r="H20" s="7" t="n">
        <f aca="false">F20-F4</f>
        <v>-445236</v>
      </c>
      <c r="I20" s="9" t="n">
        <f aca="false">IFERROR((F20-F4)/F4,0)</f>
        <v>-0.638012862399835</v>
      </c>
      <c r="J20" s="4" t="s">
        <v>112</v>
      </c>
      <c r="K20" s="8" t="n">
        <v>0.00999997912</v>
      </c>
      <c r="L20" s="10" t="n">
        <f aca="false">D20/100</f>
        <v>0.01</v>
      </c>
      <c r="M20" s="4" t="str">
        <f aca="false">IF(K20&lt;=L20,"within","EXCEEDED")</f>
        <v>within</v>
      </c>
    </row>
    <row r="21" customFormat="false" ht="12.8" hidden="false" customHeight="false" outlineLevel="0" collapsed="false">
      <c r="A21" s="4" t="s">
        <v>111</v>
      </c>
      <c r="B21" s="4" t="s">
        <v>43</v>
      </c>
      <c r="C21" s="4" t="s">
        <v>36</v>
      </c>
      <c r="D21" s="11" t="n">
        <v>1</v>
      </c>
      <c r="E21" s="5" t="n">
        <v>86</v>
      </c>
      <c r="F21" s="5" t="n">
        <v>574425</v>
      </c>
      <c r="G21" s="10" t="n">
        <f aca="false">F21/200001</f>
        <v>2.8721106394468</v>
      </c>
      <c r="H21" s="7" t="n">
        <f aca="false">F21-F5</f>
        <v>0</v>
      </c>
      <c r="I21" s="9" t="n">
        <f aca="false">IFERROR((F21-F5)/F5,0)</f>
        <v>0</v>
      </c>
      <c r="J21" s="4" t="s">
        <v>109</v>
      </c>
      <c r="K21" s="8" t="n">
        <v>0</v>
      </c>
      <c r="L21" s="10" t="n">
        <f aca="false">D21/100</f>
        <v>0.01</v>
      </c>
      <c r="M21" s="4" t="str">
        <f aca="false">IF(K21&lt;=L21,"within","EXCEEDED")</f>
        <v>within</v>
      </c>
    </row>
    <row r="22" customFormat="false" ht="12.8" hidden="false" customHeight="false" outlineLevel="0" collapsed="false">
      <c r="A22" s="4" t="s">
        <v>34</v>
      </c>
      <c r="B22" s="4" t="s">
        <v>35</v>
      </c>
      <c r="C22" s="4" t="s">
        <v>36</v>
      </c>
      <c r="D22" s="11" t="n">
        <v>2</v>
      </c>
      <c r="E22" s="5" t="n">
        <v>86</v>
      </c>
      <c r="F22" s="5" t="n">
        <v>150881</v>
      </c>
      <c r="G22" s="10" t="n">
        <f aca="false">F22/200001</f>
        <v>0.75440122799386</v>
      </c>
      <c r="H22" s="7" t="n">
        <f aca="false">F22-F2</f>
        <v>0</v>
      </c>
      <c r="I22" s="9" t="n">
        <f aca="false">IFERROR((F22-F2)/F2,0)</f>
        <v>0</v>
      </c>
      <c r="J22" s="4" t="s">
        <v>109</v>
      </c>
      <c r="K22" s="8" t="n">
        <v>0</v>
      </c>
      <c r="L22" s="10" t="n">
        <f aca="false">D22/100</f>
        <v>0.02</v>
      </c>
      <c r="M22" s="4" t="str">
        <f aca="false">IF(K22&lt;=L22,"within","EXCEEDED")</f>
        <v>within</v>
      </c>
    </row>
    <row r="23" customFormat="false" ht="12.8" hidden="false" customHeight="false" outlineLevel="0" collapsed="false">
      <c r="A23" s="4" t="s">
        <v>37</v>
      </c>
      <c r="B23" s="4" t="s">
        <v>35</v>
      </c>
      <c r="C23" s="4" t="s">
        <v>36</v>
      </c>
      <c r="D23" s="11" t="n">
        <v>2</v>
      </c>
      <c r="E23" s="5" t="n">
        <v>86</v>
      </c>
      <c r="F23" s="5" t="n">
        <v>75870</v>
      </c>
      <c r="G23" s="10" t="n">
        <f aca="false">F23/200001</f>
        <v>0.379348103259484</v>
      </c>
      <c r="H23" s="7" t="n">
        <f aca="false">F23-F3</f>
        <v>0</v>
      </c>
      <c r="I23" s="9" t="n">
        <f aca="false">IFERROR((F23-F3)/F3,0)</f>
        <v>0</v>
      </c>
      <c r="J23" s="4" t="s">
        <v>109</v>
      </c>
      <c r="K23" s="8" t="n">
        <v>0</v>
      </c>
      <c r="L23" s="10" t="n">
        <f aca="false">D23/100</f>
        <v>0.02</v>
      </c>
      <c r="M23" s="4" t="str">
        <f aca="false">IF(K23&lt;=L23,"within","EXCEEDED")</f>
        <v>within</v>
      </c>
    </row>
    <row r="24" customFormat="false" ht="12.8" hidden="false" customHeight="false" outlineLevel="0" collapsed="false">
      <c r="A24" s="4" t="s">
        <v>38</v>
      </c>
      <c r="B24" s="4" t="s">
        <v>39</v>
      </c>
      <c r="C24" s="4" t="s">
        <v>41</v>
      </c>
      <c r="D24" s="11" t="n">
        <v>2</v>
      </c>
      <c r="E24" s="5" t="n">
        <v>86</v>
      </c>
      <c r="F24" s="5" t="n">
        <v>192392</v>
      </c>
      <c r="G24" s="10" t="n">
        <f aca="false">F24/200001</f>
        <v>0.961955190224049</v>
      </c>
      <c r="H24" s="7" t="n">
        <f aca="false">F24-F4</f>
        <v>-505456</v>
      </c>
      <c r="I24" s="9" t="n">
        <f aca="false">IFERROR((F24-F4)/F4,0)</f>
        <v>-0.724306725819949</v>
      </c>
      <c r="J24" s="4" t="s">
        <v>112</v>
      </c>
      <c r="K24" s="8" t="n">
        <v>0.0199999694</v>
      </c>
      <c r="L24" s="10" t="n">
        <f aca="false">D24/100</f>
        <v>0.02</v>
      </c>
      <c r="M24" s="4" t="str">
        <f aca="false">IF(K24&lt;=L24,"within","EXCEEDED")</f>
        <v>within</v>
      </c>
    </row>
    <row r="25" customFormat="false" ht="12.8" hidden="false" customHeight="false" outlineLevel="0" collapsed="false">
      <c r="A25" s="4" t="s">
        <v>111</v>
      </c>
      <c r="B25" s="4" t="s">
        <v>43</v>
      </c>
      <c r="C25" s="4" t="s">
        <v>36</v>
      </c>
      <c r="D25" s="11" t="n">
        <v>2</v>
      </c>
      <c r="E25" s="5" t="n">
        <v>86</v>
      </c>
      <c r="F25" s="5" t="n">
        <v>574425</v>
      </c>
      <c r="G25" s="10" t="n">
        <f aca="false">F25/200001</f>
        <v>2.8721106394468</v>
      </c>
      <c r="H25" s="7" t="n">
        <f aca="false">F25-F5</f>
        <v>0</v>
      </c>
      <c r="I25" s="9" t="n">
        <f aca="false">IFERROR((F25-F5)/F5,0)</f>
        <v>0</v>
      </c>
      <c r="J25" s="4" t="s">
        <v>109</v>
      </c>
      <c r="K25" s="8" t="n">
        <v>0</v>
      </c>
      <c r="L25" s="10" t="n">
        <f aca="false">D25/100</f>
        <v>0.02</v>
      </c>
      <c r="M25" s="4" t="str">
        <f aca="false">IF(K25&lt;=L25,"within","EXCEEDED")</f>
        <v>within</v>
      </c>
    </row>
    <row r="26" customFormat="false" ht="12.8" hidden="false" customHeight="false" outlineLevel="0" collapsed="false">
      <c r="A26" s="4" t="s">
        <v>34</v>
      </c>
      <c r="B26" s="4" t="s">
        <v>35</v>
      </c>
      <c r="C26" s="4" t="s">
        <v>36</v>
      </c>
      <c r="D26" s="11" t="n">
        <v>5</v>
      </c>
      <c r="E26" s="5" t="n">
        <v>86</v>
      </c>
      <c r="F26" s="5" t="n">
        <v>150881</v>
      </c>
      <c r="G26" s="10" t="n">
        <f aca="false">F26/200001</f>
        <v>0.75440122799386</v>
      </c>
      <c r="H26" s="7" t="n">
        <f aca="false">F26-F2</f>
        <v>0</v>
      </c>
      <c r="I26" s="9" t="n">
        <f aca="false">IFERROR((F26-F2)/F2,0)</f>
        <v>0</v>
      </c>
      <c r="J26" s="4" t="s">
        <v>109</v>
      </c>
      <c r="K26" s="8" t="n">
        <v>0</v>
      </c>
      <c r="L26" s="10" t="n">
        <f aca="false">D26/100</f>
        <v>0.05</v>
      </c>
      <c r="M26" s="4" t="str">
        <f aca="false">IF(K26&lt;=L26,"within","EXCEEDED")</f>
        <v>within</v>
      </c>
    </row>
    <row r="27" customFormat="false" ht="12.8" hidden="false" customHeight="false" outlineLevel="0" collapsed="false">
      <c r="A27" s="4" t="s">
        <v>37</v>
      </c>
      <c r="B27" s="4" t="s">
        <v>35</v>
      </c>
      <c r="C27" s="4" t="s">
        <v>36</v>
      </c>
      <c r="D27" s="11" t="n">
        <v>5</v>
      </c>
      <c r="E27" s="5" t="n">
        <v>86</v>
      </c>
      <c r="F27" s="5" t="n">
        <v>75870</v>
      </c>
      <c r="G27" s="10" t="n">
        <f aca="false">F27/200001</f>
        <v>0.379348103259484</v>
      </c>
      <c r="H27" s="7" t="n">
        <f aca="false">F27-F3</f>
        <v>0</v>
      </c>
      <c r="I27" s="9" t="n">
        <f aca="false">IFERROR((F27-F3)/F3,0)</f>
        <v>0</v>
      </c>
      <c r="J27" s="4" t="s">
        <v>109</v>
      </c>
      <c r="K27" s="8" t="n">
        <v>0</v>
      </c>
      <c r="L27" s="10" t="n">
        <f aca="false">D27/100</f>
        <v>0.05</v>
      </c>
      <c r="M27" s="4" t="str">
        <f aca="false">IF(K27&lt;=L27,"within","EXCEEDED")</f>
        <v>within</v>
      </c>
    </row>
    <row r="28" customFormat="false" ht="12.8" hidden="false" customHeight="false" outlineLevel="0" collapsed="false">
      <c r="A28" s="4" t="s">
        <v>38</v>
      </c>
      <c r="B28" s="4" t="s">
        <v>39</v>
      </c>
      <c r="C28" s="4" t="s">
        <v>41</v>
      </c>
      <c r="D28" s="11" t="n">
        <v>5</v>
      </c>
      <c r="E28" s="5" t="n">
        <v>86</v>
      </c>
      <c r="F28" s="5" t="n">
        <v>198882</v>
      </c>
      <c r="G28" s="10" t="n">
        <f aca="false">F28/200001</f>
        <v>0.99440502797486</v>
      </c>
      <c r="H28" s="7" t="n">
        <f aca="false">F28-F4</f>
        <v>-498966</v>
      </c>
      <c r="I28" s="9" t="n">
        <f aca="false">IFERROR((F28-F4)/F4,0)</f>
        <v>-0.715006706331465</v>
      </c>
      <c r="J28" s="4" t="s">
        <v>112</v>
      </c>
      <c r="K28" s="8" t="n">
        <v>0.0499991623</v>
      </c>
      <c r="L28" s="10" t="n">
        <f aca="false">D28/100</f>
        <v>0.05</v>
      </c>
      <c r="M28" s="4" t="str">
        <f aca="false">IF(K28&lt;=L28,"within","EXCEEDED")</f>
        <v>within</v>
      </c>
    </row>
    <row r="29" customFormat="false" ht="12.8" hidden="false" customHeight="false" outlineLevel="0" collapsed="false">
      <c r="A29" s="4" t="s">
        <v>111</v>
      </c>
      <c r="B29" s="4" t="s">
        <v>43</v>
      </c>
      <c r="C29" s="4" t="s">
        <v>36</v>
      </c>
      <c r="D29" s="11" t="n">
        <v>5</v>
      </c>
      <c r="E29" s="5" t="n">
        <v>86</v>
      </c>
      <c r="F29" s="5" t="n">
        <v>574425</v>
      </c>
      <c r="G29" s="10" t="n">
        <f aca="false">F29/200001</f>
        <v>2.8721106394468</v>
      </c>
      <c r="H29" s="7" t="n">
        <f aca="false">F29-F5</f>
        <v>0</v>
      </c>
      <c r="I29" s="9" t="n">
        <f aca="false">IFERROR((F29-F5)/F5,0)</f>
        <v>0</v>
      </c>
      <c r="J29" s="4" t="s">
        <v>109</v>
      </c>
      <c r="K29" s="8" t="n">
        <v>0</v>
      </c>
      <c r="L29" s="10" t="n">
        <f aca="false">D29/100</f>
        <v>0.05</v>
      </c>
      <c r="M29" s="4" t="str">
        <f aca="false">IF(K29&lt;=L29,"within","EXCEEDED")</f>
        <v>within</v>
      </c>
    </row>
    <row r="30" customFormat="false" ht="12.8" hidden="false" customHeight="false" outlineLevel="0" collapsed="false">
      <c r="A30" s="4" t="s">
        <v>34</v>
      </c>
      <c r="B30" s="4" t="s">
        <v>35</v>
      </c>
      <c r="C30" s="4" t="s">
        <v>36</v>
      </c>
      <c r="D30" s="11" t="n">
        <v>10</v>
      </c>
      <c r="E30" s="5" t="n">
        <v>86</v>
      </c>
      <c r="F30" s="5" t="n">
        <v>150881</v>
      </c>
      <c r="G30" s="10" t="n">
        <f aca="false">F30/200001</f>
        <v>0.75440122799386</v>
      </c>
      <c r="H30" s="7" t="n">
        <f aca="false">F30-F2</f>
        <v>0</v>
      </c>
      <c r="I30" s="9" t="n">
        <f aca="false">IFERROR((F30-F2)/F2,0)</f>
        <v>0</v>
      </c>
      <c r="J30" s="4" t="s">
        <v>109</v>
      </c>
      <c r="K30" s="8" t="n">
        <v>0</v>
      </c>
      <c r="L30" s="10" t="n">
        <f aca="false">D30/100</f>
        <v>0.1</v>
      </c>
      <c r="M30" s="4" t="str">
        <f aca="false">IF(K30&lt;=L30,"within","EXCEEDED")</f>
        <v>within</v>
      </c>
    </row>
    <row r="31" customFormat="false" ht="12.8" hidden="false" customHeight="false" outlineLevel="0" collapsed="false">
      <c r="A31" s="4" t="s">
        <v>37</v>
      </c>
      <c r="B31" s="4" t="s">
        <v>35</v>
      </c>
      <c r="C31" s="4" t="s">
        <v>36</v>
      </c>
      <c r="D31" s="11" t="n">
        <v>10</v>
      </c>
      <c r="E31" s="5" t="n">
        <v>86</v>
      </c>
      <c r="F31" s="5" t="n">
        <v>75870</v>
      </c>
      <c r="G31" s="10" t="n">
        <f aca="false">F31/200001</f>
        <v>0.379348103259484</v>
      </c>
      <c r="H31" s="7" t="n">
        <f aca="false">F31-F3</f>
        <v>0</v>
      </c>
      <c r="I31" s="9" t="n">
        <f aca="false">IFERROR((F31-F3)/F3,0)</f>
        <v>0</v>
      </c>
      <c r="J31" s="4" t="s">
        <v>109</v>
      </c>
      <c r="K31" s="8" t="n">
        <v>0</v>
      </c>
      <c r="L31" s="10" t="n">
        <f aca="false">D31/100</f>
        <v>0.1</v>
      </c>
      <c r="M31" s="4" t="str">
        <f aca="false">IF(K31&lt;=L31,"within","EXCEEDED")</f>
        <v>within</v>
      </c>
    </row>
    <row r="32" customFormat="false" ht="12.8" hidden="false" customHeight="false" outlineLevel="0" collapsed="false">
      <c r="A32" s="4" t="s">
        <v>38</v>
      </c>
      <c r="B32" s="4" t="s">
        <v>39</v>
      </c>
      <c r="C32" s="4" t="s">
        <v>41</v>
      </c>
      <c r="D32" s="11" t="n">
        <v>10</v>
      </c>
      <c r="E32" s="5" t="n">
        <v>86</v>
      </c>
      <c r="F32" s="5" t="n">
        <v>158442</v>
      </c>
      <c r="G32" s="10" t="n">
        <f aca="false">F32/200001</f>
        <v>0.792206038969805</v>
      </c>
      <c r="H32" s="7" t="n">
        <f aca="false">F32-F4</f>
        <v>-539406</v>
      </c>
      <c r="I32" s="9" t="n">
        <f aca="false">IFERROR((F32-F4)/F4,0)</f>
        <v>-0.772956288475427</v>
      </c>
      <c r="J32" s="4" t="s">
        <v>112</v>
      </c>
      <c r="K32" s="8" t="n">
        <v>0.0999987021</v>
      </c>
      <c r="L32" s="10" t="n">
        <f aca="false">D32/100</f>
        <v>0.1</v>
      </c>
      <c r="M32" s="4" t="str">
        <f aca="false">IF(K32&lt;=L32,"within","EXCEEDED")</f>
        <v>within</v>
      </c>
    </row>
    <row r="33" customFormat="false" ht="12.8" hidden="false" customHeight="false" outlineLevel="0" collapsed="false">
      <c r="A33" s="4" t="s">
        <v>111</v>
      </c>
      <c r="B33" s="4" t="s">
        <v>43</v>
      </c>
      <c r="C33" s="4" t="s">
        <v>36</v>
      </c>
      <c r="D33" s="11" t="n">
        <v>10</v>
      </c>
      <c r="E33" s="5" t="n">
        <v>86</v>
      </c>
      <c r="F33" s="5" t="n">
        <v>574425</v>
      </c>
      <c r="G33" s="10" t="n">
        <f aca="false">F33/200001</f>
        <v>2.8721106394468</v>
      </c>
      <c r="H33" s="7" t="n">
        <f aca="false">F33-F5</f>
        <v>0</v>
      </c>
      <c r="I33" s="9" t="n">
        <f aca="false">IFERROR((F33-F5)/F5,0)</f>
        <v>0</v>
      </c>
      <c r="J33" s="4" t="s">
        <v>109</v>
      </c>
      <c r="K33" s="8" t="n">
        <v>0</v>
      </c>
      <c r="L33" s="10" t="n">
        <f aca="false">D33/100</f>
        <v>0.1</v>
      </c>
      <c r="M33" s="4" t="str">
        <f aca="false">IF(K33&lt;=L33,"within","EXCEEDED")</f>
        <v>within</v>
      </c>
    </row>
    <row r="34" customFormat="false" ht="12.8" hidden="false" customHeight="false" outlineLevel="0" collapsed="false">
      <c r="A34" s="4" t="s">
        <v>34</v>
      </c>
      <c r="B34" s="4" t="s">
        <v>35</v>
      </c>
      <c r="C34" s="4" t="s">
        <v>36</v>
      </c>
      <c r="D34" s="11" t="n">
        <v>20</v>
      </c>
      <c r="E34" s="5" t="n">
        <v>86</v>
      </c>
      <c r="F34" s="5" t="n">
        <v>150881</v>
      </c>
      <c r="G34" s="10" t="n">
        <f aca="false">F34/200001</f>
        <v>0.75440122799386</v>
      </c>
      <c r="H34" s="7" t="n">
        <f aca="false">F34-F2</f>
        <v>0</v>
      </c>
      <c r="I34" s="9" t="n">
        <f aca="false">IFERROR((F34-F2)/F2,0)</f>
        <v>0</v>
      </c>
      <c r="J34" s="4" t="s">
        <v>109</v>
      </c>
      <c r="K34" s="8" t="n">
        <v>0</v>
      </c>
      <c r="L34" s="10" t="n">
        <f aca="false">D34/100</f>
        <v>0.2</v>
      </c>
      <c r="M34" s="4" t="str">
        <f aca="false">IF(K34&lt;=L34,"within","EXCEEDED")</f>
        <v>within</v>
      </c>
    </row>
    <row r="35" customFormat="false" ht="12.8" hidden="false" customHeight="false" outlineLevel="0" collapsed="false">
      <c r="A35" s="4" t="s">
        <v>37</v>
      </c>
      <c r="B35" s="4" t="s">
        <v>35</v>
      </c>
      <c r="C35" s="4" t="s">
        <v>36</v>
      </c>
      <c r="D35" s="11" t="n">
        <v>20</v>
      </c>
      <c r="E35" s="5" t="n">
        <v>86</v>
      </c>
      <c r="F35" s="5" t="n">
        <v>75870</v>
      </c>
      <c r="G35" s="10" t="n">
        <f aca="false">F35/200001</f>
        <v>0.379348103259484</v>
      </c>
      <c r="H35" s="7" t="n">
        <f aca="false">F35-F3</f>
        <v>0</v>
      </c>
      <c r="I35" s="9" t="n">
        <f aca="false">IFERROR((F35-F3)/F3,0)</f>
        <v>0</v>
      </c>
      <c r="J35" s="4" t="s">
        <v>109</v>
      </c>
      <c r="K35" s="8" t="n">
        <v>0</v>
      </c>
      <c r="L35" s="10" t="n">
        <f aca="false">D35/100</f>
        <v>0.2</v>
      </c>
      <c r="M35" s="4" t="str">
        <f aca="false">IF(K35&lt;=L35,"within","EXCEEDED")</f>
        <v>within</v>
      </c>
    </row>
    <row r="36" customFormat="false" ht="12.8" hidden="false" customHeight="false" outlineLevel="0" collapsed="false">
      <c r="A36" s="4" t="s">
        <v>38</v>
      </c>
      <c r="B36" s="4" t="s">
        <v>39</v>
      </c>
      <c r="C36" s="4" t="s">
        <v>41</v>
      </c>
      <c r="D36" s="11" t="n">
        <v>20</v>
      </c>
      <c r="E36" s="5" t="n">
        <v>86</v>
      </c>
      <c r="F36" s="5" t="n">
        <v>142123</v>
      </c>
      <c r="G36" s="10" t="n">
        <f aca="false">F36/200001</f>
        <v>0.710611446942765</v>
      </c>
      <c r="H36" s="7" t="n">
        <f aca="false">F36-F4</f>
        <v>-555725</v>
      </c>
      <c r="I36" s="9" t="n">
        <f aca="false">IFERROR((F36-F4)/F4,0)</f>
        <v>-0.796341037016657</v>
      </c>
      <c r="J36" s="4" t="s">
        <v>112</v>
      </c>
      <c r="K36" s="8" t="n">
        <v>0.199996964</v>
      </c>
      <c r="L36" s="10" t="n">
        <f aca="false">D36/100</f>
        <v>0.2</v>
      </c>
      <c r="M36" s="4" t="str">
        <f aca="false">IF(K36&lt;=L36,"within","EXCEEDED")</f>
        <v>within</v>
      </c>
    </row>
    <row r="37" customFormat="false" ht="12.8" hidden="false" customHeight="false" outlineLevel="0" collapsed="false">
      <c r="A37" s="4" t="s">
        <v>111</v>
      </c>
      <c r="B37" s="4" t="s">
        <v>43</v>
      </c>
      <c r="C37" s="4" t="s">
        <v>36</v>
      </c>
      <c r="D37" s="11" t="n">
        <v>20</v>
      </c>
      <c r="E37" s="5" t="n">
        <v>86</v>
      </c>
      <c r="F37" s="5" t="n">
        <v>574425</v>
      </c>
      <c r="G37" s="10" t="n">
        <f aca="false">F37/200001</f>
        <v>2.8721106394468</v>
      </c>
      <c r="H37" s="7" t="n">
        <f aca="false">F37-F5</f>
        <v>0</v>
      </c>
      <c r="I37" s="9" t="n">
        <f aca="false">IFERROR((F37-F5)/F5,0)</f>
        <v>0</v>
      </c>
      <c r="J37" s="4" t="s">
        <v>109</v>
      </c>
      <c r="K37" s="8" t="n">
        <v>0</v>
      </c>
      <c r="L37" s="10" t="n">
        <f aca="false">D37/100</f>
        <v>0.2</v>
      </c>
      <c r="M37" s="4" t="str">
        <f aca="false">IF(K37&lt;=L37,"within","EXCEEDED")</f>
        <v>within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