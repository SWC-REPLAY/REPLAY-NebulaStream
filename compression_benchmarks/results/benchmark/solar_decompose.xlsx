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2"/>
    <sheet name="Summary" sheetId="2" state="visible" r:id="rId3"/>
    <sheet name="Queries" sheetId="3" state="visible" r:id="rId4"/>
    <sheet name="Stages data" sheetId="4" state="visible" r:id="rId5"/>
    <sheet name="Query Times" sheetId="5" state="visible" r:id="rId6"/>
    <sheet name="Throughput" sheetId="6" state="visible" r:id="rId7"/>
    <sheet name="Stages" sheetId="7" state="visible" r:id="rId8"/>
    <sheet name="Comparisons" sheetId="8" state="visible" r:id="rId9"/>
    <sheet name="Bytes" sheetId="9"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<sst xmlns="http://schemas.openxmlformats.org/spreadsheetml/2006/main" count="400" uniqueCount="155">
  <si>
    <t xml:space="preserve">Where the seconds of a replay query go — full scale</t>
  </si>
  <si>
    <t xml:space="preserve">One timing per QUERY, named after the query. Nothing here is attributed to a codec step, because nothing in the store measures one.</t>
  </si>
  <si>
    <t xml:space="preserve">dataset</t>
  </si>
  <si>
    <t xml:space="preserve">debs_solar_panels, 42,700,000 rows x 28 B = 1,195,600,000 B stored</t>
  </si>
  <si>
    <t xml:space="preserve">input</t>
  </si>
  <si>
    <t xml:space="preserve">1,489,260,482 B of CSV text</t>
  </si>
  <si>
    <t xml:space="preserve">unit sizes</t>
  </si>
  <si>
    <t xml:space="preserve">256 KB, 1024 KB, 16384 KB  (FileStore segment / LossyStore group / CompressedStore segment)</t>
  </si>
  <si>
    <t xml:space="preserve">capacity</t>
  </si>
  <si>
    <t xml:space="preserve">FileStore totalSize 4096 MB over 4 files, as in solar_standalone.csv</t>
  </si>
  <si>
    <t xml:space="preserve">build</t>
  </si>
  <si>
    <t xml:space="preserve">Benchmark (-O3 -DNDEBUG, NO_ASSERT, log level NONE). NOT the Debug build the rest of results/ was measured in, where the read path is ~88% build overhead.</t>
  </si>
  <si>
    <t xml:space="preserve">repeats</t>
  </si>
  <si>
    <t xml:space="preserve">N=3, median reported, slowest repeat shown alongside</t>
  </si>
  <si>
    <t xml:space="preserve">WHAT A NUMBER HERE IS</t>
  </si>
  <si>
    <t xml:space="preserve">systest reports RunningQuery::getElapsedTime(), which is `stop - running` (SystestState.cpp:389). Every time in this workbook is EXECUTION only.</t>
  </si>
  <si>
    <t xml:space="preserve">QueryMetrics also carries `start` (QueryStatus.hpp:44), so `running - start` -- registration, planning, query compilation, opening the store -- is real, and systest does not print it. It is NOT in these numbers.</t>
  </si>
  <si>
    <t xml:space="preserve">WHAT IS NOT MEASURED, AND WHY NOT</t>
  </si>
  <si>
    <t xml:space="preserve">source/sink creation</t>
  </si>
  <si>
    <t xml:space="preserve">systest runs CREATE during setup and never times it; its parser handles only CREATE and QUERY tokens. There is no client binary in this tree to submit statements one at a time, and they are catalog metadata -- milliseconds against seconds of process startup, so process-level differencing would measure noise.</t>
  </si>
  <si>
    <t xml:space="preserve">encode / decode time</t>
  </si>
  <si>
    <t xml:space="preserve">No store carries a timer. LossyStore exposes debugDecodeCount, which is a COUNT (LossyStore.hpp:159). Differencing two query times does not isolate a codec: Q5-Q3 holds zstd AND every other way a CompressedStore write differs from a FileStore write. That belongs in a micro-benchmark against Quantize/Primitives/CompressionCodec directly.</t>
  </si>
  <si>
    <t xml:space="preserve">per-row engine cost</t>
  </si>
  <si>
    <t xml:space="preserve">A query time is the whole pipeline: source, parse, operator, store, sink.</t>
  </si>
  <si>
    <t xml:space="preserve">READ THIS BEFORE QUOTING A DIFFERENCE</t>
  </si>
  <si>
    <t xml:space="preserve">differences</t>
  </si>
  <si>
    <t xml:space="preserve">A pairwise difference is a WHOLE-QUERY difference. It is not a codec step time. On this workload Q6-Q4 comes out NEGATIVE, which is absurd as a decode time and entirely sensible as "the CompressedStore read finishes sooner than the FileStore read". The Comparisons sheet says so on its own face.</t>
  </si>
  <si>
    <t xml:space="preserve">Summary</t>
  </si>
  <si>
    <t xml:space="preserve">The three charts worth taking away, and what each one settles.</t>
  </si>
  <si>
    <t xml:space="preserve">1. EXECUTION SECONDS, EVERY QUERY</t>
  </si>
  <si>
    <t xml:space="preserve">Query</t>
  </si>
  <si>
    <t xml:space="preserve">256 KB</t>
  </si>
  <si>
    <t xml:space="preserve">1024 KB</t>
  </si>
  <si>
    <t xml:space="preserve">16384 KB</t>
  </si>
  <si>
    <t xml:space="preserve">Q1  normal query, 4 cols</t>
  </si>
  <si>
    <t xml:space="preserve">Q2  normal query, 1 col</t>
  </si>
  <si>
    <t xml:space="preserve">Q3  FileStore write</t>
  </si>
  <si>
    <t xml:space="preserve">Q4  FileStore read</t>
  </si>
  <si>
    <t xml:space="preserve">Q5  CompressedStore write</t>
  </si>
  <si>
    <t xml:space="preserve">Q6  CompressedStore read</t>
  </si>
  <si>
    <t xml:space="preserve">Q7  LossyStore lossless write</t>
  </si>
  <si>
    <t xml:space="preserve">Q8  LossyStore lossless read</t>
  </si>
  <si>
    <t xml:space="preserve">Q9  LossyStore 1% write</t>
  </si>
  <si>
    <t xml:space="preserve">Q10 LossyStore 1% read</t>
  </si>
  <si>
    <t xml:space="preserve">WHAT THIS SHOWS</t>
  </si>
  <si>
    <t xml:space="preserve">Ten queries, timed separately. No grouping into a write path and a read path.</t>
  </si>
  <si>
    <t xml:space="preserve">WHAT TO LOOK FOR</t>
  </si>
  <si>
    <t xml:space="preserve">A write is 27-34 s, a read 9-11 s. The difference is the CSV: the write path parses it and the read path never sees it.</t>
  </si>
  <si>
    <t xml:space="preserve">Stage</t>
  </si>
  <si>
    <t xml:space="preserve">write: CSV read + parse + sink (= normal query)</t>
  </si>
  <si>
    <t xml:space="preserve">write: store write, no codec</t>
  </si>
  <si>
    <t xml:space="preserve">read: store read floor, no codec</t>
  </si>
  <si>
    <t xml:space="preserve">The only three rows in this workbook that are a single query rather than a subtraction.</t>
  </si>
  <si>
    <t xml:space="preserve">CSV parse ~75% of a write query, store write ~25%, and a read-back about a third of a write. Those three hold to within a percent across both unit sizes and both scales tried.</t>
  </si>
  <si>
    <t xml:space="preserve">3. COMPRESSION RATIO</t>
  </si>
  <si>
    <t xml:space="preserve">FileStore</t>
  </si>
  <si>
    <t xml:space="preserve">CompressedStore</t>
  </si>
  <si>
    <t xml:space="preserve">LossyStore lossless</t>
  </si>
  <si>
    <t xml:space="preserve">LossyStore 1%</t>
  </si>
  <si>
    <t xml:space="preserve">Stored bytes over bytes on disk, per configuration.</t>
  </si>
  <si>
    <t xml:space="preserve">This is the part of the workbook that does not depend on the build, the machine, or the run: it reproduces the Debug-build sweep exactly. Quote these; treat the seconds as comparisons between configurations on one machine.</t>
  </si>
  <si>
    <t xml:space="preserve">WHAT CHANGED IN THE STORE SINCE THE DEBUG SWEEP</t>
  </si>
  <si>
    <t xml:space="preserve">6ba85c1cbb</t>
  </si>
  <si>
    <t xml:space="preserve">FileStore locates read units by position instead of flattening every segment on every call. No measurable change at this store size -- the old vector fit in L2 -- and the cost it removes grows with retention, not with the query.</t>
  </si>
  <si>
    <t xml:space="preserve">1492ece8a7</t>
  </si>
  <si>
    <t xml:space="preserve">FileStore copies only the window of the unsealed segment a read can consume, instead of the whole segment on every call.</t>
  </si>
  <si>
    <t xml:space="preserve">not applied</t>
  </si>
  <si>
    <t xml:space="preserve">The read-ahead buffer. FileStore still issues one pread per destination buffer, which is part of why the compressed read-backs beat it.</t>
  </si>
  <si>
    <t xml:space="preserve">unit_kb</t>
  </si>
  <si>
    <t xml:space="preserve">filestore_total_mb</t>
  </si>
  <si>
    <t xml:space="preserve">filestore_files_at_capacity</t>
  </si>
  <si>
    <t xml:space="preserve">query_no</t>
  </si>
  <si>
    <t xml:space="preserve">query</t>
  </si>
  <si>
    <t xml:space="preserve">path</t>
  </si>
  <si>
    <t xml:space="preserve">seconds</t>
  </si>
  <si>
    <t xml:space="preserve">sec_min</t>
  </si>
  <si>
    <t xml:space="preserve">sec_max</t>
  </si>
  <si>
    <t xml:space="preserve">runs</t>
  </si>
  <si>
    <t xml:space="preserve">rows</t>
  </si>
  <si>
    <t xml:space="preserve">row_width_bytes</t>
  </si>
  <si>
    <t xml:space="preserve">stored_bytes</t>
  </si>
  <si>
    <t xml:space="preserve">csv_bytes</t>
  </si>
  <si>
    <t xml:space="preserve">rows_per_s</t>
  </si>
  <si>
    <t xml:space="preserve">mb_per_s_stored</t>
  </si>
  <si>
    <t xml:space="preserve">mb_per_s_csv</t>
  </si>
  <si>
    <t xml:space="preserve">disk_bytes</t>
  </si>
  <si>
    <t xml:space="preserve">ratio</t>
  </si>
  <si>
    <t xml:space="preserve">debs_solar_panels</t>
  </si>
  <si>
    <t xml:space="preserve">normal query</t>
  </si>
  <si>
    <t xml:space="preserve">CSV -&gt; sink</t>
  </si>
  <si>
    <t xml:space="preserve">normal query, 1 column out</t>
  </si>
  <si>
    <t xml:space="preserve">write FileStore</t>
  </si>
  <si>
    <t xml:space="preserve">CSV -&gt; store</t>
  </si>
  <si>
    <t xml:space="preserve">read FileStore</t>
  </si>
  <si>
    <t xml:space="preserve">store -&gt; sink</t>
  </si>
  <si>
    <t xml:space="preserve">write CompressedStore</t>
  </si>
  <si>
    <t xml:space="preserve">read CompressedStore</t>
  </si>
  <si>
    <t xml:space="preserve">write LossyStore lossless</t>
  </si>
  <si>
    <t xml:space="preserve">read LossyStore lossless</t>
  </si>
  <si>
    <t xml:space="preserve">write LossyStore 1%</t>
  </si>
  <si>
    <t xml:space="preserve">read LossyStore 1%</t>
  </si>
  <si>
    <t xml:space="preserve">stage</t>
  </si>
  <si>
    <t xml:space="preserve">share_of_query_pct</t>
  </si>
  <si>
    <t xml:space="preserve">of_query_no</t>
  </si>
  <si>
    <t xml:space="preserve">read: + bitpack decode</t>
  </si>
  <si>
    <t xml:space="preserve">read: + full lossy decode</t>
  </si>
  <si>
    <t xml:space="preserve">read: + zstd decode</t>
  </si>
  <si>
    <t xml:space="preserve">write: + bitpack encode</t>
  </si>
  <si>
    <t xml:space="preserve">write: + quantise+bitpack+zstd</t>
  </si>
  <si>
    <t xml:space="preserve">write: + zstd encode</t>
  </si>
  <si>
    <t xml:space="preserve">Execution seconds, per query</t>
  </si>
  <si>
    <t xml:space="preserve">Median of the repeats. stop - running; setup and compilation are not in it.</t>
  </si>
  <si>
    <t xml:space="preserve">EXECUTION SECONDS</t>
  </si>
  <si>
    <t xml:space="preserve">Every query in the test file, timed on its own. The three groups are the two store-free scans, the four writes (SELECT ... INTO ... REPLAYABLE), and the four read-backs (SELECT ... FOR EVENT_TIME AS OF TIMESTAMP ALL).</t>
  </si>
  <si>
    <t xml:space="preserve">Writes are 27-34 s and reads are 9-11 s, so a read-back costs about a third of a write. The write path carries the CSV parse and the read path does not -- ReplaySource calls store-&gt;read and nothing else, formatted Native, so no CSV is touched on a read.</t>
  </si>
  <si>
    <t xml:space="preserve">SPREAD: slowest repeat minus fastest</t>
  </si>
  <si>
    <t xml:space="preserve">Taken as sec_max so the column can be compared against the median above; a difference between two queries means nothing unless it exceeds this.</t>
  </si>
  <si>
    <t xml:space="preserve">The slowest of the repeats for each query, against the median in the first table.</t>
  </si>
  <si>
    <t xml:space="preserve">Compare the gap between any two read-backs against the gap between a query's own median and its slowest repeat. Where the second is larger, the first is not a result.</t>
  </si>
  <si>
    <t xml:space="preserve">Throughput, per query</t>
  </si>
  <si>
    <t xml:space="preserve">Rows per second is the only basis all ten queries share: a replay read takes its rows from the store and never touches the CSV, so a CSV rate for it is undefined rather than zero.</t>
  </si>
  <si>
    <t xml:space="preserve">MILLION ROWS PER SECOND</t>
  </si>
  <si>
    <t xml:space="preserve">The same measurements as a rate, over 42,700,000 rows.</t>
  </si>
  <si>
    <t xml:space="preserve">Reads run at about 4 Mrow/s and writes at 1.2-1.6. The two store-free scans sit at ~2 Mrow/s, which is the engine's own ceiling on this query shape -- the project's DEBS.test benchmark reaches 2.00 Mrow/s on the identical scan.</t>
  </si>
  <si>
    <t xml:space="preserve">MB PER SECOND, over stored bytes</t>
  </si>
  <si>
    <t xml:space="preserve">1,195,600,000 B of stored rows over the time above. For the CSV-reading queries the CSV-bytes rate is in the Queries sheet as mb_per_s_csv.</t>
  </si>
  <si>
    <t xml:space="preserve">Stored bytes per second. Stored, not CSV: 42,700,000 rows x 28 B.</t>
  </si>
  <si>
    <t xml:space="preserve">The row width is 28 and not 24 because the sources are NULLABLE -- four columns, each carrying a one-byte indicator. Four of every 28 stored bytes are a constant zero.</t>
  </si>
  <si>
    <t xml:space="preserve">Stage decomposition</t>
  </si>
  <si>
    <t xml:space="preserve">Each row is one query, or one query minus another. The subtraction is named by the queries, never by a codec operation.</t>
  </si>
  <si>
    <t xml:space="preserve">SECONDS PER STAGE</t>
  </si>
  <si>
    <t xml:space="preserve">The stage names come from decompose.py and are kept verbatim so a cell can be traced back to the CSV. The four '+ ...' read rows are query differences, not measured decode times.</t>
  </si>
  <si>
    <t xml:space="preserve">The write path broken into the normal query, the store write with no codec in it, and each codec configuration minus the FileStore write. The read path is the FileStore read-back and each other read-back minus it.</t>
  </si>
  <si>
    <t xml:space="preserve">The CSV parse is about three quarters of a write query and the store write about a quarter. On the read side the four '+ decode' rows come out at or below zero: the compressed read-backs finish SOONER than the raw one. That is not a negative decode time, it is a statement about two queries -- and partly about FileStore's read path, which issues one pread per destination buffer where the compressed stores serve slices of a unit already in memory.</t>
  </si>
  <si>
    <t xml:space="preserve">Query minus query</t>
  </si>
  <si>
    <t xml:space="preserve">NOT CODEC STEP TIMES. Each cell is one whole query minus another, so it holds the codec AND every other difference between the two.</t>
  </si>
  <si>
    <t xml:space="preserve">SECONDS</t>
  </si>
  <si>
    <t xml:space="preserve">Pair</t>
  </si>
  <si>
    <t xml:space="preserve">Q3 - Q1   FileStore write vs normal query, 4 cols</t>
  </si>
  <si>
    <t xml:space="preserve">Q5 - Q3   CompressedStore write vs FileStore write</t>
  </si>
  <si>
    <t xml:space="preserve">Q7 - Q3   LossyStore lossless write vs FileStore write</t>
  </si>
  <si>
    <t xml:space="preserve">Q9 - Q3   LossyStore 1% write vs FileStore write</t>
  </si>
  <si>
    <t xml:space="preserve">Q6 - Q4   CompressedStore read vs FileStore read</t>
  </si>
  <si>
    <t xml:space="preserve">Q8 - Q4   LossyStore lossless read vs FileStore read</t>
  </si>
  <si>
    <t xml:space="preserve">Q10 - Q4   LossyStore 1% read vs FileStore read</t>
  </si>
  <si>
    <t xml:space="preserve">Each store's write against the FileStore write, and each store's read against the FileStore read. Q3-Q1 is the FileStore write against a query with no store at all.</t>
  </si>
  <si>
    <t xml:space="preserve">The read rows are NEGATIVE across the board: a compressed read-back finishes sooner than the raw one. Two things contribute and this measurement cannot separate them -- fewer bytes to pull off the disk, and FileStore's own read path, which preads once per destination buffer while the compressed stores slice a unit already in memory.</t>
  </si>
  <si>
    <t xml:space="preserve">What each store put on disk</t>
  </si>
  <si>
    <t xml:space="preserve">Deterministic and build-independent: these reproduce solar_standalone.csv digit for digit, across four independent runs.</t>
  </si>
  <si>
    <t xml:space="preserve">BYTES ON DISK</t>
  </si>
  <si>
    <t xml:space="preserve">The file size each write query left behind, framing included.</t>
  </si>
  <si>
    <t xml:space="preserve">FileStore holds 1,195,928,436 B -- 42,700,000 x 28 plus 328 KB of framing -- which is the check that capacity did not prune. Materially less and the read-backs were not replaying the same rows.</t>
  </si>
  <si>
    <t xml:space="preserve">COMPRESSION RATIO</t>
  </si>
  <si>
    <t xml:space="preserve">Stored bytes divided by bytes on disk.</t>
  </si>
  <si>
    <t xml:space="preserve">FileStore reads 0.9997 and not 1.000: it stores rows raw, so the shortfall is its framing. The ratios are flattered by the nullable schema -- four of every 28 stored bytes are a constant-zero null indicator, which the bitpacker reduces to width 0.</t>
  </si>
</sst>
</file>

<file path=xl/styles.xml><?xml version="1.0" encoding="utf-8"?>
<styleSheet xmlns="http://schemas.openxmlformats.org/spreadsheetml/2006/main">
  <numFmts count="5">
    <numFmt numFmtId="164" formatCode="General"/>
    <numFmt numFmtId="165" formatCode="0.00"/>
    <numFmt numFmtId="166" formatCode="0.000"/>
    <numFmt numFmtId="167" formatCode="0.0"/>
    <numFmt numFmtId="168" formatCode="#,##0"/>
  </numFmts>
  <fonts count="16">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i val="true"/>
      <sz val="11"/>
      <color rgb="FF7F7F7F"/>
      <name val="Arial"/>
      <family val="0"/>
      <charset val="1"/>
    </font>
    <font>
      <b val="true"/>
      <sz val="11"/>
      <name val="Arial"/>
      <family val="0"/>
      <charset val="1"/>
    </font>
    <font>
      <sz val="11"/>
      <color rgb="FF000000"/>
      <name val="Arial"/>
      <family val="0"/>
      <charset val="1"/>
    </font>
    <font>
      <sz val="11"/>
      <name val="Arial"/>
      <family val="0"/>
      <charset val="1"/>
    </font>
    <font>
      <b val="true"/>
      <sz val="11"/>
      <color rgb="FFFFFFFF"/>
      <name val="Arial"/>
      <family val="0"/>
      <charset val="1"/>
    </font>
    <font>
      <sz val="11"/>
      <color rgb="FF008000"/>
      <name val="Arial"/>
      <family val="0"/>
      <charset val="1"/>
    </font>
    <font>
      <b val="true"/>
      <sz val="9"/>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name val="Arial"/>
      <family val="0"/>
      <charset val="1"/>
    </font>
  </fonts>
  <fills count="5">
    <fill>
      <patternFill patternType="none"/>
    </fill>
    <fill>
      <patternFill patternType="gray125"/>
    </fill>
    <fill>
      <patternFill patternType="solid">
        <fgColor rgb="FFD9E2F3"/>
        <bgColor rgb="FFD9D9D9"/>
      </patternFill>
    </fill>
    <fill>
      <patternFill patternType="solid">
        <fgColor rgb="FFFFF2CC"/>
        <bgColor rgb="FFFFFFFF"/>
      </patternFill>
    </fill>
    <fill>
      <patternFill patternType="solid">
        <fgColor rgb="FF2F5496"/>
        <bgColor rgb="FF0066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C0504D"/>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BBB59"/>
      <rgbColor rgb="FFFFCC00"/>
      <rgbColor rgb="FFFF9900"/>
      <rgbColor rgb="FFFF6600"/>
      <rgbColor rgb="FF4F81BD"/>
      <rgbColor rgb="FF878787"/>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Execution seconds by query</a:t>
            </a:r>
          </a:p>
        </c:rich>
      </c:tx>
      <c:overlay val="0"/>
      <c:spPr>
        <a:noFill/>
        <a:ln w="0">
          <a:noFill/>
        </a:ln>
      </c:spPr>
    </c:title>
    <c:autoTitleDeleted val="0"/>
    <c:plotArea>
      <c:barChart>
        <c:barDir val="col"/>
        <c:grouping val="clustered"/>
        <c:varyColors val="0"/>
        <c:ser>
          <c:idx val="0"/>
          <c:order val="0"/>
          <c:tx>
            <c:strRef>
              <c:f>Summary!B5</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Summary!$B$6:$B$15</c:f>
              <c:numCache>
                <c:formatCode>General</c:formatCode>
                <c:ptCount val="10"/>
                <c:pt idx="0">
                  <c:v>20.8994</c:v>
                </c:pt>
                <c:pt idx="1">
                  <c:v>20.5088</c:v>
                </c:pt>
                <c:pt idx="2">
                  <c:v>27.3039</c:v>
                </c:pt>
                <c:pt idx="3">
                  <c:v>9.8788</c:v>
                </c:pt>
                <c:pt idx="4">
                  <c:v>33.4047</c:v>
                </c:pt>
                <c:pt idx="5">
                  <c:v>9.8696</c:v>
                </c:pt>
                <c:pt idx="6">
                  <c:v>30.789</c:v>
                </c:pt>
                <c:pt idx="7">
                  <c:v>9.9757</c:v>
                </c:pt>
                <c:pt idx="8">
                  <c:v>30.791</c:v>
                </c:pt>
                <c:pt idx="9">
                  <c:v>9.9663</c:v>
                </c:pt>
              </c:numCache>
            </c:numRef>
          </c:val>
        </c:ser>
        <c:ser>
          <c:idx val="1"/>
          <c:order val="1"/>
          <c:tx>
            <c:strRef>
              <c:f>Summary!C5</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Summary!$C$6:$C$15</c:f>
              <c:numCache>
                <c:formatCode>General</c:formatCode>
                <c:ptCount val="10"/>
                <c:pt idx="0">
                  <c:v>21.3942</c:v>
                </c:pt>
                <c:pt idx="1">
                  <c:v>21.1534</c:v>
                </c:pt>
                <c:pt idx="2">
                  <c:v>27.0907</c:v>
                </c:pt>
                <c:pt idx="3">
                  <c:v>9.944</c:v>
                </c:pt>
                <c:pt idx="4">
                  <c:v>34.5549</c:v>
                </c:pt>
                <c:pt idx="5">
                  <c:v>10.0526</c:v>
                </c:pt>
                <c:pt idx="6">
                  <c:v>31.7301</c:v>
                </c:pt>
                <c:pt idx="7">
                  <c:v>9.9231</c:v>
                </c:pt>
                <c:pt idx="8">
                  <c:v>30.8547</c:v>
                </c:pt>
                <c:pt idx="9">
                  <c:v>9.9551</c:v>
                </c:pt>
              </c:numCache>
            </c:numRef>
          </c:val>
        </c:ser>
        <c:ser>
          <c:idx val="2"/>
          <c:order val="2"/>
          <c:tx>
            <c:strRef>
              <c:f>Summary!D5</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Summary!$D$6:$D$15</c:f>
              <c:numCache>
                <c:formatCode>General</c:formatCode>
                <c:ptCount val="10"/>
                <c:pt idx="0">
                  <c:v>21.5476</c:v>
                </c:pt>
                <c:pt idx="1">
                  <c:v>21.0363</c:v>
                </c:pt>
                <c:pt idx="2">
                  <c:v>27.3343</c:v>
                </c:pt>
                <c:pt idx="3">
                  <c:v>10.1485</c:v>
                </c:pt>
                <c:pt idx="4">
                  <c:v>34.809</c:v>
                </c:pt>
                <c:pt idx="5">
                  <c:v>9.8745</c:v>
                </c:pt>
                <c:pt idx="6">
                  <c:v>32.5692</c:v>
                </c:pt>
                <c:pt idx="7">
                  <c:v>10.1539</c:v>
                </c:pt>
                <c:pt idx="8">
                  <c:v>31.556</c:v>
                </c:pt>
                <c:pt idx="9">
                  <c:v>10.3767</c:v>
                </c:pt>
              </c:numCache>
            </c:numRef>
          </c:val>
        </c:ser>
        <c:gapWidth val="60"/>
        <c:overlap val="0"/>
        <c:axId val="69415639"/>
        <c:axId val="35953107"/>
      </c:barChart>
      <c:catAx>
        <c:axId val="694156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953107"/>
        <c:crosses val="autoZero"/>
        <c:auto val="1"/>
        <c:lblAlgn val="ctr"/>
        <c:lblOffset val="100"/>
        <c:noMultiLvlLbl val="0"/>
      </c:catAx>
      <c:valAx>
        <c:axId val="359531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4156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 The three stages that are measured, not differenced</a:t>
            </a:r>
          </a:p>
        </c:rich>
      </c:tx>
      <c:overlay val="0"/>
      <c:spPr>
        <a:noFill/>
        <a:ln w="0">
          <a:noFill/>
        </a:ln>
      </c:spPr>
    </c:title>
    <c:autoTitleDeleted val="0"/>
    <c:plotArea>
      <c:barChart>
        <c:barDir val="col"/>
        <c:grouping val="clustered"/>
        <c:varyColors val="0"/>
        <c:ser>
          <c:idx val="0"/>
          <c:order val="0"/>
          <c:tx>
            <c:strRef>
              <c:f>Summary!B41</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Summary!$A$42:$A$44</c:f>
              <c:strCache>
                <c:ptCount val="3"/>
                <c:pt idx="0">
                  <c:v>write: CSV read + parse + sink (= normal query)</c:v>
                </c:pt>
                <c:pt idx="1">
                  <c:v>write: store write, no codec</c:v>
                </c:pt>
                <c:pt idx="2">
                  <c:v>read: store read floor, no codec</c:v>
                </c:pt>
              </c:strCache>
            </c:strRef>
          </c:cat>
          <c:val>
            <c:numRef>
              <c:f>Summary!$B$42:$B$44</c:f>
              <c:numCache>
                <c:formatCode>General</c:formatCode>
                <c:ptCount val="3"/>
                <c:pt idx="0">
                  <c:v>0</c:v>
                </c:pt>
                <c:pt idx="1">
                  <c:v>0</c:v>
                </c:pt>
                <c:pt idx="2">
                  <c:v>0</c:v>
                </c:pt>
              </c:numCache>
            </c:numRef>
          </c:val>
        </c:ser>
        <c:ser>
          <c:idx val="1"/>
          <c:order val="1"/>
          <c:tx>
            <c:strRef>
              <c:f>Summary!C41</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Summary!$A$42:$A$44</c:f>
              <c:strCache>
                <c:ptCount val="3"/>
                <c:pt idx="0">
                  <c:v>write: CSV read + parse + sink (= normal query)</c:v>
                </c:pt>
                <c:pt idx="1">
                  <c:v>write: store write, no codec</c:v>
                </c:pt>
                <c:pt idx="2">
                  <c:v>read: store read floor, no codec</c:v>
                </c:pt>
              </c:strCache>
            </c:strRef>
          </c:cat>
          <c:val>
            <c:numRef>
              <c:f>Summary!$C$42:$C$44</c:f>
              <c:numCache>
                <c:formatCode>General</c:formatCode>
                <c:ptCount val="3"/>
                <c:pt idx="0">
                  <c:v>0</c:v>
                </c:pt>
                <c:pt idx="1">
                  <c:v>0</c:v>
                </c:pt>
                <c:pt idx="2">
                  <c:v>0</c:v>
                </c:pt>
              </c:numCache>
            </c:numRef>
          </c:val>
        </c:ser>
        <c:ser>
          <c:idx val="2"/>
          <c:order val="2"/>
          <c:tx>
            <c:strRef>
              <c:f>Summary!D41</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Summary!$A$42:$A$44</c:f>
              <c:strCache>
                <c:ptCount val="3"/>
                <c:pt idx="0">
                  <c:v>write: CSV read + parse + sink (= normal query)</c:v>
                </c:pt>
                <c:pt idx="1">
                  <c:v>write: store write, no codec</c:v>
                </c:pt>
                <c:pt idx="2">
                  <c:v>read: store read floor, no codec</c:v>
                </c:pt>
              </c:strCache>
            </c:strRef>
          </c:cat>
          <c:val>
            <c:numRef>
              <c:f>Summary!$D$42:$D$44</c:f>
              <c:numCache>
                <c:formatCode>General</c:formatCode>
                <c:ptCount val="3"/>
                <c:pt idx="0">
                  <c:v>0</c:v>
                </c:pt>
                <c:pt idx="1">
                  <c:v>0</c:v>
                </c:pt>
                <c:pt idx="2">
                  <c:v>0</c:v>
                </c:pt>
              </c:numCache>
            </c:numRef>
          </c:val>
        </c:ser>
        <c:gapWidth val="60"/>
        <c:overlap val="0"/>
        <c:axId val="86867750"/>
        <c:axId val="68652990"/>
      </c:barChart>
      <c:catAx>
        <c:axId val="8686775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652990"/>
        <c:crosses val="autoZero"/>
        <c:auto val="1"/>
        <c:lblAlgn val="ctr"/>
        <c:lblOffset val="100"/>
        <c:noMultiLvlLbl val="0"/>
      </c:catAx>
      <c:valAx>
        <c:axId val="686529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86775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Compression ratio by configuration</a:t>
            </a:r>
          </a:p>
        </c:rich>
      </c:tx>
      <c:overlay val="0"/>
      <c:spPr>
        <a:noFill/>
        <a:ln w="0">
          <a:noFill/>
        </a:ln>
      </c:spPr>
    </c:title>
    <c:autoTitleDeleted val="0"/>
    <c:plotArea>
      <c:barChart>
        <c:barDir val="col"/>
        <c:grouping val="clustered"/>
        <c:varyColors val="0"/>
        <c:ser>
          <c:idx val="0"/>
          <c:order val="0"/>
          <c:tx>
            <c:strRef>
              <c:f>Summary!B71</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Summary!$A$72:$A$75</c:f>
              <c:strCache>
                <c:ptCount val="4"/>
                <c:pt idx="0">
                  <c:v>FileStore</c:v>
                </c:pt>
                <c:pt idx="1">
                  <c:v>CompressedStore</c:v>
                </c:pt>
                <c:pt idx="2">
                  <c:v>LossyStore lossless</c:v>
                </c:pt>
                <c:pt idx="3">
                  <c:v>LossyStore 1%</c:v>
                </c:pt>
              </c:strCache>
            </c:strRef>
          </c:cat>
          <c:val>
            <c:numRef>
              <c:f>Summary!$B$72:$B$75</c:f>
              <c:numCache>
                <c:formatCode>General</c:formatCode>
                <c:ptCount val="4"/>
                <c:pt idx="0">
                  <c:v>0.9997</c:v>
                </c:pt>
                <c:pt idx="1">
                  <c:v>1.65</c:v>
                </c:pt>
                <c:pt idx="2">
                  <c:v>1.8586</c:v>
                </c:pt>
                <c:pt idx="3">
                  <c:v>3.1889</c:v>
                </c:pt>
              </c:numCache>
            </c:numRef>
          </c:val>
        </c:ser>
        <c:ser>
          <c:idx val="1"/>
          <c:order val="1"/>
          <c:tx>
            <c:strRef>
              <c:f>Summary!C71</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Summary!$A$72:$A$75</c:f>
              <c:strCache>
                <c:ptCount val="4"/>
                <c:pt idx="0">
                  <c:v>FileStore</c:v>
                </c:pt>
                <c:pt idx="1">
                  <c:v>CompressedStore</c:v>
                </c:pt>
                <c:pt idx="2">
                  <c:v>LossyStore lossless</c:v>
                </c:pt>
                <c:pt idx="3">
                  <c:v>LossyStore 1%</c:v>
                </c:pt>
              </c:strCache>
            </c:strRef>
          </c:cat>
          <c:val>
            <c:numRef>
              <c:f>Summary!$C$72:$C$75</c:f>
              <c:numCache>
                <c:formatCode>General</c:formatCode>
                <c:ptCount val="4"/>
                <c:pt idx="0">
                  <c:v>0.9999</c:v>
                </c:pt>
                <c:pt idx="1">
                  <c:v>1.6516</c:v>
                </c:pt>
                <c:pt idx="2">
                  <c:v>1.8679</c:v>
                </c:pt>
                <c:pt idx="3">
                  <c:v>3.1013</c:v>
                </c:pt>
              </c:numCache>
            </c:numRef>
          </c:val>
        </c:ser>
        <c:ser>
          <c:idx val="2"/>
          <c:order val="2"/>
          <c:tx>
            <c:strRef>
              <c:f>Summary!D71</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Summary!$A$72:$A$75</c:f>
              <c:strCache>
                <c:ptCount val="4"/>
                <c:pt idx="0">
                  <c:v>FileStore</c:v>
                </c:pt>
                <c:pt idx="1">
                  <c:v>CompressedStore</c:v>
                </c:pt>
                <c:pt idx="2">
                  <c:v>LossyStore lossless</c:v>
                </c:pt>
                <c:pt idx="3">
                  <c:v>LossyStore 1%</c:v>
                </c:pt>
              </c:strCache>
            </c:strRef>
          </c:cat>
          <c:val>
            <c:numRef>
              <c:f>Summary!$D$72:$D$75</c:f>
              <c:numCache>
                <c:formatCode>General</c:formatCode>
                <c:ptCount val="4"/>
                <c:pt idx="0">
                  <c:v>1</c:v>
                </c:pt>
                <c:pt idx="1">
                  <c:v>1.652</c:v>
                </c:pt>
                <c:pt idx="2">
                  <c:v>1.835</c:v>
                </c:pt>
                <c:pt idx="3">
                  <c:v>2.9721</c:v>
                </c:pt>
              </c:numCache>
            </c:numRef>
          </c:val>
        </c:ser>
        <c:gapWidth val="60"/>
        <c:overlap val="0"/>
        <c:axId val="56327907"/>
        <c:axId val="79251719"/>
      </c:barChart>
      <c:catAx>
        <c:axId val="5632790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251719"/>
        <c:crosses val="autoZero"/>
        <c:auto val="1"/>
        <c:lblAlgn val="ctr"/>
        <c:lblOffset val="100"/>
        <c:noMultiLvlLbl val="0"/>
      </c:catAx>
      <c:valAx>
        <c:axId val="792517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32790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Execution seconds by query</a:t>
            </a:r>
          </a:p>
        </c:rich>
      </c:tx>
      <c:overlay val="0"/>
      <c:spPr>
        <a:noFill/>
        <a:ln w="0">
          <a:noFill/>
        </a:ln>
      </c:spPr>
    </c:title>
    <c:autoTitleDeleted val="0"/>
    <c:plotArea>
      <c:barChart>
        <c:barDir val="col"/>
        <c:grouping val="clustered"/>
        <c:varyColors val="0"/>
        <c:ser>
          <c:idx val="0"/>
          <c:order val="0"/>
          <c:tx>
            <c:strRef>
              <c:f>'Query Times'!B5</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'Query Times'!$A$6:$A$15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'Query Times'!$B$6:$B$15</c:f>
              <c:numCache>
                <c:formatCode>General</c:formatCode>
                <c:ptCount val="10"/>
                <c:pt idx="0">
                  <c:v>20.8994</c:v>
                </c:pt>
                <c:pt idx="1">
                  <c:v>20.5088</c:v>
                </c:pt>
                <c:pt idx="2">
                  <c:v>27.3039</c:v>
                </c:pt>
                <c:pt idx="3">
                  <c:v>9.8788</c:v>
                </c:pt>
                <c:pt idx="4">
                  <c:v>33.4047</c:v>
                </c:pt>
                <c:pt idx="5">
                  <c:v>9.8696</c:v>
                </c:pt>
                <c:pt idx="6">
                  <c:v>30.789</c:v>
                </c:pt>
                <c:pt idx="7">
                  <c:v>9.9757</c:v>
                </c:pt>
                <c:pt idx="8">
                  <c:v>30.791</c:v>
                </c:pt>
                <c:pt idx="9">
                  <c:v>9.9663</c:v>
                </c:pt>
              </c:numCache>
            </c:numRef>
          </c:val>
        </c:ser>
        <c:ser>
          <c:idx val="1"/>
          <c:order val="1"/>
          <c:tx>
            <c:strRef>
              <c:f>'Query Times'!C5</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'Query Times'!$A$6:$A$15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'Query Times'!$C$6:$C$15</c:f>
              <c:numCache>
                <c:formatCode>General</c:formatCode>
                <c:ptCount val="10"/>
                <c:pt idx="0">
                  <c:v>21.3942</c:v>
                </c:pt>
                <c:pt idx="1">
                  <c:v>21.1534</c:v>
                </c:pt>
                <c:pt idx="2">
                  <c:v>27.0907</c:v>
                </c:pt>
                <c:pt idx="3">
                  <c:v>9.944</c:v>
                </c:pt>
                <c:pt idx="4">
                  <c:v>34.5549</c:v>
                </c:pt>
                <c:pt idx="5">
                  <c:v>10.0526</c:v>
                </c:pt>
                <c:pt idx="6">
                  <c:v>31.7301</c:v>
                </c:pt>
                <c:pt idx="7">
                  <c:v>9.9231</c:v>
                </c:pt>
                <c:pt idx="8">
                  <c:v>30.8547</c:v>
                </c:pt>
                <c:pt idx="9">
                  <c:v>9.9551</c:v>
                </c:pt>
              </c:numCache>
            </c:numRef>
          </c:val>
        </c:ser>
        <c:ser>
          <c:idx val="2"/>
          <c:order val="2"/>
          <c:tx>
            <c:strRef>
              <c:f>'Query Times'!D5</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'Query Times'!$A$6:$A$15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'Query Times'!$D$6:$D$15</c:f>
              <c:numCache>
                <c:formatCode>General</c:formatCode>
                <c:ptCount val="10"/>
                <c:pt idx="0">
                  <c:v>21.5476</c:v>
                </c:pt>
                <c:pt idx="1">
                  <c:v>21.0363</c:v>
                </c:pt>
                <c:pt idx="2">
                  <c:v>27.3343</c:v>
                </c:pt>
                <c:pt idx="3">
                  <c:v>10.1485</c:v>
                </c:pt>
                <c:pt idx="4">
                  <c:v>34.809</c:v>
                </c:pt>
                <c:pt idx="5">
                  <c:v>9.8745</c:v>
                </c:pt>
                <c:pt idx="6">
                  <c:v>32.5692</c:v>
                </c:pt>
                <c:pt idx="7">
                  <c:v>10.1539</c:v>
                </c:pt>
                <c:pt idx="8">
                  <c:v>31.556</c:v>
                </c:pt>
                <c:pt idx="9">
                  <c:v>10.3767</c:v>
                </c:pt>
              </c:numCache>
            </c:numRef>
          </c:val>
        </c:ser>
        <c:gapWidth val="60"/>
        <c:overlap val="0"/>
        <c:axId val="33529038"/>
        <c:axId val="34039148"/>
      </c:barChart>
      <c:catAx>
        <c:axId val="3352903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039148"/>
        <c:crosses val="autoZero"/>
        <c:auto val="1"/>
        <c:lblAlgn val="ctr"/>
        <c:lblOffset val="100"/>
        <c:noMultiLvlLbl val="0"/>
      </c:catAx>
      <c:valAx>
        <c:axId val="340391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52903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Slowest repeat by query</a:t>
            </a:r>
          </a:p>
        </c:rich>
      </c:tx>
      <c:overlay val="0"/>
      <c:spPr>
        <a:noFill/>
        <a:ln w="0">
          <a:noFill/>
        </a:ln>
      </c:spPr>
    </c:title>
    <c:autoTitleDeleted val="0"/>
    <c:plotArea>
      <c:barChart>
        <c:barDir val="col"/>
        <c:grouping val="clustered"/>
        <c:varyColors val="0"/>
        <c:ser>
          <c:idx val="0"/>
          <c:order val="0"/>
          <c:tx>
            <c:strRef>
              <c:f>'Query Times'!B43</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'Query Times'!$A$44:$A$53</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'Query Times'!$B$44:$B$53</c:f>
              <c:numCache>
                <c:formatCode>General</c:formatCode>
                <c:ptCount val="10"/>
                <c:pt idx="0">
                  <c:v>21.8027</c:v>
                </c:pt>
                <c:pt idx="1">
                  <c:v>20.8408</c:v>
                </c:pt>
                <c:pt idx="2">
                  <c:v>27.8275</c:v>
                </c:pt>
                <c:pt idx="3">
                  <c:v>10.0758</c:v>
                </c:pt>
                <c:pt idx="4">
                  <c:v>33.769</c:v>
                </c:pt>
                <c:pt idx="5">
                  <c:v>9.9502</c:v>
                </c:pt>
                <c:pt idx="6">
                  <c:v>31.3929</c:v>
                </c:pt>
                <c:pt idx="7">
                  <c:v>10.2325</c:v>
                </c:pt>
                <c:pt idx="8">
                  <c:v>31.9041</c:v>
                </c:pt>
                <c:pt idx="9">
                  <c:v>9.9754</c:v>
                </c:pt>
              </c:numCache>
            </c:numRef>
          </c:val>
        </c:ser>
        <c:ser>
          <c:idx val="1"/>
          <c:order val="1"/>
          <c:tx>
            <c:strRef>
              <c:f>'Query Times'!C43</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'Query Times'!$A$44:$A$53</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'Query Times'!$C$44:$C$53</c:f>
              <c:numCache>
                <c:formatCode>General</c:formatCode>
                <c:ptCount val="10"/>
                <c:pt idx="0">
                  <c:v>22.4588</c:v>
                </c:pt>
                <c:pt idx="1">
                  <c:v>21.2782</c:v>
                </c:pt>
                <c:pt idx="2">
                  <c:v>27.8787</c:v>
                </c:pt>
                <c:pt idx="3">
                  <c:v>10.1974</c:v>
                </c:pt>
                <c:pt idx="4">
                  <c:v>35.4838</c:v>
                </c:pt>
                <c:pt idx="5">
                  <c:v>10.1954</c:v>
                </c:pt>
                <c:pt idx="6">
                  <c:v>31.9992</c:v>
                </c:pt>
                <c:pt idx="7">
                  <c:v>9.9617</c:v>
                </c:pt>
                <c:pt idx="8">
                  <c:v>31.4903</c:v>
                </c:pt>
                <c:pt idx="9">
                  <c:v>10.2217</c:v>
                </c:pt>
              </c:numCache>
            </c:numRef>
          </c:val>
        </c:ser>
        <c:ser>
          <c:idx val="2"/>
          <c:order val="2"/>
          <c:tx>
            <c:strRef>
              <c:f>'Query Times'!D43</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'Query Times'!$A$44:$A$53</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'Query Times'!$D$44:$D$53</c:f>
              <c:numCache>
                <c:formatCode>General</c:formatCode>
                <c:ptCount val="10"/>
                <c:pt idx="0">
                  <c:v>22.2192</c:v>
                </c:pt>
                <c:pt idx="1">
                  <c:v>22.0205</c:v>
                </c:pt>
                <c:pt idx="2">
                  <c:v>27.6933</c:v>
                </c:pt>
                <c:pt idx="3">
                  <c:v>10.1536</c:v>
                </c:pt>
                <c:pt idx="4">
                  <c:v>35.5959</c:v>
                </c:pt>
                <c:pt idx="5">
                  <c:v>9.9974</c:v>
                </c:pt>
                <c:pt idx="6">
                  <c:v>33.4945</c:v>
                </c:pt>
                <c:pt idx="7">
                  <c:v>11.9464</c:v>
                </c:pt>
                <c:pt idx="8">
                  <c:v>32.2589</c:v>
                </c:pt>
                <c:pt idx="9">
                  <c:v>10.8092</c:v>
                </c:pt>
              </c:numCache>
            </c:numRef>
          </c:val>
        </c:ser>
        <c:gapWidth val="60"/>
        <c:overlap val="0"/>
        <c:axId val="17231965"/>
        <c:axId val="44866715"/>
      </c:barChart>
      <c:catAx>
        <c:axId val="1723196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66715"/>
        <c:crosses val="autoZero"/>
        <c:auto val="1"/>
        <c:lblAlgn val="ctr"/>
        <c:lblOffset val="100"/>
        <c:noMultiLvlLbl val="0"/>
      </c:catAx>
      <c:valAx>
        <c:axId val="4486671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2319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Million rows per second by query</a:t>
            </a:r>
          </a:p>
        </c:rich>
      </c:tx>
      <c:overlay val="0"/>
      <c:spPr>
        <a:noFill/>
        <a:ln w="0">
          <a:noFill/>
        </a:ln>
      </c:spPr>
    </c:title>
    <c:autoTitleDeleted val="0"/>
    <c:plotArea>
      <c:barChart>
        <c:barDir val="col"/>
        <c:grouping val="clustered"/>
        <c:varyColors val="0"/>
        <c:ser>
          <c:idx val="0"/>
          <c:order val="0"/>
          <c:tx>
            <c:strRef>
              <c:f>Throughput!B5</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Throughput!$B$6:$B$15</c:f>
              <c:numCache>
                <c:formatCode>General</c:formatCode>
                <c:ptCount val="10"/>
                <c:pt idx="0">
                  <c:v>2.0431209</c:v>
                </c:pt>
                <c:pt idx="1">
                  <c:v>2.0820331</c:v>
                </c:pt>
                <c:pt idx="2">
                  <c:v>1.5638792</c:v>
                </c:pt>
                <c:pt idx="3">
                  <c:v>4.3223698</c:v>
                </c:pt>
                <c:pt idx="4">
                  <c:v>1.2782632</c:v>
                </c:pt>
                <c:pt idx="5">
                  <c:v>4.3264209</c:v>
                </c:pt>
                <c:pt idx="6">
                  <c:v>1.3868589</c:v>
                </c:pt>
                <c:pt idx="7">
                  <c:v>4.2804142</c:v>
                </c:pt>
                <c:pt idx="8">
                  <c:v>1.3867689</c:v>
                </c:pt>
                <c:pt idx="9">
                  <c:v>4.2844429</c:v>
                </c:pt>
              </c:numCache>
            </c:numRef>
          </c:val>
        </c:ser>
        <c:ser>
          <c:idx val="1"/>
          <c:order val="1"/>
          <c:tx>
            <c:strRef>
              <c:f>Throughput!C5</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Throughput!$C$6:$C$15</c:f>
              <c:numCache>
                <c:formatCode>General</c:formatCode>
                <c:ptCount val="10"/>
                <c:pt idx="0">
                  <c:v>1.995868</c:v>
                </c:pt>
                <c:pt idx="1">
                  <c:v>2.018588</c:v>
                </c:pt>
                <c:pt idx="2">
                  <c:v>1.5761867</c:v>
                </c:pt>
                <c:pt idx="3">
                  <c:v>4.2940337</c:v>
                </c:pt>
                <c:pt idx="4">
                  <c:v>1.2357148</c:v>
                </c:pt>
                <c:pt idx="5">
                  <c:v>4.2476573</c:v>
                </c:pt>
                <c:pt idx="6">
                  <c:v>1.3457254</c:v>
                </c:pt>
                <c:pt idx="7">
                  <c:v>4.3030908</c:v>
                </c:pt>
                <c:pt idx="8">
                  <c:v>1.3839059</c:v>
                </c:pt>
                <c:pt idx="9">
                  <c:v>4.2892372</c:v>
                </c:pt>
              </c:numCache>
            </c:numRef>
          </c:val>
        </c:ser>
        <c:ser>
          <c:idx val="2"/>
          <c:order val="2"/>
          <c:tx>
            <c:strRef>
              <c:f>Throughput!D5</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Throughput!$A$6:$A$15</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Throughput!$D$6:$D$15</c:f>
              <c:numCache>
                <c:formatCode>General</c:formatCode>
                <c:ptCount val="10"/>
                <c:pt idx="0">
                  <c:v>1.9816592</c:v>
                </c:pt>
                <c:pt idx="1">
                  <c:v>2.0298246</c:v>
                </c:pt>
                <c:pt idx="2">
                  <c:v>1.5621399</c:v>
                </c:pt>
                <c:pt idx="3">
                  <c:v>4.2075184</c:v>
                </c:pt>
                <c:pt idx="4">
                  <c:v>1.2266942</c:v>
                </c:pt>
                <c:pt idx="5">
                  <c:v>4.3242521</c:v>
                </c:pt>
                <c:pt idx="6">
                  <c:v>1.3110546</c:v>
                </c:pt>
                <c:pt idx="7">
                  <c:v>4.2052807</c:v>
                </c:pt>
                <c:pt idx="8">
                  <c:v>1.35315</c:v>
                </c:pt>
                <c:pt idx="9">
                  <c:v>4.1149884</c:v>
                </c:pt>
              </c:numCache>
            </c:numRef>
          </c:val>
        </c:ser>
        <c:gapWidth val="60"/>
        <c:overlap val="0"/>
        <c:axId val="21312560"/>
        <c:axId val="52944226"/>
      </c:barChart>
      <c:catAx>
        <c:axId val="2131256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944226"/>
        <c:crosses val="autoZero"/>
        <c:auto val="1"/>
        <c:lblAlgn val="ctr"/>
        <c:lblOffset val="100"/>
        <c:noMultiLvlLbl val="0"/>
      </c:catAx>
      <c:valAx>
        <c:axId val="5294422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Mrow/s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31256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MB/s over stored bytes by query</a:t>
            </a:r>
          </a:p>
        </c:rich>
      </c:tx>
      <c:overlay val="0"/>
      <c:spPr>
        <a:noFill/>
        <a:ln w="0">
          <a:noFill/>
        </a:ln>
      </c:spPr>
    </c:title>
    <c:autoTitleDeleted val="0"/>
    <c:plotArea>
      <c:barChart>
        <c:barDir val="col"/>
        <c:grouping val="clustered"/>
        <c:varyColors val="0"/>
        <c:ser>
          <c:idx val="0"/>
          <c:order val="0"/>
          <c:tx>
            <c:strRef>
              <c:f>Throughput!B43</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Throughput!$A$44:$A$53</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Throughput!$B$44:$B$53</c:f>
              <c:numCache>
                <c:formatCode>General</c:formatCode>
                <c:ptCount val="10"/>
                <c:pt idx="0">
                  <c:v>57.207</c:v>
                </c:pt>
                <c:pt idx="1">
                  <c:v>58.297</c:v>
                </c:pt>
                <c:pt idx="2">
                  <c:v>43.789</c:v>
                </c:pt>
                <c:pt idx="3">
                  <c:v>121.026</c:v>
                </c:pt>
                <c:pt idx="4">
                  <c:v>35.791</c:v>
                </c:pt>
                <c:pt idx="5">
                  <c:v>121.14</c:v>
                </c:pt>
                <c:pt idx="6">
                  <c:v>38.832</c:v>
                </c:pt>
                <c:pt idx="7">
                  <c:v>119.852</c:v>
                </c:pt>
                <c:pt idx="8">
                  <c:v>38.83</c:v>
                </c:pt>
                <c:pt idx="9">
                  <c:v>119.964</c:v>
                </c:pt>
              </c:numCache>
            </c:numRef>
          </c:val>
        </c:ser>
        <c:ser>
          <c:idx val="1"/>
          <c:order val="1"/>
          <c:tx>
            <c:strRef>
              <c:f>Throughput!C43</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Throughput!$A$44:$A$53</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Throughput!$C$44:$C$53</c:f>
              <c:numCache>
                <c:formatCode>General</c:formatCode>
                <c:ptCount val="10"/>
                <c:pt idx="0">
                  <c:v>55.884</c:v>
                </c:pt>
                <c:pt idx="1">
                  <c:v>56.52</c:v>
                </c:pt>
                <c:pt idx="2">
                  <c:v>44.133</c:v>
                </c:pt>
                <c:pt idx="3">
                  <c:v>120.233</c:v>
                </c:pt>
                <c:pt idx="4">
                  <c:v>34.6</c:v>
                </c:pt>
                <c:pt idx="5">
                  <c:v>118.934</c:v>
                </c:pt>
                <c:pt idx="6">
                  <c:v>37.68</c:v>
                </c:pt>
                <c:pt idx="7">
                  <c:v>120.487</c:v>
                </c:pt>
                <c:pt idx="8">
                  <c:v>38.749</c:v>
                </c:pt>
                <c:pt idx="9">
                  <c:v>120.099</c:v>
                </c:pt>
              </c:numCache>
            </c:numRef>
          </c:val>
        </c:ser>
        <c:ser>
          <c:idx val="2"/>
          <c:order val="2"/>
          <c:tx>
            <c:strRef>
              <c:f>Throughput!D43</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Throughput!$A$44:$A$53</c:f>
              <c:strCache>
                <c:ptCount val="10"/>
                <c:pt idx="0">
                  <c:v>Q1  normal query, 4 cols</c:v>
                </c:pt>
                <c:pt idx="1">
                  <c:v>Q2  normal query, 1 col</c:v>
                </c:pt>
                <c:pt idx="2">
                  <c:v>Q3  FileStore write</c:v>
                </c:pt>
                <c:pt idx="3">
                  <c:v>Q4  FileStore read</c:v>
                </c:pt>
                <c:pt idx="4">
                  <c:v>Q5  CompressedStore write</c:v>
                </c:pt>
                <c:pt idx="5">
                  <c:v>Q6  CompressedStore read</c:v>
                </c:pt>
                <c:pt idx="6">
                  <c:v>Q7  LossyStore lossless write</c:v>
                </c:pt>
                <c:pt idx="7">
                  <c:v>Q8  LossyStore lossless read</c:v>
                </c:pt>
                <c:pt idx="8">
                  <c:v>Q9  LossyStore 1% write</c:v>
                </c:pt>
                <c:pt idx="9">
                  <c:v>Q10 LossyStore 1% read</c:v>
                </c:pt>
              </c:strCache>
            </c:strRef>
          </c:cat>
          <c:val>
            <c:numRef>
              <c:f>Throughput!$D$44:$D$53</c:f>
              <c:numCache>
                <c:formatCode>General</c:formatCode>
                <c:ptCount val="10"/>
                <c:pt idx="0">
                  <c:v>55.486</c:v>
                </c:pt>
                <c:pt idx="1">
                  <c:v>56.835</c:v>
                </c:pt>
                <c:pt idx="2">
                  <c:v>43.74</c:v>
                </c:pt>
                <c:pt idx="3">
                  <c:v>117.811</c:v>
                </c:pt>
                <c:pt idx="4">
                  <c:v>34.347</c:v>
                </c:pt>
                <c:pt idx="5">
                  <c:v>121.079</c:v>
                </c:pt>
                <c:pt idx="6">
                  <c:v>36.71</c:v>
                </c:pt>
                <c:pt idx="7">
                  <c:v>117.748</c:v>
                </c:pt>
                <c:pt idx="8">
                  <c:v>37.888</c:v>
                </c:pt>
                <c:pt idx="9">
                  <c:v>115.22</c:v>
                </c:pt>
              </c:numCache>
            </c:numRef>
          </c:val>
        </c:ser>
        <c:gapWidth val="60"/>
        <c:overlap val="0"/>
        <c:axId val="58631910"/>
        <c:axId val="53508773"/>
      </c:barChart>
      <c:catAx>
        <c:axId val="5863191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508773"/>
        <c:crosses val="autoZero"/>
        <c:auto val="1"/>
        <c:lblAlgn val="ctr"/>
        <c:lblOffset val="100"/>
        <c:noMultiLvlLbl val="0"/>
      </c:catAx>
      <c:valAx>
        <c:axId val="535087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MB/s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63191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Seconds per stage</a:t>
            </a:r>
          </a:p>
        </c:rich>
      </c:tx>
      <c:overlay val="0"/>
      <c:spPr>
        <a:noFill/>
        <a:ln w="0">
          <a:noFill/>
        </a:ln>
      </c:spPr>
    </c:title>
    <c:autoTitleDeleted val="0"/>
    <c:plotArea>
      <c:barChart>
        <c:barDir val="col"/>
        <c:grouping val="clustered"/>
        <c:varyColors val="0"/>
        <c:ser>
          <c:idx val="0"/>
          <c:order val="0"/>
          <c:tx>
            <c:strRef>
              <c:f>Stages!B6</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Stages!$A$7:$A$15</c:f>
              <c:strCache>
                <c:ptCount val="9"/>
                <c:pt idx="0">
                  <c:v>write: CSV read + parse + sink (= normal query)</c:v>
                </c:pt>
                <c:pt idx="1">
                  <c:v>write: store write, no codec</c:v>
                </c:pt>
                <c:pt idx="2">
                  <c:v>write: + zstd encode</c:v>
                </c:pt>
                <c:pt idx="3">
                  <c:v>write: + bitpack encode</c:v>
                </c:pt>
                <c:pt idx="4">
                  <c:v>write: + quantise+bitpack+zstd</c:v>
                </c:pt>
                <c:pt idx="5">
                  <c:v>read: store read floor, no codec</c:v>
                </c:pt>
                <c:pt idx="6">
                  <c:v>read: + zstd decode</c:v>
                </c:pt>
                <c:pt idx="7">
                  <c:v>read: + bitpack decode</c:v>
                </c:pt>
                <c:pt idx="8">
                  <c:v>read: + full lossy decode</c:v>
                </c:pt>
              </c:strCache>
            </c:strRef>
          </c:cat>
          <c:val>
            <c:numRef>
              <c:f>Stages!$B$7:$B$15</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Stages!C6</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Stages!$A$7:$A$15</c:f>
              <c:strCache>
                <c:ptCount val="9"/>
                <c:pt idx="0">
                  <c:v>write: CSV read + parse + sink (= normal query)</c:v>
                </c:pt>
                <c:pt idx="1">
                  <c:v>write: store write, no codec</c:v>
                </c:pt>
                <c:pt idx="2">
                  <c:v>write: + zstd encode</c:v>
                </c:pt>
                <c:pt idx="3">
                  <c:v>write: + bitpack encode</c:v>
                </c:pt>
                <c:pt idx="4">
                  <c:v>write: + quantise+bitpack+zstd</c:v>
                </c:pt>
                <c:pt idx="5">
                  <c:v>read: store read floor, no codec</c:v>
                </c:pt>
                <c:pt idx="6">
                  <c:v>read: + zstd decode</c:v>
                </c:pt>
                <c:pt idx="7">
                  <c:v>read: + bitpack decode</c:v>
                </c:pt>
                <c:pt idx="8">
                  <c:v>read: + full lossy decode</c:v>
                </c:pt>
              </c:strCache>
            </c:strRef>
          </c:cat>
          <c:val>
            <c:numRef>
              <c:f>Stages!$C$7:$C$15</c:f>
              <c:numCache>
                <c:formatCode>General</c:formatCode>
                <c:ptCount val="9"/>
                <c:pt idx="0">
                  <c:v>0</c:v>
                </c:pt>
                <c:pt idx="1">
                  <c:v>0</c:v>
                </c:pt>
                <c:pt idx="2">
                  <c:v>0</c:v>
                </c:pt>
                <c:pt idx="3">
                  <c:v>0</c:v>
                </c:pt>
                <c:pt idx="4">
                  <c:v>0</c:v>
                </c:pt>
                <c:pt idx="5">
                  <c:v>0</c:v>
                </c:pt>
                <c:pt idx="6">
                  <c:v>0</c:v>
                </c:pt>
                <c:pt idx="7">
                  <c:v>0</c:v>
                </c:pt>
                <c:pt idx="8">
                  <c:v>0</c:v>
                </c:pt>
              </c:numCache>
            </c:numRef>
          </c:val>
        </c:ser>
        <c:ser>
          <c:idx val="2"/>
          <c:order val="2"/>
          <c:tx>
            <c:strRef>
              <c:f>Stages!D6</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Stages!$A$7:$A$15</c:f>
              <c:strCache>
                <c:ptCount val="9"/>
                <c:pt idx="0">
                  <c:v>write: CSV read + parse + sink (= normal query)</c:v>
                </c:pt>
                <c:pt idx="1">
                  <c:v>write: store write, no codec</c:v>
                </c:pt>
                <c:pt idx="2">
                  <c:v>write: + zstd encode</c:v>
                </c:pt>
                <c:pt idx="3">
                  <c:v>write: + bitpack encode</c:v>
                </c:pt>
                <c:pt idx="4">
                  <c:v>write: + quantise+bitpack+zstd</c:v>
                </c:pt>
                <c:pt idx="5">
                  <c:v>read: store read floor, no codec</c:v>
                </c:pt>
                <c:pt idx="6">
                  <c:v>read: + zstd decode</c:v>
                </c:pt>
                <c:pt idx="7">
                  <c:v>read: + bitpack decode</c:v>
                </c:pt>
                <c:pt idx="8">
                  <c:v>read: + full lossy decode</c:v>
                </c:pt>
              </c:strCache>
            </c:strRef>
          </c:cat>
          <c:val>
            <c:numRef>
              <c:f>Stages!$D$7:$D$15</c:f>
              <c:numCache>
                <c:formatCode>General</c:formatCode>
                <c:ptCount val="9"/>
                <c:pt idx="0">
                  <c:v>0</c:v>
                </c:pt>
                <c:pt idx="1">
                  <c:v>0</c:v>
                </c:pt>
                <c:pt idx="2">
                  <c:v>0</c:v>
                </c:pt>
                <c:pt idx="3">
                  <c:v>0</c:v>
                </c:pt>
                <c:pt idx="4">
                  <c:v>0</c:v>
                </c:pt>
                <c:pt idx="5">
                  <c:v>0</c:v>
                </c:pt>
                <c:pt idx="6">
                  <c:v>0</c:v>
                </c:pt>
                <c:pt idx="7">
                  <c:v>0</c:v>
                </c:pt>
                <c:pt idx="8">
                  <c:v>0</c:v>
                </c:pt>
              </c:numCache>
            </c:numRef>
          </c:val>
        </c:ser>
        <c:gapWidth val="60"/>
        <c:overlap val="0"/>
        <c:axId val="58776533"/>
        <c:axId val="9010963"/>
      </c:barChart>
      <c:catAx>
        <c:axId val="5877653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10963"/>
        <c:crosses val="autoZero"/>
        <c:auto val="1"/>
        <c:lblAlgn val="ctr"/>
        <c:lblOffset val="100"/>
        <c:noMultiLvlLbl val="0"/>
      </c:catAx>
      <c:valAx>
        <c:axId val="901096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7765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Query minus query, seconds</a:t>
            </a:r>
          </a:p>
        </c:rich>
      </c:tx>
      <c:overlay val="0"/>
      <c:spPr>
        <a:noFill/>
        <a:ln w="0">
          <a:noFill/>
        </a:ln>
      </c:spPr>
    </c:title>
    <c:autoTitleDeleted val="0"/>
    <c:plotArea>
      <c:barChart>
        <c:barDir val="col"/>
        <c:grouping val="clustered"/>
        <c:varyColors val="0"/>
        <c:ser>
          <c:idx val="0"/>
          <c:order val="0"/>
          <c:tx>
            <c:strRef>
              <c:f>Comparisons!B5</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Comparisons!$A$6:$A$12</c:f>
              <c:strCache>
                <c:ptCount val="7"/>
                <c:pt idx="0">
                  <c:v>Q3 - Q1   FileStore write vs normal query, 4 cols</c:v>
                </c:pt>
                <c:pt idx="1">
                  <c:v>Q5 - Q3   CompressedStore write vs FileStore write</c:v>
                </c:pt>
                <c:pt idx="2">
                  <c:v>Q7 - Q3   LossyStore lossless write vs FileStore write</c:v>
                </c:pt>
                <c:pt idx="3">
                  <c:v>Q9 - Q3   LossyStore 1% write vs FileStore write</c:v>
                </c:pt>
                <c:pt idx="4">
                  <c:v>Q6 - Q4   CompressedStore read vs FileStore read</c:v>
                </c:pt>
                <c:pt idx="5">
                  <c:v>Q8 - Q4   LossyStore lossless read vs FileStore read</c:v>
                </c:pt>
                <c:pt idx="6">
                  <c:v>Q10 - Q4   LossyStore 1% read vs FileStore read</c:v>
                </c:pt>
              </c:strCache>
            </c:strRef>
          </c:cat>
          <c:val>
            <c:numRef>
              <c:f>Comparisons!$B$6:$B$12</c:f>
              <c:numCache>
                <c:formatCode>General</c:formatCode>
                <c:ptCount val="7"/>
                <c:pt idx="0">
                  <c:v>6.4045</c:v>
                </c:pt>
                <c:pt idx="1">
                  <c:v>6.1008</c:v>
                </c:pt>
                <c:pt idx="2">
                  <c:v>3.4851</c:v>
                </c:pt>
                <c:pt idx="3">
                  <c:v>3.4871</c:v>
                </c:pt>
                <c:pt idx="4">
                  <c:v>-0.00919999999999988</c:v>
                </c:pt>
                <c:pt idx="5">
                  <c:v>0.0968999999999998</c:v>
                </c:pt>
                <c:pt idx="6">
                  <c:v>0.0875000000000004</c:v>
                </c:pt>
              </c:numCache>
            </c:numRef>
          </c:val>
        </c:ser>
        <c:ser>
          <c:idx val="1"/>
          <c:order val="1"/>
          <c:tx>
            <c:strRef>
              <c:f>Comparisons!C5</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Comparisons!$A$6:$A$12</c:f>
              <c:strCache>
                <c:ptCount val="7"/>
                <c:pt idx="0">
                  <c:v>Q3 - Q1   FileStore write vs normal query, 4 cols</c:v>
                </c:pt>
                <c:pt idx="1">
                  <c:v>Q5 - Q3   CompressedStore write vs FileStore write</c:v>
                </c:pt>
                <c:pt idx="2">
                  <c:v>Q7 - Q3   LossyStore lossless write vs FileStore write</c:v>
                </c:pt>
                <c:pt idx="3">
                  <c:v>Q9 - Q3   LossyStore 1% write vs FileStore write</c:v>
                </c:pt>
                <c:pt idx="4">
                  <c:v>Q6 - Q4   CompressedStore read vs FileStore read</c:v>
                </c:pt>
                <c:pt idx="5">
                  <c:v>Q8 - Q4   LossyStore lossless read vs FileStore read</c:v>
                </c:pt>
                <c:pt idx="6">
                  <c:v>Q10 - Q4   LossyStore 1% read vs FileStore read</c:v>
                </c:pt>
              </c:strCache>
            </c:strRef>
          </c:cat>
          <c:val>
            <c:numRef>
              <c:f>Comparisons!$C$6:$C$12</c:f>
              <c:numCache>
                <c:formatCode>General</c:formatCode>
                <c:ptCount val="7"/>
                <c:pt idx="0">
                  <c:v>5.6965</c:v>
                </c:pt>
                <c:pt idx="1">
                  <c:v>7.46420000000001</c:v>
                </c:pt>
                <c:pt idx="2">
                  <c:v>4.6394</c:v>
                </c:pt>
                <c:pt idx="3">
                  <c:v>3.764</c:v>
                </c:pt>
                <c:pt idx="4">
                  <c:v>0.108599999999999</c:v>
                </c:pt>
                <c:pt idx="5">
                  <c:v>-0.020900000000001</c:v>
                </c:pt>
                <c:pt idx="6">
                  <c:v>0.011099999999999</c:v>
                </c:pt>
              </c:numCache>
            </c:numRef>
          </c:val>
        </c:ser>
        <c:ser>
          <c:idx val="2"/>
          <c:order val="2"/>
          <c:tx>
            <c:strRef>
              <c:f>Comparisons!D5</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Comparisons!$A$6:$A$12</c:f>
              <c:strCache>
                <c:ptCount val="7"/>
                <c:pt idx="0">
                  <c:v>Q3 - Q1   FileStore write vs normal query, 4 cols</c:v>
                </c:pt>
                <c:pt idx="1">
                  <c:v>Q5 - Q3   CompressedStore write vs FileStore write</c:v>
                </c:pt>
                <c:pt idx="2">
                  <c:v>Q7 - Q3   LossyStore lossless write vs FileStore write</c:v>
                </c:pt>
                <c:pt idx="3">
                  <c:v>Q9 - Q3   LossyStore 1% write vs FileStore write</c:v>
                </c:pt>
                <c:pt idx="4">
                  <c:v>Q6 - Q4   CompressedStore read vs FileStore read</c:v>
                </c:pt>
                <c:pt idx="5">
                  <c:v>Q8 - Q4   LossyStore lossless read vs FileStore read</c:v>
                </c:pt>
                <c:pt idx="6">
                  <c:v>Q10 - Q4   LossyStore 1% read vs FileStore read</c:v>
                </c:pt>
              </c:strCache>
            </c:strRef>
          </c:cat>
          <c:val>
            <c:numRef>
              <c:f>Comparisons!$D$6:$D$12</c:f>
              <c:numCache>
                <c:formatCode>General</c:formatCode>
                <c:ptCount val="7"/>
                <c:pt idx="0">
                  <c:v>5.7867</c:v>
                </c:pt>
                <c:pt idx="1">
                  <c:v>7.4747</c:v>
                </c:pt>
                <c:pt idx="2">
                  <c:v>5.2349</c:v>
                </c:pt>
                <c:pt idx="3">
                  <c:v>4.2217</c:v>
                </c:pt>
                <c:pt idx="4">
                  <c:v>-0.274000000000001</c:v>
                </c:pt>
                <c:pt idx="5">
                  <c:v>0.00539999999999985</c:v>
                </c:pt>
                <c:pt idx="6">
                  <c:v>0.228199999999999</c:v>
                </c:pt>
              </c:numCache>
            </c:numRef>
          </c:val>
        </c:ser>
        <c:gapWidth val="60"/>
        <c:overlap val="0"/>
        <c:axId val="27180039"/>
        <c:axId val="76800705"/>
      </c:barChart>
      <c:catAx>
        <c:axId val="271800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800705"/>
        <c:crosses val="autoZero"/>
        <c:auto val="1"/>
        <c:lblAlgn val="ctr"/>
        <c:lblOffset val="100"/>
        <c:noMultiLvlLbl val="0"/>
      </c:catAx>
      <c:valAx>
        <c:axId val="7680070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1800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Bytes on disk by configuration</a:t>
            </a:r>
          </a:p>
        </c:rich>
      </c:tx>
      <c:overlay val="0"/>
      <c:spPr>
        <a:noFill/>
        <a:ln w="0">
          <a:noFill/>
        </a:ln>
      </c:spPr>
    </c:title>
    <c:autoTitleDeleted val="0"/>
    <c:plotArea>
      <c:barChart>
        <c:barDir val="col"/>
        <c:grouping val="clustered"/>
        <c:varyColors val="0"/>
        <c:ser>
          <c:idx val="0"/>
          <c:order val="0"/>
          <c:tx>
            <c:strRef>
              <c:f>Bytes!B5</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Bytes!$A$6:$A$9</c:f>
              <c:strCache>
                <c:ptCount val="4"/>
                <c:pt idx="0">
                  <c:v>FileStore</c:v>
                </c:pt>
                <c:pt idx="1">
                  <c:v>CompressedStore</c:v>
                </c:pt>
                <c:pt idx="2">
                  <c:v>LossyStore lossless</c:v>
                </c:pt>
                <c:pt idx="3">
                  <c:v>LossyStore 1%</c:v>
                </c:pt>
              </c:strCache>
            </c:strRef>
          </c:cat>
          <c:val>
            <c:numRef>
              <c:f>Bytes!$B$6:$B$9</c:f>
              <c:numCache>
                <c:formatCode>General</c:formatCode>
                <c:ptCount val="4"/>
                <c:pt idx="0">
                  <c:v>1195928436</c:v>
                </c:pt>
                <c:pt idx="1">
                  <c:v>724616220</c:v>
                </c:pt>
                <c:pt idx="2">
                  <c:v>643275922</c:v>
                </c:pt>
                <c:pt idx="3">
                  <c:v>374923574</c:v>
                </c:pt>
              </c:numCache>
            </c:numRef>
          </c:val>
        </c:ser>
        <c:ser>
          <c:idx val="1"/>
          <c:order val="1"/>
          <c:tx>
            <c:strRef>
              <c:f>Bytes!C5</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Bytes!$A$6:$A$9</c:f>
              <c:strCache>
                <c:ptCount val="4"/>
                <c:pt idx="0">
                  <c:v>FileStore</c:v>
                </c:pt>
                <c:pt idx="1">
                  <c:v>CompressedStore</c:v>
                </c:pt>
                <c:pt idx="2">
                  <c:v>LossyStore lossless</c:v>
                </c:pt>
                <c:pt idx="3">
                  <c:v>LossyStore 1%</c:v>
                </c:pt>
              </c:strCache>
            </c:strRef>
          </c:cat>
          <c:val>
            <c:numRef>
              <c:f>Bytes!$C$6:$C$9</c:f>
              <c:numCache>
                <c:formatCode>General</c:formatCode>
                <c:ptCount val="4"/>
                <c:pt idx="0">
                  <c:v>1195682676</c:v>
                </c:pt>
                <c:pt idx="1">
                  <c:v>723908636</c:v>
                </c:pt>
                <c:pt idx="2">
                  <c:v>640065281</c:v>
                </c:pt>
                <c:pt idx="3">
                  <c:v>385519644</c:v>
                </c:pt>
              </c:numCache>
            </c:numRef>
          </c:val>
        </c:ser>
        <c:ser>
          <c:idx val="2"/>
          <c:order val="2"/>
          <c:tx>
            <c:strRef>
              <c:f>Bytes!D5</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Bytes!$A$6:$A$9</c:f>
              <c:strCache>
                <c:ptCount val="4"/>
                <c:pt idx="0">
                  <c:v>FileStore</c:v>
                </c:pt>
                <c:pt idx="1">
                  <c:v>CompressedStore</c:v>
                </c:pt>
                <c:pt idx="2">
                  <c:v>LossyStore lossless</c:v>
                </c:pt>
                <c:pt idx="3">
                  <c:v>LossyStore 1%</c:v>
                </c:pt>
              </c:strCache>
            </c:strRef>
          </c:cat>
          <c:val>
            <c:numRef>
              <c:f>Bytes!$D$6:$D$9</c:f>
              <c:numCache>
                <c:formatCode>General</c:formatCode>
                <c:ptCount val="4"/>
                <c:pt idx="0">
                  <c:v>1195605876</c:v>
                </c:pt>
                <c:pt idx="1">
                  <c:v>723748236</c:v>
                </c:pt>
                <c:pt idx="2">
                  <c:v>651555712</c:v>
                </c:pt>
                <c:pt idx="3">
                  <c:v>402276030</c:v>
                </c:pt>
              </c:numCache>
            </c:numRef>
          </c:val>
        </c:ser>
        <c:gapWidth val="60"/>
        <c:overlap val="0"/>
        <c:axId val="55468278"/>
        <c:axId val="85271704"/>
      </c:barChart>
      <c:catAx>
        <c:axId val="5546827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271704"/>
        <c:crosses val="autoZero"/>
        <c:auto val="1"/>
        <c:lblAlgn val="ctr"/>
        <c:lblOffset val="100"/>
        <c:noMultiLvlLbl val="0"/>
      </c:catAx>
      <c:valAx>
        <c:axId val="8527170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4682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Compression ratio by configuration</a:t>
            </a:r>
          </a:p>
        </c:rich>
      </c:tx>
      <c:overlay val="0"/>
      <c:spPr>
        <a:noFill/>
        <a:ln w="0">
          <a:noFill/>
        </a:ln>
      </c:spPr>
    </c:title>
    <c:autoTitleDeleted val="0"/>
    <c:plotArea>
      <c:barChart>
        <c:barDir val="col"/>
        <c:grouping val="clustered"/>
        <c:varyColors val="0"/>
        <c:ser>
          <c:idx val="0"/>
          <c:order val="0"/>
          <c:tx>
            <c:strRef>
              <c:f>Bytes!B36</c:f>
              <c:strCache>
                <c:ptCount val="1"/>
                <c:pt idx="0">
                  <c:v>256 KB</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Bytes!$A$37:$A$40</c:f>
              <c:strCache>
                <c:ptCount val="4"/>
                <c:pt idx="0">
                  <c:v>FileStore</c:v>
                </c:pt>
                <c:pt idx="1">
                  <c:v>CompressedStore</c:v>
                </c:pt>
                <c:pt idx="2">
                  <c:v>LossyStore lossless</c:v>
                </c:pt>
                <c:pt idx="3">
                  <c:v>LossyStore 1%</c:v>
                </c:pt>
              </c:strCache>
            </c:strRef>
          </c:cat>
          <c:val>
            <c:numRef>
              <c:f>Bytes!$B$37:$B$40</c:f>
              <c:numCache>
                <c:formatCode>General</c:formatCode>
                <c:ptCount val="4"/>
                <c:pt idx="0">
                  <c:v>0.9997</c:v>
                </c:pt>
                <c:pt idx="1">
                  <c:v>1.65</c:v>
                </c:pt>
                <c:pt idx="2">
                  <c:v>1.8586</c:v>
                </c:pt>
                <c:pt idx="3">
                  <c:v>3.1889</c:v>
                </c:pt>
              </c:numCache>
            </c:numRef>
          </c:val>
        </c:ser>
        <c:ser>
          <c:idx val="1"/>
          <c:order val="1"/>
          <c:tx>
            <c:strRef>
              <c:f>Bytes!C36</c:f>
              <c:strCache>
                <c:ptCount val="1"/>
                <c:pt idx="0">
                  <c:v>1024 KB</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Bytes!$A$37:$A$40</c:f>
              <c:strCache>
                <c:ptCount val="4"/>
                <c:pt idx="0">
                  <c:v>FileStore</c:v>
                </c:pt>
                <c:pt idx="1">
                  <c:v>CompressedStore</c:v>
                </c:pt>
                <c:pt idx="2">
                  <c:v>LossyStore lossless</c:v>
                </c:pt>
                <c:pt idx="3">
                  <c:v>LossyStore 1%</c:v>
                </c:pt>
              </c:strCache>
            </c:strRef>
          </c:cat>
          <c:val>
            <c:numRef>
              <c:f>Bytes!$C$37:$C$40</c:f>
              <c:numCache>
                <c:formatCode>General</c:formatCode>
                <c:ptCount val="4"/>
                <c:pt idx="0">
                  <c:v>0.9999</c:v>
                </c:pt>
                <c:pt idx="1">
                  <c:v>1.6516</c:v>
                </c:pt>
                <c:pt idx="2">
                  <c:v>1.8679</c:v>
                </c:pt>
                <c:pt idx="3">
                  <c:v>3.1013</c:v>
                </c:pt>
              </c:numCache>
            </c:numRef>
          </c:val>
        </c:ser>
        <c:ser>
          <c:idx val="2"/>
          <c:order val="2"/>
          <c:tx>
            <c:strRef>
              <c:f>Bytes!D36</c:f>
              <c:strCache>
                <c:ptCount val="1"/>
                <c:pt idx="0">
                  <c:v>16384 KB</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Bytes!$A$37:$A$40</c:f>
              <c:strCache>
                <c:ptCount val="4"/>
                <c:pt idx="0">
                  <c:v>FileStore</c:v>
                </c:pt>
                <c:pt idx="1">
                  <c:v>CompressedStore</c:v>
                </c:pt>
                <c:pt idx="2">
                  <c:v>LossyStore lossless</c:v>
                </c:pt>
                <c:pt idx="3">
                  <c:v>LossyStore 1%</c:v>
                </c:pt>
              </c:strCache>
            </c:strRef>
          </c:cat>
          <c:val>
            <c:numRef>
              <c:f>Bytes!$D$37:$D$40</c:f>
              <c:numCache>
                <c:formatCode>General</c:formatCode>
                <c:ptCount val="4"/>
                <c:pt idx="0">
                  <c:v>1</c:v>
                </c:pt>
                <c:pt idx="1">
                  <c:v>1.652</c:v>
                </c:pt>
                <c:pt idx="2">
                  <c:v>1.835</c:v>
                </c:pt>
                <c:pt idx="3">
                  <c:v>2.9721</c:v>
                </c:pt>
              </c:numCache>
            </c:numRef>
          </c:val>
        </c:ser>
        <c:gapWidth val="60"/>
        <c:overlap val="0"/>
        <c:axId val="18144165"/>
        <c:axId val="22452092"/>
      </c:barChart>
      <c:catAx>
        <c:axId val="1814416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query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452092"/>
        <c:crosses val="autoZero"/>
        <c:auto val="1"/>
        <c:lblAlgn val="ctr"/>
        <c:lblOffset val="100"/>
        <c:noMultiLvlLbl val="0"/>
      </c:catAx>
      <c:valAx>
        <c:axId val="2245209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1441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2.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_rels/drawing4.xml.rels><?xml version="1.0" encoding="UTF-8"?>
<Relationships xmlns="http://schemas.openxmlformats.org/package/2006/relationships"><Relationship Id="rId1"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
</Relationships>
</file>

<file path=xl/drawings/_rels/drawing6.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5</xdr:col>
      <xdr:colOff>671040</xdr:colOff>
      <xdr:row>34</xdr:row>
      <xdr:rowOff>170640</xdr:rowOff>
    </xdr:to>
    <xdr:graphicFrame>
      <xdr:nvGraphicFramePr>
        <xdr:cNvPr id="0" name="Chart 1"/>
        <xdr:cNvGraphicFramePr/>
      </xdr:nvGraphicFramePr>
      <xdr:xfrm>
        <a:off x="0" y="304812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45</xdr:row>
      <xdr:rowOff>0</xdr:rowOff>
    </xdr:from>
    <xdr:to>
      <xdr:col>5</xdr:col>
      <xdr:colOff>671040</xdr:colOff>
      <xdr:row>63</xdr:row>
      <xdr:rowOff>170640</xdr:rowOff>
    </xdr:to>
    <xdr:graphicFrame>
      <xdr:nvGraphicFramePr>
        <xdr:cNvPr id="1" name="Chart 2"/>
        <xdr:cNvGraphicFramePr/>
      </xdr:nvGraphicFramePr>
      <xdr:xfrm>
        <a:off x="0" y="8572680"/>
        <a:ext cx="791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76</xdr:row>
      <xdr:rowOff>0</xdr:rowOff>
    </xdr:from>
    <xdr:to>
      <xdr:col>5</xdr:col>
      <xdr:colOff>671040</xdr:colOff>
      <xdr:row>94</xdr:row>
      <xdr:rowOff>170640</xdr:rowOff>
    </xdr:to>
    <xdr:graphicFrame>
      <xdr:nvGraphicFramePr>
        <xdr:cNvPr id="2" name="Chart 3"/>
        <xdr:cNvGraphicFramePr/>
      </xdr:nvGraphicFramePr>
      <xdr:xfrm>
        <a:off x="0" y="14478120"/>
        <a:ext cx="791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6</xdr:col>
      <xdr:colOff>90000</xdr:colOff>
      <xdr:row>34</xdr:row>
      <xdr:rowOff>170640</xdr:rowOff>
    </xdr:to>
    <xdr:graphicFrame>
      <xdr:nvGraphicFramePr>
        <xdr:cNvPr id="3" name="Chart 1"/>
        <xdr:cNvGraphicFramePr/>
      </xdr:nvGraphicFramePr>
      <xdr:xfrm>
        <a:off x="0" y="304812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54</xdr:row>
      <xdr:rowOff>0</xdr:rowOff>
    </xdr:from>
    <xdr:to>
      <xdr:col>6</xdr:col>
      <xdr:colOff>90000</xdr:colOff>
      <xdr:row>72</xdr:row>
      <xdr:rowOff>170640</xdr:rowOff>
    </xdr:to>
    <xdr:graphicFrame>
      <xdr:nvGraphicFramePr>
        <xdr:cNvPr id="4" name="Chart 2"/>
        <xdr:cNvGraphicFramePr/>
      </xdr:nvGraphicFramePr>
      <xdr:xfrm>
        <a:off x="0" y="10287000"/>
        <a:ext cx="791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6</xdr:col>
      <xdr:colOff>90000</xdr:colOff>
      <xdr:row>34</xdr:row>
      <xdr:rowOff>170640</xdr:rowOff>
    </xdr:to>
    <xdr:graphicFrame>
      <xdr:nvGraphicFramePr>
        <xdr:cNvPr id="5" name="Chart 1"/>
        <xdr:cNvGraphicFramePr/>
      </xdr:nvGraphicFramePr>
      <xdr:xfrm>
        <a:off x="0" y="304812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54</xdr:row>
      <xdr:rowOff>0</xdr:rowOff>
    </xdr:from>
    <xdr:to>
      <xdr:col>6</xdr:col>
      <xdr:colOff>90000</xdr:colOff>
      <xdr:row>72</xdr:row>
      <xdr:rowOff>170640</xdr:rowOff>
    </xdr:to>
    <xdr:graphicFrame>
      <xdr:nvGraphicFramePr>
        <xdr:cNvPr id="6" name="Chart 2"/>
        <xdr:cNvGraphicFramePr/>
      </xdr:nvGraphicFramePr>
      <xdr:xfrm>
        <a:off x="0" y="10287000"/>
        <a:ext cx="791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0</xdr:rowOff>
    </xdr:from>
    <xdr:to>
      <xdr:col>4</xdr:col>
      <xdr:colOff>363240</xdr:colOff>
      <xdr:row>34</xdr:row>
      <xdr:rowOff>170640</xdr:rowOff>
    </xdr:to>
    <xdr:graphicFrame>
      <xdr:nvGraphicFramePr>
        <xdr:cNvPr id="7" name="Chart 1"/>
        <xdr:cNvGraphicFramePr/>
      </xdr:nvGraphicFramePr>
      <xdr:xfrm>
        <a:off x="0" y="304812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4</xdr:col>
      <xdr:colOff>7560</xdr:colOff>
      <xdr:row>31</xdr:row>
      <xdr:rowOff>170640</xdr:rowOff>
    </xdr:to>
    <xdr:graphicFrame>
      <xdr:nvGraphicFramePr>
        <xdr:cNvPr id="8" name="Chart 1"/>
        <xdr:cNvGraphicFramePr/>
      </xdr:nvGraphicFramePr>
      <xdr:xfrm>
        <a:off x="0" y="247644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0</xdr:rowOff>
    </xdr:from>
    <xdr:to>
      <xdr:col>5</xdr:col>
      <xdr:colOff>48960</xdr:colOff>
      <xdr:row>28</xdr:row>
      <xdr:rowOff>170640</xdr:rowOff>
    </xdr:to>
    <xdr:graphicFrame>
      <xdr:nvGraphicFramePr>
        <xdr:cNvPr id="9" name="Chart 1"/>
        <xdr:cNvGraphicFramePr/>
      </xdr:nvGraphicFramePr>
      <xdr:xfrm>
        <a:off x="0" y="190512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41</xdr:row>
      <xdr:rowOff>0</xdr:rowOff>
    </xdr:from>
    <xdr:to>
      <xdr:col>5</xdr:col>
      <xdr:colOff>48960</xdr:colOff>
      <xdr:row>59</xdr:row>
      <xdr:rowOff>170640</xdr:rowOff>
    </xdr:to>
    <xdr:graphicFrame>
      <xdr:nvGraphicFramePr>
        <xdr:cNvPr id="10" name="Chart 2"/>
        <xdr:cNvGraphicFramePr/>
      </xdr:nvGraphicFramePr>
      <xdr:xfrm>
        <a:off x="0" y="7810560"/>
        <a:ext cx="791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16"/>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1" customFormat="false" ht="15" hidden="false" customHeight="false" outlineLevel="0" collapsed="false">
      <c r="A11" s="5" t="s">
        <v>14</v>
      </c>
      <c r="B11" s="6"/>
    </row>
    <row r="12" customFormat="false" ht="15" hidden="false" customHeight="false" outlineLevel="0" collapsed="false">
      <c r="B12" s="4" t="s">
        <v>15</v>
      </c>
    </row>
    <row r="13" customFormat="false" ht="15" hidden="false" customHeight="false" outlineLevel="0" collapsed="false">
      <c r="B13" s="4" t="s">
        <v>16</v>
      </c>
    </row>
    <row r="15" customFormat="false" ht="15" hidden="false" customHeight="false" outlineLevel="0" collapsed="false">
      <c r="A15" s="5" t="s">
        <v>17</v>
      </c>
      <c r="B15" s="6"/>
    </row>
    <row r="16" customFormat="false" ht="15" hidden="false" customHeight="false" outlineLevel="0" collapsed="false">
      <c r="A16" s="3" t="s">
        <v>18</v>
      </c>
      <c r="B16" s="4" t="s">
        <v>19</v>
      </c>
    </row>
    <row r="17" customFormat="false" ht="15" hidden="false" customHeight="false" outlineLevel="0" collapsed="false">
      <c r="A17" s="3" t="s">
        <v>20</v>
      </c>
      <c r="B17" s="4" t="s">
        <v>21</v>
      </c>
    </row>
    <row r="18" customFormat="false" ht="15" hidden="false" customHeight="false" outlineLevel="0" collapsed="false">
      <c r="A18" s="3" t="s">
        <v>22</v>
      </c>
      <c r="B18" s="4" t="s">
        <v>23</v>
      </c>
    </row>
    <row r="20" customFormat="false" ht="15" hidden="false" customHeight="false" outlineLevel="0" collapsed="false">
      <c r="A20" s="5" t="s">
        <v>24</v>
      </c>
      <c r="B20" s="6"/>
    </row>
    <row r="21" customFormat="false" ht="15" hidden="false" customHeight="false" outlineLevel="0" collapsed="false">
      <c r="A21" s="7" t="s">
        <v>25</v>
      </c>
      <c r="B21" s="8"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13"/>
  </cols>
  <sheetData>
    <row r="1" customFormat="false" ht="15" hidden="false" customHeight="false" outlineLevel="0" collapsed="false">
      <c r="A1" s="1" t="s">
        <v>27</v>
      </c>
    </row>
    <row r="2" customFormat="false" ht="15" hidden="false" customHeight="false" outlineLevel="0" collapsed="false">
      <c r="A2" s="2" t="s">
        <v>28</v>
      </c>
    </row>
    <row r="4" customFormat="false" ht="15" hidden="false" customHeight="false" outlineLevel="0" collapsed="false">
      <c r="A4" s="5" t="s">
        <v>29</v>
      </c>
      <c r="B4" s="6"/>
      <c r="C4" s="6"/>
      <c r="D4" s="6"/>
    </row>
    <row r="5" customFormat="false" ht="15" hidden="false" customHeight="false" outlineLevel="0" collapsed="false">
      <c r="A5" s="9" t="s">
        <v>30</v>
      </c>
      <c r="B5" s="9" t="s">
        <v>31</v>
      </c>
      <c r="C5" s="9" t="s">
        <v>32</v>
      </c>
      <c r="D5" s="9" t="s">
        <v>33</v>
      </c>
    </row>
    <row r="6" customFormat="false" ht="15" hidden="false" customHeight="false" outlineLevel="0" collapsed="false">
      <c r="A6" s="10" t="s">
        <v>34</v>
      </c>
      <c r="B6" s="11" t="n">
        <f aca="false">SUMIFS(Queries!$H:$H,Queries!$E:$E,1,Queries!$B:$B,256)</f>
        <v>20.8994</v>
      </c>
      <c r="C6" s="11" t="n">
        <f aca="false">SUMIFS(Queries!$H:$H,Queries!$E:$E,1,Queries!$B:$B,1024)</f>
        <v>21.3942</v>
      </c>
      <c r="D6" s="11" t="n">
        <f aca="false">SUMIFS(Queries!$H:$H,Queries!$E:$E,1,Queries!$B:$B,16384)</f>
        <v>21.5476</v>
      </c>
    </row>
    <row r="7" customFormat="false" ht="15" hidden="false" customHeight="false" outlineLevel="0" collapsed="false">
      <c r="A7" s="10" t="s">
        <v>35</v>
      </c>
      <c r="B7" s="11" t="n">
        <f aca="false">SUMIFS(Queries!$H:$H,Queries!$E:$E,2,Queries!$B:$B,256)</f>
        <v>20.5088</v>
      </c>
      <c r="C7" s="11" t="n">
        <f aca="false">SUMIFS(Queries!$H:$H,Queries!$E:$E,2,Queries!$B:$B,1024)</f>
        <v>21.1534</v>
      </c>
      <c r="D7" s="11" t="n">
        <f aca="false">SUMIFS(Queries!$H:$H,Queries!$E:$E,2,Queries!$B:$B,16384)</f>
        <v>21.0363</v>
      </c>
    </row>
    <row r="8" customFormat="false" ht="15" hidden="false" customHeight="false" outlineLevel="0" collapsed="false">
      <c r="A8" s="10" t="s">
        <v>36</v>
      </c>
      <c r="B8" s="11" t="n">
        <f aca="false">SUMIFS(Queries!$H:$H,Queries!$E:$E,3,Queries!$B:$B,256)</f>
        <v>27.3039</v>
      </c>
      <c r="C8" s="11" t="n">
        <f aca="false">SUMIFS(Queries!$H:$H,Queries!$E:$E,3,Queries!$B:$B,1024)</f>
        <v>27.0907</v>
      </c>
      <c r="D8" s="11" t="n">
        <f aca="false">SUMIFS(Queries!$H:$H,Queries!$E:$E,3,Queries!$B:$B,16384)</f>
        <v>27.3343</v>
      </c>
    </row>
    <row r="9" customFormat="false" ht="15" hidden="false" customHeight="false" outlineLevel="0" collapsed="false">
      <c r="A9" s="10" t="s">
        <v>37</v>
      </c>
      <c r="B9" s="11" t="n">
        <f aca="false">SUMIFS(Queries!$H:$H,Queries!$E:$E,4,Queries!$B:$B,256)</f>
        <v>9.8788</v>
      </c>
      <c r="C9" s="11" t="n">
        <f aca="false">SUMIFS(Queries!$H:$H,Queries!$E:$E,4,Queries!$B:$B,1024)</f>
        <v>9.944</v>
      </c>
      <c r="D9" s="11" t="n">
        <f aca="false">SUMIFS(Queries!$H:$H,Queries!$E:$E,4,Queries!$B:$B,16384)</f>
        <v>10.1485</v>
      </c>
    </row>
    <row r="10" customFormat="false" ht="15" hidden="false" customHeight="false" outlineLevel="0" collapsed="false">
      <c r="A10" s="10" t="s">
        <v>38</v>
      </c>
      <c r="B10" s="11" t="n">
        <f aca="false">SUMIFS(Queries!$H:$H,Queries!$E:$E,5,Queries!$B:$B,256)</f>
        <v>33.4047</v>
      </c>
      <c r="C10" s="11" t="n">
        <f aca="false">SUMIFS(Queries!$H:$H,Queries!$E:$E,5,Queries!$B:$B,1024)</f>
        <v>34.5549</v>
      </c>
      <c r="D10" s="11" t="n">
        <f aca="false">SUMIFS(Queries!$H:$H,Queries!$E:$E,5,Queries!$B:$B,16384)</f>
        <v>34.809</v>
      </c>
    </row>
    <row r="11" customFormat="false" ht="15" hidden="false" customHeight="false" outlineLevel="0" collapsed="false">
      <c r="A11" s="10" t="s">
        <v>39</v>
      </c>
      <c r="B11" s="11" t="n">
        <f aca="false">SUMIFS(Queries!$H:$H,Queries!$E:$E,6,Queries!$B:$B,256)</f>
        <v>9.8696</v>
      </c>
      <c r="C11" s="11" t="n">
        <f aca="false">SUMIFS(Queries!$H:$H,Queries!$E:$E,6,Queries!$B:$B,1024)</f>
        <v>10.0526</v>
      </c>
      <c r="D11" s="11" t="n">
        <f aca="false">SUMIFS(Queries!$H:$H,Queries!$E:$E,6,Queries!$B:$B,16384)</f>
        <v>9.8745</v>
      </c>
    </row>
    <row r="12" customFormat="false" ht="15" hidden="false" customHeight="false" outlineLevel="0" collapsed="false">
      <c r="A12" s="10" t="s">
        <v>40</v>
      </c>
      <c r="B12" s="11" t="n">
        <f aca="false">SUMIFS(Queries!$H:$H,Queries!$E:$E,7,Queries!$B:$B,256)</f>
        <v>30.789</v>
      </c>
      <c r="C12" s="11" t="n">
        <f aca="false">SUMIFS(Queries!$H:$H,Queries!$E:$E,7,Queries!$B:$B,1024)</f>
        <v>31.7301</v>
      </c>
      <c r="D12" s="11" t="n">
        <f aca="false">SUMIFS(Queries!$H:$H,Queries!$E:$E,7,Queries!$B:$B,16384)</f>
        <v>32.5692</v>
      </c>
    </row>
    <row r="13" customFormat="false" ht="15" hidden="false" customHeight="false" outlineLevel="0" collapsed="false">
      <c r="A13" s="10" t="s">
        <v>41</v>
      </c>
      <c r="B13" s="11" t="n">
        <f aca="false">SUMIFS(Queries!$H:$H,Queries!$E:$E,8,Queries!$B:$B,256)</f>
        <v>9.9757</v>
      </c>
      <c r="C13" s="11" t="n">
        <f aca="false">SUMIFS(Queries!$H:$H,Queries!$E:$E,8,Queries!$B:$B,1024)</f>
        <v>9.9231</v>
      </c>
      <c r="D13" s="11" t="n">
        <f aca="false">SUMIFS(Queries!$H:$H,Queries!$E:$E,8,Queries!$B:$B,16384)</f>
        <v>10.1539</v>
      </c>
    </row>
    <row r="14" customFormat="false" ht="15" hidden="false" customHeight="false" outlineLevel="0" collapsed="false">
      <c r="A14" s="10" t="s">
        <v>42</v>
      </c>
      <c r="B14" s="11" t="n">
        <f aca="false">SUMIFS(Queries!$H:$H,Queries!$E:$E,9,Queries!$B:$B,256)</f>
        <v>30.791</v>
      </c>
      <c r="C14" s="11" t="n">
        <f aca="false">SUMIFS(Queries!$H:$H,Queries!$E:$E,9,Queries!$B:$B,1024)</f>
        <v>30.8547</v>
      </c>
      <c r="D14" s="11" t="n">
        <f aca="false">SUMIFS(Queries!$H:$H,Queries!$E:$E,9,Queries!$B:$B,16384)</f>
        <v>31.556</v>
      </c>
    </row>
    <row r="15" customFormat="false" ht="15" hidden="false" customHeight="false" outlineLevel="0" collapsed="false">
      <c r="A15" s="10" t="s">
        <v>43</v>
      </c>
      <c r="B15" s="11" t="n">
        <f aca="false">SUMIFS(Queries!$H:$H,Queries!$E:$E,10,Queries!$B:$B,256)</f>
        <v>9.9663</v>
      </c>
      <c r="C15" s="11" t="n">
        <f aca="false">SUMIFS(Queries!$H:$H,Queries!$E:$E,10,Queries!$B:$B,1024)</f>
        <v>9.9551</v>
      </c>
      <c r="D15" s="11" t="n">
        <f aca="false">SUMIFS(Queries!$H:$H,Queries!$E:$E,10,Queries!$B:$B,16384)</f>
        <v>10.3767</v>
      </c>
    </row>
    <row r="38" customFormat="false" ht="15" hidden="false" customHeight="false" outlineLevel="0" collapsed="false">
      <c r="A38" s="12" t="s">
        <v>44</v>
      </c>
      <c r="B38" s="2" t="s">
        <v>45</v>
      </c>
    </row>
    <row r="39" customFormat="false" ht="15" hidden="false" customHeight="false" outlineLevel="0" collapsed="false">
      <c r="A39" s="12" t="s">
        <v>46</v>
      </c>
      <c r="B39" s="2" t="s">
        <v>47</v>
      </c>
    </row>
    <row r="41" customFormat="false" ht="15" hidden="false" customHeight="false" outlineLevel="0" collapsed="false">
      <c r="A41" s="9" t="s">
        <v>48</v>
      </c>
      <c r="B41" s="9" t="s">
        <v>31</v>
      </c>
      <c r="C41" s="9" t="s">
        <v>32</v>
      </c>
      <c r="D41" s="9" t="s">
        <v>33</v>
      </c>
    </row>
    <row r="42" customFormat="false" ht="15" hidden="false" customHeight="false" outlineLevel="0" collapsed="false">
      <c r="A42" s="10" t="s">
        <v>49</v>
      </c>
      <c r="B42" s="11" t="n">
        <f aca="false">SUMIFS(Stages!$D:$D,Stages!$C:$C,"write: CSV read + parse + sink (= normal query)",Stages!$B:$B,256)</f>
        <v>0</v>
      </c>
      <c r="C42" s="11" t="n">
        <f aca="false">SUMIFS(Stages!$D:$D,Stages!$C:$C,"write: CSV read + parse + sink (= normal query)",Stages!$B:$B,1024)</f>
        <v>0</v>
      </c>
      <c r="D42" s="11" t="n">
        <f aca="false">SUMIFS(Stages!$D:$D,Stages!$C:$C,"write: CSV read + parse + sink (= normal query)",Stages!$B:$B,16384)</f>
        <v>0</v>
      </c>
    </row>
    <row r="43" customFormat="false" ht="15" hidden="false" customHeight="false" outlineLevel="0" collapsed="false">
      <c r="A43" s="10" t="s">
        <v>50</v>
      </c>
      <c r="B43" s="11" t="n">
        <f aca="false">SUMIFS(Stages!$D:$D,Stages!$C:$C,"write: store write, no codec",Stages!$B:$B,256)</f>
        <v>0</v>
      </c>
      <c r="C43" s="11" t="n">
        <f aca="false">SUMIFS(Stages!$D:$D,Stages!$C:$C,"write: store write, no codec",Stages!$B:$B,1024)</f>
        <v>0</v>
      </c>
      <c r="D43" s="11" t="n">
        <f aca="false">SUMIFS(Stages!$D:$D,Stages!$C:$C,"write: store write, no codec",Stages!$B:$B,16384)</f>
        <v>0</v>
      </c>
    </row>
    <row r="44" customFormat="false" ht="15" hidden="false" customHeight="false" outlineLevel="0" collapsed="false">
      <c r="A44" s="10" t="s">
        <v>51</v>
      </c>
      <c r="B44" s="11" t="n">
        <f aca="false">SUMIFS(Stages!$D:$D,Stages!$C:$C,"read: store read floor, no codec",Stages!$B:$B,256)</f>
        <v>0</v>
      </c>
      <c r="C44" s="11" t="n">
        <f aca="false">SUMIFS(Stages!$D:$D,Stages!$C:$C,"read: store read floor, no codec",Stages!$B:$B,1024)</f>
        <v>0</v>
      </c>
      <c r="D44" s="11" t="n">
        <f aca="false">SUMIFS(Stages!$D:$D,Stages!$C:$C,"read: store read floor, no codec",Stages!$B:$B,16384)</f>
        <v>0</v>
      </c>
    </row>
    <row r="67" customFormat="false" ht="15" hidden="false" customHeight="false" outlineLevel="0" collapsed="false">
      <c r="A67" s="12" t="s">
        <v>44</v>
      </c>
      <c r="B67" s="2" t="s">
        <v>52</v>
      </c>
    </row>
    <row r="68" customFormat="false" ht="15" hidden="false" customHeight="false" outlineLevel="0" collapsed="false">
      <c r="A68" s="12" t="s">
        <v>46</v>
      </c>
      <c r="B68" s="2" t="s">
        <v>53</v>
      </c>
    </row>
    <row r="70" customFormat="false" ht="15" hidden="false" customHeight="false" outlineLevel="0" collapsed="false">
      <c r="A70" s="5" t="s">
        <v>54</v>
      </c>
      <c r="B70" s="6"/>
      <c r="C70" s="6"/>
      <c r="D70" s="6"/>
    </row>
    <row r="71" customFormat="false" ht="15" hidden="false" customHeight="false" outlineLevel="0" collapsed="false">
      <c r="A71" s="9" t="s">
        <v>30</v>
      </c>
      <c r="B71" s="9" t="s">
        <v>31</v>
      </c>
      <c r="C71" s="9" t="s">
        <v>32</v>
      </c>
      <c r="D71" s="9" t="s">
        <v>33</v>
      </c>
    </row>
    <row r="72" customFormat="false" ht="15" hidden="false" customHeight="false" outlineLevel="0" collapsed="false">
      <c r="A72" s="10" t="s">
        <v>55</v>
      </c>
      <c r="B72" s="13" t="n">
        <f aca="false">SUMIFS(Queries!$T:$T,Queries!$E:$E,3,Queries!$B:$B,256)</f>
        <v>0.9997</v>
      </c>
      <c r="C72" s="13" t="n">
        <f aca="false">SUMIFS(Queries!$T:$T,Queries!$E:$E,3,Queries!$B:$B,1024)</f>
        <v>0.9999</v>
      </c>
      <c r="D72" s="13" t="n">
        <f aca="false">SUMIFS(Queries!$T:$T,Queries!$E:$E,3,Queries!$B:$B,16384)</f>
        <v>1</v>
      </c>
    </row>
    <row r="73" customFormat="false" ht="15" hidden="false" customHeight="false" outlineLevel="0" collapsed="false">
      <c r="A73" s="10" t="s">
        <v>56</v>
      </c>
      <c r="B73" s="13" t="n">
        <f aca="false">SUMIFS(Queries!$T:$T,Queries!$E:$E,5,Queries!$B:$B,256)</f>
        <v>1.65</v>
      </c>
      <c r="C73" s="13" t="n">
        <f aca="false">SUMIFS(Queries!$T:$T,Queries!$E:$E,5,Queries!$B:$B,1024)</f>
        <v>1.6516</v>
      </c>
      <c r="D73" s="13" t="n">
        <f aca="false">SUMIFS(Queries!$T:$T,Queries!$E:$E,5,Queries!$B:$B,16384)</f>
        <v>1.652</v>
      </c>
    </row>
    <row r="74" customFormat="false" ht="15" hidden="false" customHeight="false" outlineLevel="0" collapsed="false">
      <c r="A74" s="10" t="s">
        <v>57</v>
      </c>
      <c r="B74" s="13" t="n">
        <f aca="false">SUMIFS(Queries!$T:$T,Queries!$E:$E,7,Queries!$B:$B,256)</f>
        <v>1.8586</v>
      </c>
      <c r="C74" s="13" t="n">
        <f aca="false">SUMIFS(Queries!$T:$T,Queries!$E:$E,7,Queries!$B:$B,1024)</f>
        <v>1.8679</v>
      </c>
      <c r="D74" s="13" t="n">
        <f aca="false">SUMIFS(Queries!$T:$T,Queries!$E:$E,7,Queries!$B:$B,16384)</f>
        <v>1.835</v>
      </c>
    </row>
    <row r="75" customFormat="false" ht="15" hidden="false" customHeight="false" outlineLevel="0" collapsed="false">
      <c r="A75" s="10" t="s">
        <v>58</v>
      </c>
      <c r="B75" s="13" t="n">
        <f aca="false">SUMIFS(Queries!$T:$T,Queries!$E:$E,9,Queries!$B:$B,256)</f>
        <v>3.1889</v>
      </c>
      <c r="C75" s="13" t="n">
        <f aca="false">SUMIFS(Queries!$T:$T,Queries!$E:$E,9,Queries!$B:$B,1024)</f>
        <v>3.1013</v>
      </c>
      <c r="D75" s="13" t="n">
        <f aca="false">SUMIFS(Queries!$T:$T,Queries!$E:$E,9,Queries!$B:$B,16384)</f>
        <v>2.9721</v>
      </c>
    </row>
    <row r="98" customFormat="false" ht="15" hidden="false" customHeight="false" outlineLevel="0" collapsed="false">
      <c r="A98" s="12" t="s">
        <v>44</v>
      </c>
      <c r="B98" s="2" t="s">
        <v>59</v>
      </c>
    </row>
    <row r="99" customFormat="false" ht="15" hidden="false" customHeight="false" outlineLevel="0" collapsed="false">
      <c r="A99" s="12" t="s">
        <v>46</v>
      </c>
      <c r="B99" s="2" t="s">
        <v>60</v>
      </c>
    </row>
    <row r="101" customFormat="false" ht="15" hidden="false" customHeight="false" outlineLevel="0" collapsed="false">
      <c r="A101" s="5" t="s">
        <v>61</v>
      </c>
      <c r="B101" s="6"/>
    </row>
    <row r="102" customFormat="false" ht="15" hidden="false" customHeight="false" outlineLevel="0" collapsed="false">
      <c r="A102" s="3" t="s">
        <v>62</v>
      </c>
      <c r="B102" s="4" t="s">
        <v>63</v>
      </c>
    </row>
    <row r="103" customFormat="false" ht="15" hidden="false" customHeight="false" outlineLevel="0" collapsed="false">
      <c r="A103" s="3" t="s">
        <v>64</v>
      </c>
      <c r="B103" s="4" t="s">
        <v>65</v>
      </c>
    </row>
    <row r="104" customFormat="false" ht="15" hidden="false" customHeight="false" outlineLevel="0" collapsed="false">
      <c r="A104" s="3" t="s">
        <v>66</v>
      </c>
      <c r="B104" s="4"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0" min="2" style="0" width="13"/>
  </cols>
  <sheetData>
    <row r="1" customFormat="false" ht="15" hidden="false" customHeight="false" outlineLevel="0" collapsed="false">
      <c r="A1" s="9" t="s">
        <v>2</v>
      </c>
      <c r="B1" s="9" t="s">
        <v>68</v>
      </c>
      <c r="C1" s="9" t="s">
        <v>69</v>
      </c>
      <c r="D1" s="9" t="s">
        <v>70</v>
      </c>
      <c r="E1" s="9" t="s">
        <v>71</v>
      </c>
      <c r="F1" s="9" t="s">
        <v>72</v>
      </c>
      <c r="G1" s="9" t="s">
        <v>73</v>
      </c>
      <c r="H1" s="9" t="s">
        <v>74</v>
      </c>
      <c r="I1" s="9" t="s">
        <v>75</v>
      </c>
      <c r="J1" s="9" t="s">
        <v>76</v>
      </c>
      <c r="K1" s="9" t="s">
        <v>77</v>
      </c>
      <c r="L1" s="9" t="s">
        <v>78</v>
      </c>
      <c r="M1" s="9" t="s">
        <v>79</v>
      </c>
      <c r="N1" s="9" t="s">
        <v>80</v>
      </c>
      <c r="O1" s="9" t="s">
        <v>81</v>
      </c>
      <c r="P1" s="9" t="s">
        <v>82</v>
      </c>
      <c r="Q1" s="9" t="s">
        <v>83</v>
      </c>
      <c r="R1" s="9" t="s">
        <v>84</v>
      </c>
      <c r="S1" s="9" t="s">
        <v>85</v>
      </c>
      <c r="T1" s="9" t="s">
        <v>86</v>
      </c>
    </row>
    <row r="2" customFormat="false" ht="15" hidden="false" customHeight="false" outlineLevel="0" collapsed="false">
      <c r="A2" s="10" t="s">
        <v>87</v>
      </c>
      <c r="B2" s="10" t="n">
        <v>256</v>
      </c>
      <c r="C2" s="10" t="n">
        <v>4096</v>
      </c>
      <c r="D2" s="10" t="n">
        <v>4</v>
      </c>
      <c r="E2" s="10" t="n">
        <v>1</v>
      </c>
      <c r="F2" s="10" t="s">
        <v>88</v>
      </c>
      <c r="G2" s="10" t="s">
        <v>89</v>
      </c>
      <c r="H2" s="10" t="n">
        <v>20.8994</v>
      </c>
      <c r="I2" s="10" t="n">
        <v>20.8708</v>
      </c>
      <c r="J2" s="10" t="n">
        <v>21.8027</v>
      </c>
      <c r="K2" s="10" t="n">
        <v>3</v>
      </c>
      <c r="L2" s="10" t="n">
        <v>42700000</v>
      </c>
      <c r="M2" s="10" t="n">
        <v>28</v>
      </c>
      <c r="N2" s="10" t="n">
        <v>1195600000</v>
      </c>
      <c r="O2" s="10" t="n">
        <v>1489260482</v>
      </c>
      <c r="P2" s="10" t="n">
        <v>2043120.9</v>
      </c>
      <c r="Q2" s="10" t="n">
        <v>57.207</v>
      </c>
      <c r="R2" s="10" t="n">
        <v>71.259</v>
      </c>
      <c r="S2" s="10"/>
      <c r="T2" s="10"/>
    </row>
    <row r="3" customFormat="false" ht="15" hidden="false" customHeight="false" outlineLevel="0" collapsed="false">
      <c r="A3" s="10" t="s">
        <v>87</v>
      </c>
      <c r="B3" s="10" t="n">
        <v>256</v>
      </c>
      <c r="C3" s="10" t="n">
        <v>4096</v>
      </c>
      <c r="D3" s="10" t="n">
        <v>4</v>
      </c>
      <c r="E3" s="10" t="n">
        <v>2</v>
      </c>
      <c r="F3" s="10" t="s">
        <v>90</v>
      </c>
      <c r="G3" s="10" t="s">
        <v>89</v>
      </c>
      <c r="H3" s="10" t="n">
        <v>20.5088</v>
      </c>
      <c r="I3" s="10" t="n">
        <v>20.4638</v>
      </c>
      <c r="J3" s="10" t="n">
        <v>20.8408</v>
      </c>
      <c r="K3" s="10" t="n">
        <v>3</v>
      </c>
      <c r="L3" s="10" t="n">
        <v>42700000</v>
      </c>
      <c r="M3" s="10" t="n">
        <v>28</v>
      </c>
      <c r="N3" s="10" t="n">
        <v>1195600000</v>
      </c>
      <c r="O3" s="10" t="n">
        <v>1489260482</v>
      </c>
      <c r="P3" s="10" t="n">
        <v>2082033.1</v>
      </c>
      <c r="Q3" s="10" t="n">
        <v>58.297</v>
      </c>
      <c r="R3" s="10" t="n">
        <v>72.616</v>
      </c>
      <c r="S3" s="10"/>
      <c r="T3" s="10"/>
    </row>
    <row r="4" customFormat="false" ht="15" hidden="false" customHeight="false" outlineLevel="0" collapsed="false">
      <c r="A4" s="10" t="s">
        <v>87</v>
      </c>
      <c r="B4" s="10" t="n">
        <v>256</v>
      </c>
      <c r="C4" s="10" t="n">
        <v>4096</v>
      </c>
      <c r="D4" s="10" t="n">
        <v>4</v>
      </c>
      <c r="E4" s="10" t="n">
        <v>3</v>
      </c>
      <c r="F4" s="10" t="s">
        <v>91</v>
      </c>
      <c r="G4" s="10" t="s">
        <v>92</v>
      </c>
      <c r="H4" s="10" t="n">
        <v>27.3039</v>
      </c>
      <c r="I4" s="10" t="n">
        <v>27.1867</v>
      </c>
      <c r="J4" s="10" t="n">
        <v>27.8275</v>
      </c>
      <c r="K4" s="10" t="n">
        <v>3</v>
      </c>
      <c r="L4" s="10" t="n">
        <v>42700000</v>
      </c>
      <c r="M4" s="10" t="n">
        <v>28</v>
      </c>
      <c r="N4" s="10" t="n">
        <v>1195600000</v>
      </c>
      <c r="O4" s="10" t="n">
        <v>1489260482</v>
      </c>
      <c r="P4" s="10" t="n">
        <v>1563879.2</v>
      </c>
      <c r="Q4" s="10" t="n">
        <v>43.789</v>
      </c>
      <c r="R4" s="10" t="n">
        <v>54.544</v>
      </c>
      <c r="S4" s="10" t="n">
        <v>1195928436</v>
      </c>
      <c r="T4" s="10" t="n">
        <v>0.9997</v>
      </c>
    </row>
    <row r="5" customFormat="false" ht="15" hidden="false" customHeight="false" outlineLevel="0" collapsed="false">
      <c r="A5" s="10" t="s">
        <v>87</v>
      </c>
      <c r="B5" s="10" t="n">
        <v>256</v>
      </c>
      <c r="C5" s="10" t="n">
        <v>4096</v>
      </c>
      <c r="D5" s="10" t="n">
        <v>4</v>
      </c>
      <c r="E5" s="10" t="n">
        <v>4</v>
      </c>
      <c r="F5" s="10" t="s">
        <v>93</v>
      </c>
      <c r="G5" s="10" t="s">
        <v>94</v>
      </c>
      <c r="H5" s="10" t="n">
        <v>9.8788</v>
      </c>
      <c r="I5" s="10" t="n">
        <v>9.8758</v>
      </c>
      <c r="J5" s="10" t="n">
        <v>10.0758</v>
      </c>
      <c r="K5" s="10" t="n">
        <v>3</v>
      </c>
      <c r="L5" s="10" t="n">
        <v>42700000</v>
      </c>
      <c r="M5" s="10" t="n">
        <v>28</v>
      </c>
      <c r="N5" s="10" t="n">
        <v>1195600000</v>
      </c>
      <c r="O5" s="10" t="n">
        <v>1489260482</v>
      </c>
      <c r="P5" s="10" t="n">
        <v>4322369.8</v>
      </c>
      <c r="Q5" s="10" t="n">
        <v>121.026</v>
      </c>
      <c r="R5" s="10"/>
      <c r="S5" s="10"/>
      <c r="T5" s="10"/>
    </row>
    <row r="6" customFormat="false" ht="15" hidden="false" customHeight="false" outlineLevel="0" collapsed="false">
      <c r="A6" s="10" t="s">
        <v>87</v>
      </c>
      <c r="B6" s="10" t="n">
        <v>256</v>
      </c>
      <c r="C6" s="10" t="n">
        <v>4096</v>
      </c>
      <c r="D6" s="10" t="n">
        <v>4</v>
      </c>
      <c r="E6" s="10" t="n">
        <v>5</v>
      </c>
      <c r="F6" s="10" t="s">
        <v>95</v>
      </c>
      <c r="G6" s="10" t="s">
        <v>92</v>
      </c>
      <c r="H6" s="10" t="n">
        <v>33.4047</v>
      </c>
      <c r="I6" s="10" t="n">
        <v>33.1374</v>
      </c>
      <c r="J6" s="10" t="n">
        <v>33.769</v>
      </c>
      <c r="K6" s="10" t="n">
        <v>3</v>
      </c>
      <c r="L6" s="10" t="n">
        <v>42700000</v>
      </c>
      <c r="M6" s="10" t="n">
        <v>28</v>
      </c>
      <c r="N6" s="10" t="n">
        <v>1195600000</v>
      </c>
      <c r="O6" s="10" t="n">
        <v>1489260482</v>
      </c>
      <c r="P6" s="10" t="n">
        <v>1278263.2</v>
      </c>
      <c r="Q6" s="10" t="n">
        <v>35.791</v>
      </c>
      <c r="R6" s="10" t="n">
        <v>44.582</v>
      </c>
      <c r="S6" s="10" t="n">
        <v>724616220</v>
      </c>
      <c r="T6" s="10" t="n">
        <v>1.65</v>
      </c>
    </row>
    <row r="7" customFormat="false" ht="15" hidden="false" customHeight="false" outlineLevel="0" collapsed="false">
      <c r="A7" s="10" t="s">
        <v>87</v>
      </c>
      <c r="B7" s="10" t="n">
        <v>256</v>
      </c>
      <c r="C7" s="10" t="n">
        <v>4096</v>
      </c>
      <c r="D7" s="10" t="n">
        <v>4</v>
      </c>
      <c r="E7" s="10" t="n">
        <v>6</v>
      </c>
      <c r="F7" s="10" t="s">
        <v>96</v>
      </c>
      <c r="G7" s="10" t="s">
        <v>94</v>
      </c>
      <c r="H7" s="10" t="n">
        <v>9.8696</v>
      </c>
      <c r="I7" s="10" t="n">
        <v>9.833</v>
      </c>
      <c r="J7" s="10" t="n">
        <v>9.9502</v>
      </c>
      <c r="K7" s="10" t="n">
        <v>3</v>
      </c>
      <c r="L7" s="10" t="n">
        <v>42700000</v>
      </c>
      <c r="M7" s="10" t="n">
        <v>28</v>
      </c>
      <c r="N7" s="10" t="n">
        <v>1195600000</v>
      </c>
      <c r="O7" s="10" t="n">
        <v>1489260482</v>
      </c>
      <c r="P7" s="10" t="n">
        <v>4326420.9</v>
      </c>
      <c r="Q7" s="10" t="n">
        <v>121.14</v>
      </c>
      <c r="R7" s="10"/>
      <c r="S7" s="10"/>
      <c r="T7" s="10"/>
    </row>
    <row r="8" customFormat="false" ht="15" hidden="false" customHeight="false" outlineLevel="0" collapsed="false">
      <c r="A8" s="10" t="s">
        <v>87</v>
      </c>
      <c r="B8" s="10" t="n">
        <v>256</v>
      </c>
      <c r="C8" s="10" t="n">
        <v>4096</v>
      </c>
      <c r="D8" s="10" t="n">
        <v>4</v>
      </c>
      <c r="E8" s="10" t="n">
        <v>7</v>
      </c>
      <c r="F8" s="10" t="s">
        <v>97</v>
      </c>
      <c r="G8" s="10" t="s">
        <v>92</v>
      </c>
      <c r="H8" s="10" t="n">
        <v>30.789</v>
      </c>
      <c r="I8" s="10" t="n">
        <v>30.7546</v>
      </c>
      <c r="J8" s="10" t="n">
        <v>31.3929</v>
      </c>
      <c r="K8" s="10" t="n">
        <v>3</v>
      </c>
      <c r="L8" s="10" t="n">
        <v>42700000</v>
      </c>
      <c r="M8" s="10" t="n">
        <v>28</v>
      </c>
      <c r="N8" s="10" t="n">
        <v>1195600000</v>
      </c>
      <c r="O8" s="10" t="n">
        <v>1489260482</v>
      </c>
      <c r="P8" s="10" t="n">
        <v>1386858.9</v>
      </c>
      <c r="Q8" s="10" t="n">
        <v>38.832</v>
      </c>
      <c r="R8" s="10" t="n">
        <v>48.37</v>
      </c>
      <c r="S8" s="10" t="n">
        <v>643275922</v>
      </c>
      <c r="T8" s="10" t="n">
        <v>1.8586</v>
      </c>
    </row>
    <row r="9" customFormat="false" ht="15" hidden="false" customHeight="false" outlineLevel="0" collapsed="false">
      <c r="A9" s="10" t="s">
        <v>87</v>
      </c>
      <c r="B9" s="10" t="n">
        <v>256</v>
      </c>
      <c r="C9" s="10" t="n">
        <v>4096</v>
      </c>
      <c r="D9" s="10" t="n">
        <v>4</v>
      </c>
      <c r="E9" s="10" t="n">
        <v>8</v>
      </c>
      <c r="F9" s="10" t="s">
        <v>98</v>
      </c>
      <c r="G9" s="10" t="s">
        <v>94</v>
      </c>
      <c r="H9" s="10" t="n">
        <v>9.9757</v>
      </c>
      <c r="I9" s="10" t="n">
        <v>9.8048</v>
      </c>
      <c r="J9" s="10" t="n">
        <v>10.2325</v>
      </c>
      <c r="K9" s="10" t="n">
        <v>3</v>
      </c>
      <c r="L9" s="10" t="n">
        <v>42700000</v>
      </c>
      <c r="M9" s="10" t="n">
        <v>28</v>
      </c>
      <c r="N9" s="10" t="n">
        <v>1195600000</v>
      </c>
      <c r="O9" s="10" t="n">
        <v>1489260482</v>
      </c>
      <c r="P9" s="10" t="n">
        <v>4280414.2</v>
      </c>
      <c r="Q9" s="10" t="n">
        <v>119.852</v>
      </c>
      <c r="R9" s="10"/>
      <c r="S9" s="10"/>
      <c r="T9" s="10"/>
    </row>
    <row r="10" customFormat="false" ht="15" hidden="false" customHeight="false" outlineLevel="0" collapsed="false">
      <c r="A10" s="10" t="s">
        <v>87</v>
      </c>
      <c r="B10" s="10" t="n">
        <v>256</v>
      </c>
      <c r="C10" s="10" t="n">
        <v>4096</v>
      </c>
      <c r="D10" s="10" t="n">
        <v>4</v>
      </c>
      <c r="E10" s="10" t="n">
        <v>9</v>
      </c>
      <c r="F10" s="10" t="s">
        <v>99</v>
      </c>
      <c r="G10" s="10" t="s">
        <v>92</v>
      </c>
      <c r="H10" s="10" t="n">
        <v>30.791</v>
      </c>
      <c r="I10" s="10" t="n">
        <v>30.6852</v>
      </c>
      <c r="J10" s="10" t="n">
        <v>31.9041</v>
      </c>
      <c r="K10" s="10" t="n">
        <v>3</v>
      </c>
      <c r="L10" s="10" t="n">
        <v>42700000</v>
      </c>
      <c r="M10" s="10" t="n">
        <v>28</v>
      </c>
      <c r="N10" s="10" t="n">
        <v>1195600000</v>
      </c>
      <c r="O10" s="10" t="n">
        <v>1489260482</v>
      </c>
      <c r="P10" s="10" t="n">
        <v>1386768.9</v>
      </c>
      <c r="Q10" s="10" t="n">
        <v>38.83</v>
      </c>
      <c r="R10" s="10" t="n">
        <v>48.367</v>
      </c>
      <c r="S10" s="10" t="n">
        <v>374923574</v>
      </c>
      <c r="T10" s="10" t="n">
        <v>3.1889</v>
      </c>
    </row>
    <row r="11" customFormat="false" ht="15" hidden="false" customHeight="false" outlineLevel="0" collapsed="false">
      <c r="A11" s="10" t="s">
        <v>87</v>
      </c>
      <c r="B11" s="10" t="n">
        <v>256</v>
      </c>
      <c r="C11" s="10" t="n">
        <v>4096</v>
      </c>
      <c r="D11" s="10" t="n">
        <v>4</v>
      </c>
      <c r="E11" s="10" t="n">
        <v>10</v>
      </c>
      <c r="F11" s="10" t="s">
        <v>100</v>
      </c>
      <c r="G11" s="10" t="s">
        <v>94</v>
      </c>
      <c r="H11" s="10" t="n">
        <v>9.9663</v>
      </c>
      <c r="I11" s="10" t="n">
        <v>9.8873</v>
      </c>
      <c r="J11" s="10" t="n">
        <v>9.9754</v>
      </c>
      <c r="K11" s="10" t="n">
        <v>3</v>
      </c>
      <c r="L11" s="10" t="n">
        <v>42700000</v>
      </c>
      <c r="M11" s="10" t="n">
        <v>28</v>
      </c>
      <c r="N11" s="10" t="n">
        <v>1195600000</v>
      </c>
      <c r="O11" s="10" t="n">
        <v>1489260482</v>
      </c>
      <c r="P11" s="10" t="n">
        <v>4284442.9</v>
      </c>
      <c r="Q11" s="10" t="n">
        <v>119.964</v>
      </c>
      <c r="R11" s="10"/>
      <c r="S11" s="10"/>
      <c r="T11" s="10"/>
    </row>
    <row r="12" customFormat="false" ht="15" hidden="false" customHeight="false" outlineLevel="0" collapsed="false">
      <c r="A12" s="10" t="s">
        <v>87</v>
      </c>
      <c r="B12" s="10" t="n">
        <v>1024</v>
      </c>
      <c r="C12" s="10" t="n">
        <v>4096</v>
      </c>
      <c r="D12" s="10" t="n">
        <v>4</v>
      </c>
      <c r="E12" s="10" t="n">
        <v>1</v>
      </c>
      <c r="F12" s="10" t="s">
        <v>88</v>
      </c>
      <c r="G12" s="10" t="s">
        <v>89</v>
      </c>
      <c r="H12" s="10" t="n">
        <v>21.3942</v>
      </c>
      <c r="I12" s="10" t="n">
        <v>21.0695</v>
      </c>
      <c r="J12" s="10" t="n">
        <v>22.4588</v>
      </c>
      <c r="K12" s="10" t="n">
        <v>3</v>
      </c>
      <c r="L12" s="10" t="n">
        <v>42700000</v>
      </c>
      <c r="M12" s="10" t="n">
        <v>28</v>
      </c>
      <c r="N12" s="10" t="n">
        <v>1195600000</v>
      </c>
      <c r="O12" s="10" t="n">
        <v>1489260482</v>
      </c>
      <c r="P12" s="10" t="n">
        <v>1995868</v>
      </c>
      <c r="Q12" s="10" t="n">
        <v>55.884</v>
      </c>
      <c r="R12" s="10" t="n">
        <v>69.61</v>
      </c>
      <c r="S12" s="10"/>
      <c r="T12" s="10"/>
    </row>
    <row r="13" customFormat="false" ht="15" hidden="false" customHeight="false" outlineLevel="0" collapsed="false">
      <c r="A13" s="10" t="s">
        <v>87</v>
      </c>
      <c r="B13" s="10" t="n">
        <v>1024</v>
      </c>
      <c r="C13" s="10" t="n">
        <v>4096</v>
      </c>
      <c r="D13" s="10" t="n">
        <v>4</v>
      </c>
      <c r="E13" s="10" t="n">
        <v>2</v>
      </c>
      <c r="F13" s="10" t="s">
        <v>90</v>
      </c>
      <c r="G13" s="10" t="s">
        <v>89</v>
      </c>
      <c r="H13" s="10" t="n">
        <v>21.1534</v>
      </c>
      <c r="I13" s="10" t="n">
        <v>20.9935</v>
      </c>
      <c r="J13" s="10" t="n">
        <v>21.2782</v>
      </c>
      <c r="K13" s="10" t="n">
        <v>3</v>
      </c>
      <c r="L13" s="10" t="n">
        <v>42700000</v>
      </c>
      <c r="M13" s="10" t="n">
        <v>28</v>
      </c>
      <c r="N13" s="10" t="n">
        <v>1195600000</v>
      </c>
      <c r="O13" s="10" t="n">
        <v>1489260482</v>
      </c>
      <c r="P13" s="10" t="n">
        <v>2018588</v>
      </c>
      <c r="Q13" s="10" t="n">
        <v>56.52</v>
      </c>
      <c r="R13" s="10" t="n">
        <v>70.403</v>
      </c>
      <c r="S13" s="10"/>
      <c r="T13" s="10"/>
    </row>
    <row r="14" customFormat="false" ht="15" hidden="false" customHeight="false" outlineLevel="0" collapsed="false">
      <c r="A14" s="10" t="s">
        <v>87</v>
      </c>
      <c r="B14" s="10" t="n">
        <v>1024</v>
      </c>
      <c r="C14" s="10" t="n">
        <v>4096</v>
      </c>
      <c r="D14" s="10" t="n">
        <v>4</v>
      </c>
      <c r="E14" s="10" t="n">
        <v>3</v>
      </c>
      <c r="F14" s="10" t="s">
        <v>91</v>
      </c>
      <c r="G14" s="10" t="s">
        <v>92</v>
      </c>
      <c r="H14" s="10" t="n">
        <v>27.0907</v>
      </c>
      <c r="I14" s="10" t="n">
        <v>26.9803</v>
      </c>
      <c r="J14" s="10" t="n">
        <v>27.8787</v>
      </c>
      <c r="K14" s="10" t="n">
        <v>3</v>
      </c>
      <c r="L14" s="10" t="n">
        <v>42700000</v>
      </c>
      <c r="M14" s="10" t="n">
        <v>28</v>
      </c>
      <c r="N14" s="10" t="n">
        <v>1195600000</v>
      </c>
      <c r="O14" s="10" t="n">
        <v>1489260482</v>
      </c>
      <c r="P14" s="10" t="n">
        <v>1576186.7</v>
      </c>
      <c r="Q14" s="10" t="n">
        <v>44.133</v>
      </c>
      <c r="R14" s="10" t="n">
        <v>54.973</v>
      </c>
      <c r="S14" s="10" t="n">
        <v>1195682676</v>
      </c>
      <c r="T14" s="10" t="n">
        <v>0.9999</v>
      </c>
    </row>
    <row r="15" customFormat="false" ht="15" hidden="false" customHeight="false" outlineLevel="0" collapsed="false">
      <c r="A15" s="10" t="s">
        <v>87</v>
      </c>
      <c r="B15" s="10" t="n">
        <v>1024</v>
      </c>
      <c r="C15" s="10" t="n">
        <v>4096</v>
      </c>
      <c r="D15" s="10" t="n">
        <v>4</v>
      </c>
      <c r="E15" s="10" t="n">
        <v>4</v>
      </c>
      <c r="F15" s="10" t="s">
        <v>93</v>
      </c>
      <c r="G15" s="10" t="s">
        <v>94</v>
      </c>
      <c r="H15" s="10" t="n">
        <v>9.944</v>
      </c>
      <c r="I15" s="10" t="n">
        <v>9.8602</v>
      </c>
      <c r="J15" s="10" t="n">
        <v>10.1974</v>
      </c>
      <c r="K15" s="10" t="n">
        <v>3</v>
      </c>
      <c r="L15" s="10" t="n">
        <v>42700000</v>
      </c>
      <c r="M15" s="10" t="n">
        <v>28</v>
      </c>
      <c r="N15" s="10" t="n">
        <v>1195600000</v>
      </c>
      <c r="O15" s="10" t="n">
        <v>1489260482</v>
      </c>
      <c r="P15" s="10" t="n">
        <v>4294033.7</v>
      </c>
      <c r="Q15" s="10" t="n">
        <v>120.233</v>
      </c>
      <c r="R15" s="10"/>
      <c r="S15" s="10"/>
      <c r="T15" s="10"/>
    </row>
    <row r="16" customFormat="false" ht="15" hidden="false" customHeight="false" outlineLevel="0" collapsed="false">
      <c r="A16" s="10" t="s">
        <v>87</v>
      </c>
      <c r="B16" s="10" t="n">
        <v>1024</v>
      </c>
      <c r="C16" s="10" t="n">
        <v>4096</v>
      </c>
      <c r="D16" s="10" t="n">
        <v>4</v>
      </c>
      <c r="E16" s="10" t="n">
        <v>5</v>
      </c>
      <c r="F16" s="10" t="s">
        <v>95</v>
      </c>
      <c r="G16" s="10" t="s">
        <v>92</v>
      </c>
      <c r="H16" s="10" t="n">
        <v>34.5549</v>
      </c>
      <c r="I16" s="10" t="n">
        <v>34.2866</v>
      </c>
      <c r="J16" s="10" t="n">
        <v>35.4838</v>
      </c>
      <c r="K16" s="10" t="n">
        <v>3</v>
      </c>
      <c r="L16" s="10" t="n">
        <v>42700000</v>
      </c>
      <c r="M16" s="10" t="n">
        <v>28</v>
      </c>
      <c r="N16" s="10" t="n">
        <v>1195600000</v>
      </c>
      <c r="O16" s="10" t="n">
        <v>1489260482</v>
      </c>
      <c r="P16" s="10" t="n">
        <v>1235714.8</v>
      </c>
      <c r="Q16" s="10" t="n">
        <v>34.6</v>
      </c>
      <c r="R16" s="10" t="n">
        <v>43.098</v>
      </c>
      <c r="S16" s="10" t="n">
        <v>723908636</v>
      </c>
      <c r="T16" s="10" t="n">
        <v>1.6516</v>
      </c>
    </row>
    <row r="17" customFormat="false" ht="15" hidden="false" customHeight="false" outlineLevel="0" collapsed="false">
      <c r="A17" s="10" t="s">
        <v>87</v>
      </c>
      <c r="B17" s="10" t="n">
        <v>1024</v>
      </c>
      <c r="C17" s="10" t="n">
        <v>4096</v>
      </c>
      <c r="D17" s="10" t="n">
        <v>4</v>
      </c>
      <c r="E17" s="10" t="n">
        <v>6</v>
      </c>
      <c r="F17" s="10" t="s">
        <v>96</v>
      </c>
      <c r="G17" s="10" t="s">
        <v>94</v>
      </c>
      <c r="H17" s="10" t="n">
        <v>10.0526</v>
      </c>
      <c r="I17" s="10" t="n">
        <v>9.7443</v>
      </c>
      <c r="J17" s="10" t="n">
        <v>10.1954</v>
      </c>
      <c r="K17" s="10" t="n">
        <v>3</v>
      </c>
      <c r="L17" s="10" t="n">
        <v>42700000</v>
      </c>
      <c r="M17" s="10" t="n">
        <v>28</v>
      </c>
      <c r="N17" s="10" t="n">
        <v>1195600000</v>
      </c>
      <c r="O17" s="10" t="n">
        <v>1489260482</v>
      </c>
      <c r="P17" s="10" t="n">
        <v>4247657.3</v>
      </c>
      <c r="Q17" s="10" t="n">
        <v>118.934</v>
      </c>
      <c r="R17" s="10"/>
      <c r="S17" s="10"/>
      <c r="T17" s="10"/>
    </row>
    <row r="18" customFormat="false" ht="15" hidden="false" customHeight="false" outlineLevel="0" collapsed="false">
      <c r="A18" s="10" t="s">
        <v>87</v>
      </c>
      <c r="B18" s="10" t="n">
        <v>1024</v>
      </c>
      <c r="C18" s="10" t="n">
        <v>4096</v>
      </c>
      <c r="D18" s="10" t="n">
        <v>4</v>
      </c>
      <c r="E18" s="10" t="n">
        <v>7</v>
      </c>
      <c r="F18" s="10" t="s">
        <v>97</v>
      </c>
      <c r="G18" s="10" t="s">
        <v>92</v>
      </c>
      <c r="H18" s="10" t="n">
        <v>31.7301</v>
      </c>
      <c r="I18" s="10" t="n">
        <v>31.3377</v>
      </c>
      <c r="J18" s="10" t="n">
        <v>31.9992</v>
      </c>
      <c r="K18" s="10" t="n">
        <v>3</v>
      </c>
      <c r="L18" s="10" t="n">
        <v>42700000</v>
      </c>
      <c r="M18" s="10" t="n">
        <v>28</v>
      </c>
      <c r="N18" s="10" t="n">
        <v>1195600000</v>
      </c>
      <c r="O18" s="10" t="n">
        <v>1489260482</v>
      </c>
      <c r="P18" s="10" t="n">
        <v>1345725.4</v>
      </c>
      <c r="Q18" s="10" t="n">
        <v>37.68</v>
      </c>
      <c r="R18" s="10" t="n">
        <v>46.935</v>
      </c>
      <c r="S18" s="10" t="n">
        <v>640065281</v>
      </c>
      <c r="T18" s="10" t="n">
        <v>1.8679</v>
      </c>
    </row>
    <row r="19" customFormat="false" ht="15" hidden="false" customHeight="false" outlineLevel="0" collapsed="false">
      <c r="A19" s="10" t="s">
        <v>87</v>
      </c>
      <c r="B19" s="10" t="n">
        <v>1024</v>
      </c>
      <c r="C19" s="10" t="n">
        <v>4096</v>
      </c>
      <c r="D19" s="10" t="n">
        <v>4</v>
      </c>
      <c r="E19" s="10" t="n">
        <v>8</v>
      </c>
      <c r="F19" s="10" t="s">
        <v>98</v>
      </c>
      <c r="G19" s="10" t="s">
        <v>94</v>
      </c>
      <c r="H19" s="10" t="n">
        <v>9.9231</v>
      </c>
      <c r="I19" s="10" t="n">
        <v>9.7211</v>
      </c>
      <c r="J19" s="10" t="n">
        <v>9.9617</v>
      </c>
      <c r="K19" s="10" t="n">
        <v>3</v>
      </c>
      <c r="L19" s="10" t="n">
        <v>42700000</v>
      </c>
      <c r="M19" s="10" t="n">
        <v>28</v>
      </c>
      <c r="N19" s="10" t="n">
        <v>1195600000</v>
      </c>
      <c r="O19" s="10" t="n">
        <v>1489260482</v>
      </c>
      <c r="P19" s="10" t="n">
        <v>4303090.8</v>
      </c>
      <c r="Q19" s="10" t="n">
        <v>120.487</v>
      </c>
      <c r="R19" s="10"/>
      <c r="S19" s="10"/>
      <c r="T19" s="10"/>
    </row>
    <row r="20" customFormat="false" ht="15" hidden="false" customHeight="false" outlineLevel="0" collapsed="false">
      <c r="A20" s="10" t="s">
        <v>87</v>
      </c>
      <c r="B20" s="10" t="n">
        <v>1024</v>
      </c>
      <c r="C20" s="10" t="n">
        <v>4096</v>
      </c>
      <c r="D20" s="10" t="n">
        <v>4</v>
      </c>
      <c r="E20" s="10" t="n">
        <v>9</v>
      </c>
      <c r="F20" s="10" t="s">
        <v>99</v>
      </c>
      <c r="G20" s="10" t="s">
        <v>92</v>
      </c>
      <c r="H20" s="10" t="n">
        <v>30.8547</v>
      </c>
      <c r="I20" s="10" t="n">
        <v>30.2299</v>
      </c>
      <c r="J20" s="10" t="n">
        <v>31.4903</v>
      </c>
      <c r="K20" s="10" t="n">
        <v>3</v>
      </c>
      <c r="L20" s="10" t="n">
        <v>42700000</v>
      </c>
      <c r="M20" s="10" t="n">
        <v>28</v>
      </c>
      <c r="N20" s="10" t="n">
        <v>1195600000</v>
      </c>
      <c r="O20" s="10" t="n">
        <v>1489260482</v>
      </c>
      <c r="P20" s="10" t="n">
        <v>1383905.9</v>
      </c>
      <c r="Q20" s="10" t="n">
        <v>38.749</v>
      </c>
      <c r="R20" s="10" t="n">
        <v>48.267</v>
      </c>
      <c r="S20" s="10" t="n">
        <v>385519644</v>
      </c>
      <c r="T20" s="10" t="n">
        <v>3.1013</v>
      </c>
    </row>
    <row r="21" customFormat="false" ht="15" hidden="false" customHeight="false" outlineLevel="0" collapsed="false">
      <c r="A21" s="10" t="s">
        <v>87</v>
      </c>
      <c r="B21" s="10" t="n">
        <v>1024</v>
      </c>
      <c r="C21" s="10" t="n">
        <v>4096</v>
      </c>
      <c r="D21" s="10" t="n">
        <v>4</v>
      </c>
      <c r="E21" s="10" t="n">
        <v>10</v>
      </c>
      <c r="F21" s="10" t="s">
        <v>100</v>
      </c>
      <c r="G21" s="10" t="s">
        <v>94</v>
      </c>
      <c r="H21" s="10" t="n">
        <v>9.9551</v>
      </c>
      <c r="I21" s="10" t="n">
        <v>9.5795</v>
      </c>
      <c r="J21" s="10" t="n">
        <v>10.2217</v>
      </c>
      <c r="K21" s="10" t="n">
        <v>3</v>
      </c>
      <c r="L21" s="10" t="n">
        <v>42700000</v>
      </c>
      <c r="M21" s="10" t="n">
        <v>28</v>
      </c>
      <c r="N21" s="10" t="n">
        <v>1195600000</v>
      </c>
      <c r="O21" s="10" t="n">
        <v>1489260482</v>
      </c>
      <c r="P21" s="10" t="n">
        <v>4289237.2</v>
      </c>
      <c r="Q21" s="10" t="n">
        <v>120.099</v>
      </c>
      <c r="R21" s="10"/>
      <c r="S21" s="10"/>
      <c r="T21" s="10"/>
    </row>
    <row r="22" customFormat="false" ht="15" hidden="false" customHeight="false" outlineLevel="0" collapsed="false">
      <c r="A22" s="10" t="s">
        <v>87</v>
      </c>
      <c r="B22" s="10" t="n">
        <v>16384</v>
      </c>
      <c r="C22" s="10" t="n">
        <v>4096</v>
      </c>
      <c r="D22" s="10" t="n">
        <v>4</v>
      </c>
      <c r="E22" s="10" t="n">
        <v>1</v>
      </c>
      <c r="F22" s="10" t="s">
        <v>88</v>
      </c>
      <c r="G22" s="10" t="s">
        <v>89</v>
      </c>
      <c r="H22" s="10" t="n">
        <v>21.5476</v>
      </c>
      <c r="I22" s="10" t="n">
        <v>21.2836</v>
      </c>
      <c r="J22" s="10" t="n">
        <v>22.2192</v>
      </c>
      <c r="K22" s="10" t="n">
        <v>3</v>
      </c>
      <c r="L22" s="10" t="n">
        <v>42700000</v>
      </c>
      <c r="M22" s="10" t="n">
        <v>28</v>
      </c>
      <c r="N22" s="10" t="n">
        <v>1195600000</v>
      </c>
      <c r="O22" s="10" t="n">
        <v>1489260482</v>
      </c>
      <c r="P22" s="10" t="n">
        <v>1981659.2</v>
      </c>
      <c r="Q22" s="10" t="n">
        <v>55.486</v>
      </c>
      <c r="R22" s="10" t="n">
        <v>69.115</v>
      </c>
      <c r="S22" s="10"/>
      <c r="T22" s="10"/>
    </row>
    <row r="23" customFormat="false" ht="15" hidden="false" customHeight="false" outlineLevel="0" collapsed="false">
      <c r="A23" s="10" t="s">
        <v>87</v>
      </c>
      <c r="B23" s="10" t="n">
        <v>16384</v>
      </c>
      <c r="C23" s="10" t="n">
        <v>4096</v>
      </c>
      <c r="D23" s="10" t="n">
        <v>4</v>
      </c>
      <c r="E23" s="10" t="n">
        <v>2</v>
      </c>
      <c r="F23" s="10" t="s">
        <v>90</v>
      </c>
      <c r="G23" s="10" t="s">
        <v>89</v>
      </c>
      <c r="H23" s="10" t="n">
        <v>21.0363</v>
      </c>
      <c r="I23" s="10" t="n">
        <v>20.8851</v>
      </c>
      <c r="J23" s="10" t="n">
        <v>22.0205</v>
      </c>
      <c r="K23" s="10" t="n">
        <v>3</v>
      </c>
      <c r="L23" s="10" t="n">
        <v>42700000</v>
      </c>
      <c r="M23" s="10" t="n">
        <v>28</v>
      </c>
      <c r="N23" s="10" t="n">
        <v>1195600000</v>
      </c>
      <c r="O23" s="10" t="n">
        <v>1489260482</v>
      </c>
      <c r="P23" s="10" t="n">
        <v>2029824.6</v>
      </c>
      <c r="Q23" s="10" t="n">
        <v>56.835</v>
      </c>
      <c r="R23" s="10" t="n">
        <v>70.795</v>
      </c>
      <c r="S23" s="10"/>
      <c r="T23" s="10"/>
    </row>
    <row r="24" customFormat="false" ht="15" hidden="false" customHeight="false" outlineLevel="0" collapsed="false">
      <c r="A24" s="10" t="s">
        <v>87</v>
      </c>
      <c r="B24" s="10" t="n">
        <v>16384</v>
      </c>
      <c r="C24" s="10" t="n">
        <v>4096</v>
      </c>
      <c r="D24" s="10" t="n">
        <v>4</v>
      </c>
      <c r="E24" s="10" t="n">
        <v>3</v>
      </c>
      <c r="F24" s="10" t="s">
        <v>91</v>
      </c>
      <c r="G24" s="10" t="s">
        <v>92</v>
      </c>
      <c r="H24" s="10" t="n">
        <v>27.3343</v>
      </c>
      <c r="I24" s="10" t="n">
        <v>26.833</v>
      </c>
      <c r="J24" s="10" t="n">
        <v>27.6933</v>
      </c>
      <c r="K24" s="10" t="n">
        <v>3</v>
      </c>
      <c r="L24" s="10" t="n">
        <v>42700000</v>
      </c>
      <c r="M24" s="10" t="n">
        <v>28</v>
      </c>
      <c r="N24" s="10" t="n">
        <v>1195600000</v>
      </c>
      <c r="O24" s="10" t="n">
        <v>1489260482</v>
      </c>
      <c r="P24" s="10" t="n">
        <v>1562139.9</v>
      </c>
      <c r="Q24" s="10" t="n">
        <v>43.74</v>
      </c>
      <c r="R24" s="10" t="n">
        <v>54.483</v>
      </c>
      <c r="S24" s="10" t="n">
        <v>1195605876</v>
      </c>
      <c r="T24" s="10" t="n">
        <v>1</v>
      </c>
    </row>
    <row r="25" customFormat="false" ht="15" hidden="false" customHeight="false" outlineLevel="0" collapsed="false">
      <c r="A25" s="10" t="s">
        <v>87</v>
      </c>
      <c r="B25" s="10" t="n">
        <v>16384</v>
      </c>
      <c r="C25" s="10" t="n">
        <v>4096</v>
      </c>
      <c r="D25" s="10" t="n">
        <v>4</v>
      </c>
      <c r="E25" s="10" t="n">
        <v>4</v>
      </c>
      <c r="F25" s="10" t="s">
        <v>93</v>
      </c>
      <c r="G25" s="10" t="s">
        <v>94</v>
      </c>
      <c r="H25" s="10" t="n">
        <v>10.1485</v>
      </c>
      <c r="I25" s="10" t="n">
        <v>9.9416</v>
      </c>
      <c r="J25" s="10" t="n">
        <v>10.1536</v>
      </c>
      <c r="K25" s="10" t="n">
        <v>3</v>
      </c>
      <c r="L25" s="10" t="n">
        <v>42700000</v>
      </c>
      <c r="M25" s="10" t="n">
        <v>28</v>
      </c>
      <c r="N25" s="10" t="n">
        <v>1195600000</v>
      </c>
      <c r="O25" s="10" t="n">
        <v>1489260482</v>
      </c>
      <c r="P25" s="10" t="n">
        <v>4207518.4</v>
      </c>
      <c r="Q25" s="10" t="n">
        <v>117.811</v>
      </c>
      <c r="R25" s="10"/>
      <c r="S25" s="10"/>
      <c r="T25" s="10"/>
    </row>
    <row r="26" customFormat="false" ht="15" hidden="false" customHeight="false" outlineLevel="0" collapsed="false">
      <c r="A26" s="10" t="s">
        <v>87</v>
      </c>
      <c r="B26" s="10" t="n">
        <v>16384</v>
      </c>
      <c r="C26" s="10" t="n">
        <v>4096</v>
      </c>
      <c r="D26" s="10" t="n">
        <v>4</v>
      </c>
      <c r="E26" s="10" t="n">
        <v>5</v>
      </c>
      <c r="F26" s="10" t="s">
        <v>95</v>
      </c>
      <c r="G26" s="10" t="s">
        <v>92</v>
      </c>
      <c r="H26" s="10" t="n">
        <v>34.809</v>
      </c>
      <c r="I26" s="10" t="n">
        <v>33.9924</v>
      </c>
      <c r="J26" s="10" t="n">
        <v>35.5959</v>
      </c>
      <c r="K26" s="10" t="n">
        <v>3</v>
      </c>
      <c r="L26" s="10" t="n">
        <v>42700000</v>
      </c>
      <c r="M26" s="10" t="n">
        <v>28</v>
      </c>
      <c r="N26" s="10" t="n">
        <v>1195600000</v>
      </c>
      <c r="O26" s="10" t="n">
        <v>1489260482</v>
      </c>
      <c r="P26" s="10" t="n">
        <v>1226694.2</v>
      </c>
      <c r="Q26" s="10" t="n">
        <v>34.347</v>
      </c>
      <c r="R26" s="10" t="n">
        <v>42.784</v>
      </c>
      <c r="S26" s="10" t="n">
        <v>723748236</v>
      </c>
      <c r="T26" s="10" t="n">
        <v>1.652</v>
      </c>
    </row>
    <row r="27" customFormat="false" ht="15" hidden="false" customHeight="false" outlineLevel="0" collapsed="false">
      <c r="A27" s="10" t="s">
        <v>87</v>
      </c>
      <c r="B27" s="10" t="n">
        <v>16384</v>
      </c>
      <c r="C27" s="10" t="n">
        <v>4096</v>
      </c>
      <c r="D27" s="10" t="n">
        <v>4</v>
      </c>
      <c r="E27" s="10" t="n">
        <v>6</v>
      </c>
      <c r="F27" s="10" t="s">
        <v>96</v>
      </c>
      <c r="G27" s="10" t="s">
        <v>94</v>
      </c>
      <c r="H27" s="10" t="n">
        <v>9.8745</v>
      </c>
      <c r="I27" s="10" t="n">
        <v>9.7266</v>
      </c>
      <c r="J27" s="10" t="n">
        <v>9.9974</v>
      </c>
      <c r="K27" s="10" t="n">
        <v>3</v>
      </c>
      <c r="L27" s="10" t="n">
        <v>42700000</v>
      </c>
      <c r="M27" s="10" t="n">
        <v>28</v>
      </c>
      <c r="N27" s="10" t="n">
        <v>1195600000</v>
      </c>
      <c r="O27" s="10" t="n">
        <v>1489260482</v>
      </c>
      <c r="P27" s="10" t="n">
        <v>4324252.1</v>
      </c>
      <c r="Q27" s="10" t="n">
        <v>121.079</v>
      </c>
      <c r="R27" s="10"/>
      <c r="S27" s="10"/>
      <c r="T27" s="10"/>
    </row>
    <row r="28" customFormat="false" ht="15" hidden="false" customHeight="false" outlineLevel="0" collapsed="false">
      <c r="A28" s="10" t="s">
        <v>87</v>
      </c>
      <c r="B28" s="10" t="n">
        <v>16384</v>
      </c>
      <c r="C28" s="10" t="n">
        <v>4096</v>
      </c>
      <c r="D28" s="10" t="n">
        <v>4</v>
      </c>
      <c r="E28" s="10" t="n">
        <v>7</v>
      </c>
      <c r="F28" s="10" t="s">
        <v>97</v>
      </c>
      <c r="G28" s="10" t="s">
        <v>92</v>
      </c>
      <c r="H28" s="10" t="n">
        <v>32.5692</v>
      </c>
      <c r="I28" s="10" t="n">
        <v>32.4995</v>
      </c>
      <c r="J28" s="10" t="n">
        <v>33.4945</v>
      </c>
      <c r="K28" s="10" t="n">
        <v>3</v>
      </c>
      <c r="L28" s="10" t="n">
        <v>42700000</v>
      </c>
      <c r="M28" s="10" t="n">
        <v>28</v>
      </c>
      <c r="N28" s="10" t="n">
        <v>1195600000</v>
      </c>
      <c r="O28" s="10" t="n">
        <v>1489260482</v>
      </c>
      <c r="P28" s="10" t="n">
        <v>1311054.6</v>
      </c>
      <c r="Q28" s="10" t="n">
        <v>36.71</v>
      </c>
      <c r="R28" s="10" t="n">
        <v>45.726</v>
      </c>
      <c r="S28" s="10" t="n">
        <v>651555712</v>
      </c>
      <c r="T28" s="10" t="n">
        <v>1.835</v>
      </c>
    </row>
    <row r="29" customFormat="false" ht="15" hidden="false" customHeight="false" outlineLevel="0" collapsed="false">
      <c r="A29" s="10" t="s">
        <v>87</v>
      </c>
      <c r="B29" s="10" t="n">
        <v>16384</v>
      </c>
      <c r="C29" s="10" t="n">
        <v>4096</v>
      </c>
      <c r="D29" s="10" t="n">
        <v>4</v>
      </c>
      <c r="E29" s="10" t="n">
        <v>8</v>
      </c>
      <c r="F29" s="10" t="s">
        <v>98</v>
      </c>
      <c r="G29" s="10" t="s">
        <v>94</v>
      </c>
      <c r="H29" s="10" t="n">
        <v>10.1539</v>
      </c>
      <c r="I29" s="10" t="n">
        <v>9.7668</v>
      </c>
      <c r="J29" s="10" t="n">
        <v>11.9464</v>
      </c>
      <c r="K29" s="10" t="n">
        <v>3</v>
      </c>
      <c r="L29" s="10" t="n">
        <v>42700000</v>
      </c>
      <c r="M29" s="10" t="n">
        <v>28</v>
      </c>
      <c r="N29" s="10" t="n">
        <v>1195600000</v>
      </c>
      <c r="O29" s="10" t="n">
        <v>1489260482</v>
      </c>
      <c r="P29" s="10" t="n">
        <v>4205280.7</v>
      </c>
      <c r="Q29" s="10" t="n">
        <v>117.748</v>
      </c>
      <c r="R29" s="10"/>
      <c r="S29" s="10"/>
      <c r="T29" s="10"/>
    </row>
    <row r="30" customFormat="false" ht="15" hidden="false" customHeight="false" outlineLevel="0" collapsed="false">
      <c r="A30" s="10" t="s">
        <v>87</v>
      </c>
      <c r="B30" s="10" t="n">
        <v>16384</v>
      </c>
      <c r="C30" s="10" t="n">
        <v>4096</v>
      </c>
      <c r="D30" s="10" t="n">
        <v>4</v>
      </c>
      <c r="E30" s="10" t="n">
        <v>9</v>
      </c>
      <c r="F30" s="10" t="s">
        <v>99</v>
      </c>
      <c r="G30" s="10" t="s">
        <v>92</v>
      </c>
      <c r="H30" s="10" t="n">
        <v>31.556</v>
      </c>
      <c r="I30" s="10" t="n">
        <v>31.32</v>
      </c>
      <c r="J30" s="10" t="n">
        <v>32.2589</v>
      </c>
      <c r="K30" s="10" t="n">
        <v>3</v>
      </c>
      <c r="L30" s="10" t="n">
        <v>42700000</v>
      </c>
      <c r="M30" s="10" t="n">
        <v>28</v>
      </c>
      <c r="N30" s="10" t="n">
        <v>1195600000</v>
      </c>
      <c r="O30" s="10" t="n">
        <v>1489260482</v>
      </c>
      <c r="P30" s="10" t="n">
        <v>1353150</v>
      </c>
      <c r="Q30" s="10" t="n">
        <v>37.888</v>
      </c>
      <c r="R30" s="10" t="n">
        <v>47.194</v>
      </c>
      <c r="S30" s="10" t="n">
        <v>402276030</v>
      </c>
      <c r="T30" s="10" t="n">
        <v>2.9721</v>
      </c>
    </row>
    <row r="31" customFormat="false" ht="15" hidden="false" customHeight="false" outlineLevel="0" collapsed="false">
      <c r="A31" s="10" t="s">
        <v>87</v>
      </c>
      <c r="B31" s="10" t="n">
        <v>16384</v>
      </c>
      <c r="C31" s="10" t="n">
        <v>4096</v>
      </c>
      <c r="D31" s="10" t="n">
        <v>4</v>
      </c>
      <c r="E31" s="10" t="n">
        <v>10</v>
      </c>
      <c r="F31" s="10" t="s">
        <v>100</v>
      </c>
      <c r="G31" s="10" t="s">
        <v>94</v>
      </c>
      <c r="H31" s="10" t="n">
        <v>10.3767</v>
      </c>
      <c r="I31" s="10" t="n">
        <v>10.03</v>
      </c>
      <c r="J31" s="10" t="n">
        <v>10.8092</v>
      </c>
      <c r="K31" s="10" t="n">
        <v>3</v>
      </c>
      <c r="L31" s="10" t="n">
        <v>42700000</v>
      </c>
      <c r="M31" s="10" t="n">
        <v>28</v>
      </c>
      <c r="N31" s="10" t="n">
        <v>1195600000</v>
      </c>
      <c r="O31" s="10" t="n">
        <v>1489260482</v>
      </c>
      <c r="P31" s="10" t="n">
        <v>4114988.4</v>
      </c>
      <c r="Q31" s="10" t="n">
        <v>115.22</v>
      </c>
      <c r="R31" s="10"/>
      <c r="S31" s="10"/>
      <c r="T31"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3"/>
  </cols>
  <sheetData>
    <row r="1" customFormat="false" ht="15" hidden="false" customHeight="false" outlineLevel="0" collapsed="false">
      <c r="A1" s="9" t="s">
        <v>2</v>
      </c>
      <c r="B1" s="9" t="s">
        <v>68</v>
      </c>
      <c r="C1" s="9" t="s">
        <v>101</v>
      </c>
      <c r="D1" s="9" t="s">
        <v>74</v>
      </c>
      <c r="E1" s="9" t="s">
        <v>83</v>
      </c>
      <c r="F1" s="9" t="s">
        <v>102</v>
      </c>
      <c r="G1" s="9" t="s">
        <v>103</v>
      </c>
      <c r="H1" s="9" t="s">
        <v>77</v>
      </c>
    </row>
    <row r="2" customFormat="false" ht="15" hidden="false" customHeight="false" outlineLevel="0" collapsed="false">
      <c r="A2" s="10" t="s">
        <v>87</v>
      </c>
      <c r="B2" s="10" t="n">
        <v>256</v>
      </c>
      <c r="C2" s="10" t="s">
        <v>104</v>
      </c>
      <c r="D2" s="10" t="n">
        <v>0.0968</v>
      </c>
      <c r="E2" s="10" t="n">
        <v>12347.413</v>
      </c>
      <c r="F2" s="10" t="n">
        <v>0.97</v>
      </c>
      <c r="G2" s="10" t="n">
        <v>8</v>
      </c>
      <c r="H2" s="10" t="n">
        <v>3</v>
      </c>
    </row>
    <row r="3" customFormat="false" ht="15" hidden="false" customHeight="false" outlineLevel="0" collapsed="false">
      <c r="A3" s="10" t="s">
        <v>87</v>
      </c>
      <c r="B3" s="10" t="n">
        <v>256</v>
      </c>
      <c r="C3" s="10" t="s">
        <v>105</v>
      </c>
      <c r="D3" s="10" t="n">
        <v>0.0875</v>
      </c>
      <c r="E3" s="10" t="n">
        <v>13671.812</v>
      </c>
      <c r="F3" s="10" t="n">
        <v>0.88</v>
      </c>
      <c r="G3" s="10" t="n">
        <v>10</v>
      </c>
      <c r="H3" s="10" t="n">
        <v>3</v>
      </c>
    </row>
    <row r="4" customFormat="false" ht="15" hidden="false" customHeight="false" outlineLevel="0" collapsed="false">
      <c r="A4" s="10" t="s">
        <v>87</v>
      </c>
      <c r="B4" s="10" t="n">
        <v>256</v>
      </c>
      <c r="C4" s="10" t="s">
        <v>106</v>
      </c>
      <c r="D4" s="10" t="n">
        <v>-0.0092</v>
      </c>
      <c r="E4" s="10"/>
      <c r="F4" s="10" t="n">
        <v>-0.09</v>
      </c>
      <c r="G4" s="10" t="n">
        <v>6</v>
      </c>
      <c r="H4" s="10" t="n">
        <v>3</v>
      </c>
    </row>
    <row r="5" customFormat="false" ht="15" hidden="false" customHeight="false" outlineLevel="0" collapsed="false">
      <c r="A5" s="10" t="s">
        <v>87</v>
      </c>
      <c r="B5" s="10" t="n">
        <v>256</v>
      </c>
      <c r="C5" s="10" t="s">
        <v>51</v>
      </c>
      <c r="D5" s="10" t="n">
        <v>9.8788</v>
      </c>
      <c r="E5" s="10" t="n">
        <v>121.026</v>
      </c>
      <c r="F5" s="10" t="n">
        <v>100</v>
      </c>
      <c r="G5" s="10" t="n">
        <v>4</v>
      </c>
      <c r="H5" s="10" t="n">
        <v>3</v>
      </c>
    </row>
    <row r="6" customFormat="false" ht="15" hidden="false" customHeight="false" outlineLevel="0" collapsed="false">
      <c r="A6" s="10" t="s">
        <v>87</v>
      </c>
      <c r="B6" s="10" t="n">
        <v>256</v>
      </c>
      <c r="C6" s="10" t="s">
        <v>107</v>
      </c>
      <c r="D6" s="10" t="n">
        <v>3.4851</v>
      </c>
      <c r="E6" s="10" t="n">
        <v>343.06</v>
      </c>
      <c r="F6" s="10" t="n">
        <v>11.32</v>
      </c>
      <c r="G6" s="10" t="n">
        <v>7</v>
      </c>
      <c r="H6" s="10" t="n">
        <v>3</v>
      </c>
    </row>
    <row r="7" customFormat="false" ht="15" hidden="false" customHeight="false" outlineLevel="0" collapsed="false">
      <c r="A7" s="10" t="s">
        <v>87</v>
      </c>
      <c r="B7" s="10" t="n">
        <v>256</v>
      </c>
      <c r="C7" s="10" t="s">
        <v>108</v>
      </c>
      <c r="D7" s="10" t="n">
        <v>3.4871</v>
      </c>
      <c r="E7" s="10" t="n">
        <v>342.864</v>
      </c>
      <c r="F7" s="10" t="n">
        <v>11.33</v>
      </c>
      <c r="G7" s="10" t="n">
        <v>9</v>
      </c>
      <c r="H7" s="10" t="n">
        <v>3</v>
      </c>
    </row>
    <row r="8" customFormat="false" ht="15" hidden="false" customHeight="false" outlineLevel="0" collapsed="false">
      <c r="A8" s="10" t="s">
        <v>87</v>
      </c>
      <c r="B8" s="10" t="n">
        <v>256</v>
      </c>
      <c r="C8" s="10" t="s">
        <v>109</v>
      </c>
      <c r="D8" s="10" t="n">
        <v>6.1008</v>
      </c>
      <c r="E8" s="10" t="n">
        <v>195.974</v>
      </c>
      <c r="F8" s="10" t="n">
        <v>18.26</v>
      </c>
      <c r="G8" s="10" t="n">
        <v>5</v>
      </c>
      <c r="H8" s="10" t="n">
        <v>3</v>
      </c>
    </row>
    <row r="9" customFormat="false" ht="15" hidden="false" customHeight="false" outlineLevel="0" collapsed="false">
      <c r="A9" s="10" t="s">
        <v>87</v>
      </c>
      <c r="B9" s="10" t="n">
        <v>256</v>
      </c>
      <c r="C9" s="10" t="s">
        <v>49</v>
      </c>
      <c r="D9" s="10" t="n">
        <v>20.8994</v>
      </c>
      <c r="E9" s="10" t="n">
        <v>57.207</v>
      </c>
      <c r="F9" s="10" t="n">
        <v>76.54</v>
      </c>
      <c r="G9" s="10" t="n">
        <v>3</v>
      </c>
      <c r="H9" s="10" t="n">
        <v>3</v>
      </c>
    </row>
    <row r="10" customFormat="false" ht="15" hidden="false" customHeight="false" outlineLevel="0" collapsed="false">
      <c r="A10" s="10" t="s">
        <v>87</v>
      </c>
      <c r="B10" s="10" t="n">
        <v>256</v>
      </c>
      <c r="C10" s="10" t="s">
        <v>50</v>
      </c>
      <c r="D10" s="10" t="n">
        <v>6.4045</v>
      </c>
      <c r="E10" s="10" t="n">
        <v>186.681</v>
      </c>
      <c r="F10" s="10" t="n">
        <v>23.46</v>
      </c>
      <c r="G10" s="10" t="n">
        <v>3</v>
      </c>
      <c r="H10" s="10" t="n">
        <v>3</v>
      </c>
    </row>
    <row r="11" customFormat="false" ht="15" hidden="false" customHeight="false" outlineLevel="0" collapsed="false">
      <c r="A11" s="10" t="s">
        <v>87</v>
      </c>
      <c r="B11" s="10" t="n">
        <v>1024</v>
      </c>
      <c r="C11" s="10" t="s">
        <v>104</v>
      </c>
      <c r="D11" s="10" t="n">
        <v>-0.0209</v>
      </c>
      <c r="E11" s="10"/>
      <c r="F11" s="10" t="n">
        <v>-0.21</v>
      </c>
      <c r="G11" s="10" t="n">
        <v>8</v>
      </c>
      <c r="H11" s="10" t="n">
        <v>3</v>
      </c>
    </row>
    <row r="12" customFormat="false" ht="15" hidden="false" customHeight="false" outlineLevel="0" collapsed="false">
      <c r="A12" s="10" t="s">
        <v>87</v>
      </c>
      <c r="B12" s="10" t="n">
        <v>1024</v>
      </c>
      <c r="C12" s="10" t="s">
        <v>105</v>
      </c>
      <c r="D12" s="10" t="n">
        <v>0.0111</v>
      </c>
      <c r="E12" s="10" t="n">
        <v>107517.986</v>
      </c>
      <c r="F12" s="10" t="n">
        <v>0.11</v>
      </c>
      <c r="G12" s="10" t="n">
        <v>10</v>
      </c>
      <c r="H12" s="10" t="n">
        <v>3</v>
      </c>
    </row>
    <row r="13" customFormat="false" ht="15" hidden="false" customHeight="false" outlineLevel="0" collapsed="false">
      <c r="A13" s="10" t="s">
        <v>87</v>
      </c>
      <c r="B13" s="10" t="n">
        <v>1024</v>
      </c>
      <c r="C13" s="10" t="s">
        <v>106</v>
      </c>
      <c r="D13" s="10" t="n">
        <v>0.1086</v>
      </c>
      <c r="E13" s="10" t="n">
        <v>11012.25</v>
      </c>
      <c r="F13" s="10" t="n">
        <v>1.08</v>
      </c>
      <c r="G13" s="10" t="n">
        <v>6</v>
      </c>
      <c r="H13" s="10" t="n">
        <v>3</v>
      </c>
    </row>
    <row r="14" customFormat="false" ht="15" hidden="false" customHeight="false" outlineLevel="0" collapsed="false">
      <c r="A14" s="10" t="s">
        <v>87</v>
      </c>
      <c r="B14" s="10" t="n">
        <v>1024</v>
      </c>
      <c r="C14" s="10" t="s">
        <v>51</v>
      </c>
      <c r="D14" s="10" t="n">
        <v>9.944</v>
      </c>
      <c r="E14" s="10" t="n">
        <v>120.233</v>
      </c>
      <c r="F14" s="10" t="n">
        <v>100</v>
      </c>
      <c r="G14" s="10" t="n">
        <v>4</v>
      </c>
      <c r="H14" s="10" t="n">
        <v>3</v>
      </c>
    </row>
    <row r="15" customFormat="false" ht="15" hidden="false" customHeight="false" outlineLevel="0" collapsed="false">
      <c r="A15" s="10" t="s">
        <v>87</v>
      </c>
      <c r="B15" s="10" t="n">
        <v>1024</v>
      </c>
      <c r="C15" s="10" t="s">
        <v>107</v>
      </c>
      <c r="D15" s="10" t="n">
        <v>4.6394</v>
      </c>
      <c r="E15" s="10" t="n">
        <v>257.706</v>
      </c>
      <c r="F15" s="10" t="n">
        <v>14.62</v>
      </c>
      <c r="G15" s="10" t="n">
        <v>7</v>
      </c>
      <c r="H15" s="10" t="n">
        <v>3</v>
      </c>
    </row>
    <row r="16" customFormat="false" ht="15" hidden="false" customHeight="false" outlineLevel="0" collapsed="false">
      <c r="A16" s="10" t="s">
        <v>87</v>
      </c>
      <c r="B16" s="10" t="n">
        <v>1024</v>
      </c>
      <c r="C16" s="10" t="s">
        <v>108</v>
      </c>
      <c r="D16" s="10" t="n">
        <v>3.764</v>
      </c>
      <c r="E16" s="10" t="n">
        <v>317.641</v>
      </c>
      <c r="F16" s="10" t="n">
        <v>12.2</v>
      </c>
      <c r="G16" s="10" t="n">
        <v>9</v>
      </c>
      <c r="H16" s="10" t="n">
        <v>3</v>
      </c>
    </row>
    <row r="17" customFormat="false" ht="15" hidden="false" customHeight="false" outlineLevel="0" collapsed="false">
      <c r="A17" s="10" t="s">
        <v>87</v>
      </c>
      <c r="B17" s="10" t="n">
        <v>1024</v>
      </c>
      <c r="C17" s="10" t="s">
        <v>109</v>
      </c>
      <c r="D17" s="10" t="n">
        <v>7.4642</v>
      </c>
      <c r="E17" s="10" t="n">
        <v>160.178</v>
      </c>
      <c r="F17" s="10" t="n">
        <v>21.6</v>
      </c>
      <c r="G17" s="10" t="n">
        <v>5</v>
      </c>
      <c r="H17" s="10" t="n">
        <v>3</v>
      </c>
    </row>
    <row r="18" customFormat="false" ht="15" hidden="false" customHeight="false" outlineLevel="0" collapsed="false">
      <c r="A18" s="10" t="s">
        <v>87</v>
      </c>
      <c r="B18" s="10" t="n">
        <v>1024</v>
      </c>
      <c r="C18" s="10" t="s">
        <v>49</v>
      </c>
      <c r="D18" s="10" t="n">
        <v>21.3942</v>
      </c>
      <c r="E18" s="10" t="n">
        <v>55.884</v>
      </c>
      <c r="F18" s="10" t="n">
        <v>78.97</v>
      </c>
      <c r="G18" s="10" t="n">
        <v>3</v>
      </c>
      <c r="H18" s="10" t="n">
        <v>3</v>
      </c>
    </row>
    <row r="19" customFormat="false" ht="15" hidden="false" customHeight="false" outlineLevel="0" collapsed="false">
      <c r="A19" s="10" t="s">
        <v>87</v>
      </c>
      <c r="B19" s="10" t="n">
        <v>1024</v>
      </c>
      <c r="C19" s="10" t="s">
        <v>50</v>
      </c>
      <c r="D19" s="10" t="n">
        <v>5.6965</v>
      </c>
      <c r="E19" s="10" t="n">
        <v>209.883</v>
      </c>
      <c r="F19" s="10" t="n">
        <v>21.03</v>
      </c>
      <c r="G19" s="10" t="n">
        <v>3</v>
      </c>
      <c r="H19" s="10" t="n">
        <v>3</v>
      </c>
    </row>
    <row r="20" customFormat="false" ht="15" hidden="false" customHeight="false" outlineLevel="0" collapsed="false">
      <c r="A20" s="10" t="s">
        <v>87</v>
      </c>
      <c r="B20" s="10" t="n">
        <v>16384</v>
      </c>
      <c r="C20" s="10" t="s">
        <v>104</v>
      </c>
      <c r="D20" s="10" t="n">
        <v>0.0054</v>
      </c>
      <c r="E20" s="10"/>
      <c r="F20" s="10" t="n">
        <v>0.05</v>
      </c>
      <c r="G20" s="10" t="n">
        <v>8</v>
      </c>
      <c r="H20" s="10" t="n">
        <v>3</v>
      </c>
    </row>
    <row r="21" customFormat="false" ht="15" hidden="false" customHeight="false" outlineLevel="0" collapsed="false">
      <c r="A21" s="10" t="s">
        <v>87</v>
      </c>
      <c r="B21" s="10" t="n">
        <v>16384</v>
      </c>
      <c r="C21" s="10" t="s">
        <v>105</v>
      </c>
      <c r="D21" s="10" t="n">
        <v>0.2282</v>
      </c>
      <c r="E21" s="10" t="n">
        <v>5239.264</v>
      </c>
      <c r="F21" s="10" t="n">
        <v>2.2</v>
      </c>
      <c r="G21" s="10" t="n">
        <v>10</v>
      </c>
      <c r="H21" s="10" t="n">
        <v>3</v>
      </c>
    </row>
    <row r="22" customFormat="false" ht="15" hidden="false" customHeight="false" outlineLevel="0" collapsed="false">
      <c r="A22" s="10" t="s">
        <v>87</v>
      </c>
      <c r="B22" s="10" t="n">
        <v>16384</v>
      </c>
      <c r="C22" s="10" t="s">
        <v>106</v>
      </c>
      <c r="D22" s="10" t="n">
        <v>-0.274</v>
      </c>
      <c r="E22" s="10"/>
      <c r="F22" s="10" t="n">
        <v>-2.77</v>
      </c>
      <c r="G22" s="10" t="n">
        <v>6</v>
      </c>
      <c r="H22" s="10" t="n">
        <v>3</v>
      </c>
    </row>
    <row r="23" customFormat="false" ht="15" hidden="false" customHeight="false" outlineLevel="0" collapsed="false">
      <c r="A23" s="10" t="s">
        <v>87</v>
      </c>
      <c r="B23" s="10" t="n">
        <v>16384</v>
      </c>
      <c r="C23" s="10" t="s">
        <v>51</v>
      </c>
      <c r="D23" s="10" t="n">
        <v>10.1485</v>
      </c>
      <c r="E23" s="10" t="n">
        <v>117.811</v>
      </c>
      <c r="F23" s="10" t="n">
        <v>100</v>
      </c>
      <c r="G23" s="10" t="n">
        <v>4</v>
      </c>
      <c r="H23" s="10" t="n">
        <v>3</v>
      </c>
    </row>
    <row r="24" customFormat="false" ht="15" hidden="false" customHeight="false" outlineLevel="0" collapsed="false">
      <c r="A24" s="10" t="s">
        <v>87</v>
      </c>
      <c r="B24" s="10" t="n">
        <v>16384</v>
      </c>
      <c r="C24" s="10" t="s">
        <v>107</v>
      </c>
      <c r="D24" s="10" t="n">
        <v>5.2349</v>
      </c>
      <c r="E24" s="10" t="n">
        <v>228.39</v>
      </c>
      <c r="F24" s="10" t="n">
        <v>16.07</v>
      </c>
      <c r="G24" s="10" t="n">
        <v>7</v>
      </c>
      <c r="H24" s="10" t="n">
        <v>3</v>
      </c>
    </row>
    <row r="25" customFormat="false" ht="15" hidden="false" customHeight="false" outlineLevel="0" collapsed="false">
      <c r="A25" s="10" t="s">
        <v>87</v>
      </c>
      <c r="B25" s="10" t="n">
        <v>16384</v>
      </c>
      <c r="C25" s="10" t="s">
        <v>108</v>
      </c>
      <c r="D25" s="10" t="n">
        <v>4.2217</v>
      </c>
      <c r="E25" s="10" t="n">
        <v>283.203</v>
      </c>
      <c r="F25" s="10" t="n">
        <v>13.38</v>
      </c>
      <c r="G25" s="10" t="n">
        <v>9</v>
      </c>
      <c r="H25" s="10" t="n">
        <v>3</v>
      </c>
    </row>
    <row r="26" customFormat="false" ht="15" hidden="false" customHeight="false" outlineLevel="0" collapsed="false">
      <c r="A26" s="10" t="s">
        <v>87</v>
      </c>
      <c r="B26" s="10" t="n">
        <v>16384</v>
      </c>
      <c r="C26" s="10" t="s">
        <v>109</v>
      </c>
      <c r="D26" s="10" t="n">
        <v>7.4747</v>
      </c>
      <c r="E26" s="10" t="n">
        <v>159.953</v>
      </c>
      <c r="F26" s="10" t="n">
        <v>21.47</v>
      </c>
      <c r="G26" s="10" t="n">
        <v>5</v>
      </c>
      <c r="H26" s="10" t="n">
        <v>3</v>
      </c>
    </row>
    <row r="27" customFormat="false" ht="15" hidden="false" customHeight="false" outlineLevel="0" collapsed="false">
      <c r="A27" s="10" t="s">
        <v>87</v>
      </c>
      <c r="B27" s="10" t="n">
        <v>16384</v>
      </c>
      <c r="C27" s="10" t="s">
        <v>49</v>
      </c>
      <c r="D27" s="10" t="n">
        <v>21.5476</v>
      </c>
      <c r="E27" s="10" t="n">
        <v>55.486</v>
      </c>
      <c r="F27" s="10" t="n">
        <v>78.83</v>
      </c>
      <c r="G27" s="10" t="n">
        <v>3</v>
      </c>
      <c r="H27" s="10" t="n">
        <v>3</v>
      </c>
    </row>
    <row r="28" customFormat="false" ht="15" hidden="false" customHeight="false" outlineLevel="0" collapsed="false">
      <c r="A28" s="10" t="s">
        <v>87</v>
      </c>
      <c r="B28" s="10" t="n">
        <v>16384</v>
      </c>
      <c r="C28" s="10" t="s">
        <v>50</v>
      </c>
      <c r="D28" s="10" t="n">
        <v>5.7867</v>
      </c>
      <c r="E28" s="10" t="n">
        <v>206.612</v>
      </c>
      <c r="F28" s="10" t="n">
        <v>21.17</v>
      </c>
      <c r="G28" s="10" t="n">
        <v>3</v>
      </c>
      <c r="H28" s="1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4" min="2" style="0" width="13"/>
  </cols>
  <sheetData>
    <row r="1" customFormat="false" ht="15" hidden="false" customHeight="false" outlineLevel="0" collapsed="false">
      <c r="A1" s="14" t="s">
        <v>110</v>
      </c>
    </row>
    <row r="2" customFormat="false" ht="15" hidden="false" customHeight="false" outlineLevel="0" collapsed="false">
      <c r="A2" s="2" t="s">
        <v>111</v>
      </c>
    </row>
    <row r="4" customFormat="false" ht="15" hidden="false" customHeight="false" outlineLevel="0" collapsed="false">
      <c r="A4" s="5" t="s">
        <v>112</v>
      </c>
      <c r="B4" s="6"/>
      <c r="C4" s="6"/>
      <c r="D4" s="6"/>
    </row>
    <row r="5" customFormat="false" ht="15" hidden="false" customHeight="false" outlineLevel="0" collapsed="false">
      <c r="A5" s="9" t="s">
        <v>30</v>
      </c>
      <c r="B5" s="9" t="s">
        <v>31</v>
      </c>
      <c r="C5" s="9" t="s">
        <v>32</v>
      </c>
      <c r="D5" s="9" t="s">
        <v>33</v>
      </c>
    </row>
    <row r="6" customFormat="false" ht="15" hidden="false" customHeight="false" outlineLevel="0" collapsed="false">
      <c r="A6" s="10" t="s">
        <v>34</v>
      </c>
      <c r="B6" s="11" t="n">
        <f aca="false">SUMIFS(Queries!$H:$H,Queries!$E:$E,1,Queries!$B:$B,256)</f>
        <v>20.8994</v>
      </c>
      <c r="C6" s="11" t="n">
        <f aca="false">SUMIFS(Queries!$H:$H,Queries!$E:$E,1,Queries!$B:$B,1024)</f>
        <v>21.3942</v>
      </c>
      <c r="D6" s="11" t="n">
        <f aca="false">SUMIFS(Queries!$H:$H,Queries!$E:$E,1,Queries!$B:$B,16384)</f>
        <v>21.5476</v>
      </c>
    </row>
    <row r="7" customFormat="false" ht="15" hidden="false" customHeight="false" outlineLevel="0" collapsed="false">
      <c r="A7" s="10" t="s">
        <v>35</v>
      </c>
      <c r="B7" s="11" t="n">
        <f aca="false">SUMIFS(Queries!$H:$H,Queries!$E:$E,2,Queries!$B:$B,256)</f>
        <v>20.5088</v>
      </c>
      <c r="C7" s="11" t="n">
        <f aca="false">SUMIFS(Queries!$H:$H,Queries!$E:$E,2,Queries!$B:$B,1024)</f>
        <v>21.1534</v>
      </c>
      <c r="D7" s="11" t="n">
        <f aca="false">SUMIFS(Queries!$H:$H,Queries!$E:$E,2,Queries!$B:$B,16384)</f>
        <v>21.0363</v>
      </c>
    </row>
    <row r="8" customFormat="false" ht="15" hidden="false" customHeight="false" outlineLevel="0" collapsed="false">
      <c r="A8" s="10" t="s">
        <v>36</v>
      </c>
      <c r="B8" s="11" t="n">
        <f aca="false">SUMIFS(Queries!$H:$H,Queries!$E:$E,3,Queries!$B:$B,256)</f>
        <v>27.3039</v>
      </c>
      <c r="C8" s="11" t="n">
        <f aca="false">SUMIFS(Queries!$H:$H,Queries!$E:$E,3,Queries!$B:$B,1024)</f>
        <v>27.0907</v>
      </c>
      <c r="D8" s="11" t="n">
        <f aca="false">SUMIFS(Queries!$H:$H,Queries!$E:$E,3,Queries!$B:$B,16384)</f>
        <v>27.3343</v>
      </c>
    </row>
    <row r="9" customFormat="false" ht="15" hidden="false" customHeight="false" outlineLevel="0" collapsed="false">
      <c r="A9" s="10" t="s">
        <v>37</v>
      </c>
      <c r="B9" s="11" t="n">
        <f aca="false">SUMIFS(Queries!$H:$H,Queries!$E:$E,4,Queries!$B:$B,256)</f>
        <v>9.8788</v>
      </c>
      <c r="C9" s="11" t="n">
        <f aca="false">SUMIFS(Queries!$H:$H,Queries!$E:$E,4,Queries!$B:$B,1024)</f>
        <v>9.944</v>
      </c>
      <c r="D9" s="11" t="n">
        <f aca="false">SUMIFS(Queries!$H:$H,Queries!$E:$E,4,Queries!$B:$B,16384)</f>
        <v>10.1485</v>
      </c>
    </row>
    <row r="10" customFormat="false" ht="15" hidden="false" customHeight="false" outlineLevel="0" collapsed="false">
      <c r="A10" s="10" t="s">
        <v>38</v>
      </c>
      <c r="B10" s="11" t="n">
        <f aca="false">SUMIFS(Queries!$H:$H,Queries!$E:$E,5,Queries!$B:$B,256)</f>
        <v>33.4047</v>
      </c>
      <c r="C10" s="11" t="n">
        <f aca="false">SUMIFS(Queries!$H:$H,Queries!$E:$E,5,Queries!$B:$B,1024)</f>
        <v>34.5549</v>
      </c>
      <c r="D10" s="11" t="n">
        <f aca="false">SUMIFS(Queries!$H:$H,Queries!$E:$E,5,Queries!$B:$B,16384)</f>
        <v>34.809</v>
      </c>
    </row>
    <row r="11" customFormat="false" ht="15" hidden="false" customHeight="false" outlineLevel="0" collapsed="false">
      <c r="A11" s="10" t="s">
        <v>39</v>
      </c>
      <c r="B11" s="11" t="n">
        <f aca="false">SUMIFS(Queries!$H:$H,Queries!$E:$E,6,Queries!$B:$B,256)</f>
        <v>9.8696</v>
      </c>
      <c r="C11" s="11" t="n">
        <f aca="false">SUMIFS(Queries!$H:$H,Queries!$E:$E,6,Queries!$B:$B,1024)</f>
        <v>10.0526</v>
      </c>
      <c r="D11" s="11" t="n">
        <f aca="false">SUMIFS(Queries!$H:$H,Queries!$E:$E,6,Queries!$B:$B,16384)</f>
        <v>9.8745</v>
      </c>
    </row>
    <row r="12" customFormat="false" ht="15" hidden="false" customHeight="false" outlineLevel="0" collapsed="false">
      <c r="A12" s="10" t="s">
        <v>40</v>
      </c>
      <c r="B12" s="11" t="n">
        <f aca="false">SUMIFS(Queries!$H:$H,Queries!$E:$E,7,Queries!$B:$B,256)</f>
        <v>30.789</v>
      </c>
      <c r="C12" s="11" t="n">
        <f aca="false">SUMIFS(Queries!$H:$H,Queries!$E:$E,7,Queries!$B:$B,1024)</f>
        <v>31.7301</v>
      </c>
      <c r="D12" s="11" t="n">
        <f aca="false">SUMIFS(Queries!$H:$H,Queries!$E:$E,7,Queries!$B:$B,16384)</f>
        <v>32.5692</v>
      </c>
    </row>
    <row r="13" customFormat="false" ht="15" hidden="false" customHeight="false" outlineLevel="0" collapsed="false">
      <c r="A13" s="10" t="s">
        <v>41</v>
      </c>
      <c r="B13" s="11" t="n">
        <f aca="false">SUMIFS(Queries!$H:$H,Queries!$E:$E,8,Queries!$B:$B,256)</f>
        <v>9.9757</v>
      </c>
      <c r="C13" s="11" t="n">
        <f aca="false">SUMIFS(Queries!$H:$H,Queries!$E:$E,8,Queries!$B:$B,1024)</f>
        <v>9.9231</v>
      </c>
      <c r="D13" s="11" t="n">
        <f aca="false">SUMIFS(Queries!$H:$H,Queries!$E:$E,8,Queries!$B:$B,16384)</f>
        <v>10.1539</v>
      </c>
    </row>
    <row r="14" customFormat="false" ht="15" hidden="false" customHeight="false" outlineLevel="0" collapsed="false">
      <c r="A14" s="10" t="s">
        <v>42</v>
      </c>
      <c r="B14" s="11" t="n">
        <f aca="false">SUMIFS(Queries!$H:$H,Queries!$E:$E,9,Queries!$B:$B,256)</f>
        <v>30.791</v>
      </c>
      <c r="C14" s="11" t="n">
        <f aca="false">SUMIFS(Queries!$H:$H,Queries!$E:$E,9,Queries!$B:$B,1024)</f>
        <v>30.8547</v>
      </c>
      <c r="D14" s="11" t="n">
        <f aca="false">SUMIFS(Queries!$H:$H,Queries!$E:$E,9,Queries!$B:$B,16384)</f>
        <v>31.556</v>
      </c>
    </row>
    <row r="15" customFormat="false" ht="15" hidden="false" customHeight="false" outlineLevel="0" collapsed="false">
      <c r="A15" s="10" t="s">
        <v>43</v>
      </c>
      <c r="B15" s="11" t="n">
        <f aca="false">SUMIFS(Queries!$H:$H,Queries!$E:$E,10,Queries!$B:$B,256)</f>
        <v>9.9663</v>
      </c>
      <c r="C15" s="11" t="n">
        <f aca="false">SUMIFS(Queries!$H:$H,Queries!$E:$E,10,Queries!$B:$B,1024)</f>
        <v>9.9551</v>
      </c>
      <c r="D15" s="11" t="n">
        <f aca="false">SUMIFS(Queries!$H:$H,Queries!$E:$E,10,Queries!$B:$B,16384)</f>
        <v>10.3767</v>
      </c>
    </row>
    <row r="38" customFormat="false" ht="15" hidden="false" customHeight="false" outlineLevel="0" collapsed="false">
      <c r="A38" s="12" t="s">
        <v>44</v>
      </c>
      <c r="B38" s="2" t="s">
        <v>113</v>
      </c>
    </row>
    <row r="39" customFormat="false" ht="15" hidden="false" customHeight="false" outlineLevel="0" collapsed="false">
      <c r="A39" s="12" t="s">
        <v>46</v>
      </c>
      <c r="B39" s="2" t="s">
        <v>114</v>
      </c>
    </row>
    <row r="41" customFormat="false" ht="15" hidden="false" customHeight="false" outlineLevel="0" collapsed="false">
      <c r="A41" s="5" t="s">
        <v>115</v>
      </c>
      <c r="B41" s="6"/>
      <c r="C41" s="6"/>
      <c r="D41" s="6"/>
    </row>
    <row r="42" customFormat="false" ht="15" hidden="false" customHeight="false" outlineLevel="0" collapsed="false">
      <c r="A42" s="2" t="s">
        <v>116</v>
      </c>
    </row>
    <row r="43" customFormat="false" ht="15" hidden="false" customHeight="false" outlineLevel="0" collapsed="false">
      <c r="A43" s="9" t="s">
        <v>30</v>
      </c>
      <c r="B43" s="9" t="s">
        <v>31</v>
      </c>
      <c r="C43" s="9" t="s">
        <v>32</v>
      </c>
      <c r="D43" s="9" t="s">
        <v>33</v>
      </c>
    </row>
    <row r="44" customFormat="false" ht="15" hidden="false" customHeight="false" outlineLevel="0" collapsed="false">
      <c r="A44" s="10" t="s">
        <v>34</v>
      </c>
      <c r="B44" s="11" t="n">
        <f aca="false">SUMIFS(Queries!$J:$J,Queries!$E:$E,1,Queries!$B:$B,256)</f>
        <v>21.8027</v>
      </c>
      <c r="C44" s="11" t="n">
        <f aca="false">SUMIFS(Queries!$J:$J,Queries!$E:$E,1,Queries!$B:$B,1024)</f>
        <v>22.4588</v>
      </c>
      <c r="D44" s="11" t="n">
        <f aca="false">SUMIFS(Queries!$J:$J,Queries!$E:$E,1,Queries!$B:$B,16384)</f>
        <v>22.2192</v>
      </c>
    </row>
    <row r="45" customFormat="false" ht="15" hidden="false" customHeight="false" outlineLevel="0" collapsed="false">
      <c r="A45" s="10" t="s">
        <v>35</v>
      </c>
      <c r="B45" s="11" t="n">
        <f aca="false">SUMIFS(Queries!$J:$J,Queries!$E:$E,2,Queries!$B:$B,256)</f>
        <v>20.8408</v>
      </c>
      <c r="C45" s="11" t="n">
        <f aca="false">SUMIFS(Queries!$J:$J,Queries!$E:$E,2,Queries!$B:$B,1024)</f>
        <v>21.2782</v>
      </c>
      <c r="D45" s="11" t="n">
        <f aca="false">SUMIFS(Queries!$J:$J,Queries!$E:$E,2,Queries!$B:$B,16384)</f>
        <v>22.0205</v>
      </c>
    </row>
    <row r="46" customFormat="false" ht="15" hidden="false" customHeight="false" outlineLevel="0" collapsed="false">
      <c r="A46" s="10" t="s">
        <v>36</v>
      </c>
      <c r="B46" s="11" t="n">
        <f aca="false">SUMIFS(Queries!$J:$J,Queries!$E:$E,3,Queries!$B:$B,256)</f>
        <v>27.8275</v>
      </c>
      <c r="C46" s="11" t="n">
        <f aca="false">SUMIFS(Queries!$J:$J,Queries!$E:$E,3,Queries!$B:$B,1024)</f>
        <v>27.8787</v>
      </c>
      <c r="D46" s="11" t="n">
        <f aca="false">SUMIFS(Queries!$J:$J,Queries!$E:$E,3,Queries!$B:$B,16384)</f>
        <v>27.6933</v>
      </c>
    </row>
    <row r="47" customFormat="false" ht="15" hidden="false" customHeight="false" outlineLevel="0" collapsed="false">
      <c r="A47" s="10" t="s">
        <v>37</v>
      </c>
      <c r="B47" s="11" t="n">
        <f aca="false">SUMIFS(Queries!$J:$J,Queries!$E:$E,4,Queries!$B:$B,256)</f>
        <v>10.0758</v>
      </c>
      <c r="C47" s="11" t="n">
        <f aca="false">SUMIFS(Queries!$J:$J,Queries!$E:$E,4,Queries!$B:$B,1024)</f>
        <v>10.1974</v>
      </c>
      <c r="D47" s="11" t="n">
        <f aca="false">SUMIFS(Queries!$J:$J,Queries!$E:$E,4,Queries!$B:$B,16384)</f>
        <v>10.1536</v>
      </c>
    </row>
    <row r="48" customFormat="false" ht="15" hidden="false" customHeight="false" outlineLevel="0" collapsed="false">
      <c r="A48" s="10" t="s">
        <v>38</v>
      </c>
      <c r="B48" s="11" t="n">
        <f aca="false">SUMIFS(Queries!$J:$J,Queries!$E:$E,5,Queries!$B:$B,256)</f>
        <v>33.769</v>
      </c>
      <c r="C48" s="11" t="n">
        <f aca="false">SUMIFS(Queries!$J:$J,Queries!$E:$E,5,Queries!$B:$B,1024)</f>
        <v>35.4838</v>
      </c>
      <c r="D48" s="11" t="n">
        <f aca="false">SUMIFS(Queries!$J:$J,Queries!$E:$E,5,Queries!$B:$B,16384)</f>
        <v>35.5959</v>
      </c>
    </row>
    <row r="49" customFormat="false" ht="15" hidden="false" customHeight="false" outlineLevel="0" collapsed="false">
      <c r="A49" s="10" t="s">
        <v>39</v>
      </c>
      <c r="B49" s="11" t="n">
        <f aca="false">SUMIFS(Queries!$J:$J,Queries!$E:$E,6,Queries!$B:$B,256)</f>
        <v>9.9502</v>
      </c>
      <c r="C49" s="11" t="n">
        <f aca="false">SUMIFS(Queries!$J:$J,Queries!$E:$E,6,Queries!$B:$B,1024)</f>
        <v>10.1954</v>
      </c>
      <c r="D49" s="11" t="n">
        <f aca="false">SUMIFS(Queries!$J:$J,Queries!$E:$E,6,Queries!$B:$B,16384)</f>
        <v>9.9974</v>
      </c>
    </row>
    <row r="50" customFormat="false" ht="15" hidden="false" customHeight="false" outlineLevel="0" collapsed="false">
      <c r="A50" s="10" t="s">
        <v>40</v>
      </c>
      <c r="B50" s="11" t="n">
        <f aca="false">SUMIFS(Queries!$J:$J,Queries!$E:$E,7,Queries!$B:$B,256)</f>
        <v>31.3929</v>
      </c>
      <c r="C50" s="11" t="n">
        <f aca="false">SUMIFS(Queries!$J:$J,Queries!$E:$E,7,Queries!$B:$B,1024)</f>
        <v>31.9992</v>
      </c>
      <c r="D50" s="11" t="n">
        <f aca="false">SUMIFS(Queries!$J:$J,Queries!$E:$E,7,Queries!$B:$B,16384)</f>
        <v>33.4945</v>
      </c>
    </row>
    <row r="51" customFormat="false" ht="15" hidden="false" customHeight="false" outlineLevel="0" collapsed="false">
      <c r="A51" s="10" t="s">
        <v>41</v>
      </c>
      <c r="B51" s="11" t="n">
        <f aca="false">SUMIFS(Queries!$J:$J,Queries!$E:$E,8,Queries!$B:$B,256)</f>
        <v>10.2325</v>
      </c>
      <c r="C51" s="11" t="n">
        <f aca="false">SUMIFS(Queries!$J:$J,Queries!$E:$E,8,Queries!$B:$B,1024)</f>
        <v>9.9617</v>
      </c>
      <c r="D51" s="11" t="n">
        <f aca="false">SUMIFS(Queries!$J:$J,Queries!$E:$E,8,Queries!$B:$B,16384)</f>
        <v>11.9464</v>
      </c>
    </row>
    <row r="52" customFormat="false" ht="15" hidden="false" customHeight="false" outlineLevel="0" collapsed="false">
      <c r="A52" s="10" t="s">
        <v>42</v>
      </c>
      <c r="B52" s="11" t="n">
        <f aca="false">SUMIFS(Queries!$J:$J,Queries!$E:$E,9,Queries!$B:$B,256)</f>
        <v>31.9041</v>
      </c>
      <c r="C52" s="11" t="n">
        <f aca="false">SUMIFS(Queries!$J:$J,Queries!$E:$E,9,Queries!$B:$B,1024)</f>
        <v>31.4903</v>
      </c>
      <c r="D52" s="11" t="n">
        <f aca="false">SUMIFS(Queries!$J:$J,Queries!$E:$E,9,Queries!$B:$B,16384)</f>
        <v>32.2589</v>
      </c>
    </row>
    <row r="53" customFormat="false" ht="15" hidden="false" customHeight="false" outlineLevel="0" collapsed="false">
      <c r="A53" s="10" t="s">
        <v>43</v>
      </c>
      <c r="B53" s="11" t="n">
        <f aca="false">SUMIFS(Queries!$J:$J,Queries!$E:$E,10,Queries!$B:$B,256)</f>
        <v>9.9754</v>
      </c>
      <c r="C53" s="11" t="n">
        <f aca="false">SUMIFS(Queries!$J:$J,Queries!$E:$E,10,Queries!$B:$B,1024)</f>
        <v>10.2217</v>
      </c>
      <c r="D53" s="11" t="n">
        <f aca="false">SUMIFS(Queries!$J:$J,Queries!$E:$E,10,Queries!$B:$B,16384)</f>
        <v>10.8092</v>
      </c>
    </row>
    <row r="76" customFormat="false" ht="15" hidden="false" customHeight="false" outlineLevel="0" collapsed="false">
      <c r="A76" s="12" t="s">
        <v>44</v>
      </c>
      <c r="B76" s="2" t="s">
        <v>117</v>
      </c>
    </row>
    <row r="77" customFormat="false" ht="15" hidden="false" customHeight="false" outlineLevel="0" collapsed="false">
      <c r="A77" s="12" t="s">
        <v>46</v>
      </c>
      <c r="B77" s="2"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4" min="2" style="0" width="13"/>
  </cols>
  <sheetData>
    <row r="1" customFormat="false" ht="15" hidden="false" customHeight="false" outlineLevel="0" collapsed="false">
      <c r="A1" s="14" t="s">
        <v>119</v>
      </c>
    </row>
    <row r="2" customFormat="false" ht="15" hidden="false" customHeight="false" outlineLevel="0" collapsed="false">
      <c r="A2" s="2" t="s">
        <v>120</v>
      </c>
    </row>
    <row r="4" customFormat="false" ht="15" hidden="false" customHeight="false" outlineLevel="0" collapsed="false">
      <c r="A4" s="5" t="s">
        <v>121</v>
      </c>
      <c r="B4" s="6"/>
      <c r="C4" s="6"/>
      <c r="D4" s="6"/>
    </row>
    <row r="5" customFormat="false" ht="15" hidden="false" customHeight="false" outlineLevel="0" collapsed="false">
      <c r="A5" s="9" t="s">
        <v>30</v>
      </c>
      <c r="B5" s="9" t="s">
        <v>31</v>
      </c>
      <c r="C5" s="9" t="s">
        <v>32</v>
      </c>
      <c r="D5" s="9" t="s">
        <v>33</v>
      </c>
    </row>
    <row r="6" customFormat="false" ht="15" hidden="false" customHeight="false" outlineLevel="0" collapsed="false">
      <c r="A6" s="10" t="s">
        <v>34</v>
      </c>
      <c r="B6" s="11" t="n">
        <f aca="false">SUMIFS(Queries!$P:$P,Queries!$E:$E,1,Queries!$B:$B,256)/1000000</f>
        <v>2.0431209</v>
      </c>
      <c r="C6" s="11" t="n">
        <f aca="false">SUMIFS(Queries!$P:$P,Queries!$E:$E,1,Queries!$B:$B,1024)/1000000</f>
        <v>1.995868</v>
      </c>
      <c r="D6" s="11" t="n">
        <f aca="false">SUMIFS(Queries!$P:$P,Queries!$E:$E,1,Queries!$B:$B,16384)/1000000</f>
        <v>1.9816592</v>
      </c>
    </row>
    <row r="7" customFormat="false" ht="15" hidden="false" customHeight="false" outlineLevel="0" collapsed="false">
      <c r="A7" s="10" t="s">
        <v>35</v>
      </c>
      <c r="B7" s="11" t="n">
        <f aca="false">SUMIFS(Queries!$P:$P,Queries!$E:$E,2,Queries!$B:$B,256)/1000000</f>
        <v>2.0820331</v>
      </c>
      <c r="C7" s="11" t="n">
        <f aca="false">SUMIFS(Queries!$P:$P,Queries!$E:$E,2,Queries!$B:$B,1024)/1000000</f>
        <v>2.018588</v>
      </c>
      <c r="D7" s="11" t="n">
        <f aca="false">SUMIFS(Queries!$P:$P,Queries!$E:$E,2,Queries!$B:$B,16384)/1000000</f>
        <v>2.0298246</v>
      </c>
    </row>
    <row r="8" customFormat="false" ht="15" hidden="false" customHeight="false" outlineLevel="0" collapsed="false">
      <c r="A8" s="10" t="s">
        <v>36</v>
      </c>
      <c r="B8" s="11" t="n">
        <f aca="false">SUMIFS(Queries!$P:$P,Queries!$E:$E,3,Queries!$B:$B,256)/1000000</f>
        <v>1.5638792</v>
      </c>
      <c r="C8" s="11" t="n">
        <f aca="false">SUMIFS(Queries!$P:$P,Queries!$E:$E,3,Queries!$B:$B,1024)/1000000</f>
        <v>1.5761867</v>
      </c>
      <c r="D8" s="11" t="n">
        <f aca="false">SUMIFS(Queries!$P:$P,Queries!$E:$E,3,Queries!$B:$B,16384)/1000000</f>
        <v>1.5621399</v>
      </c>
    </row>
    <row r="9" customFormat="false" ht="15" hidden="false" customHeight="false" outlineLevel="0" collapsed="false">
      <c r="A9" s="10" t="s">
        <v>37</v>
      </c>
      <c r="B9" s="11" t="n">
        <f aca="false">SUMIFS(Queries!$P:$P,Queries!$E:$E,4,Queries!$B:$B,256)/1000000</f>
        <v>4.3223698</v>
      </c>
      <c r="C9" s="11" t="n">
        <f aca="false">SUMIFS(Queries!$P:$P,Queries!$E:$E,4,Queries!$B:$B,1024)/1000000</f>
        <v>4.2940337</v>
      </c>
      <c r="D9" s="11" t="n">
        <f aca="false">SUMIFS(Queries!$P:$P,Queries!$E:$E,4,Queries!$B:$B,16384)/1000000</f>
        <v>4.2075184</v>
      </c>
    </row>
    <row r="10" customFormat="false" ht="15" hidden="false" customHeight="false" outlineLevel="0" collapsed="false">
      <c r="A10" s="10" t="s">
        <v>38</v>
      </c>
      <c r="B10" s="11" t="n">
        <f aca="false">SUMIFS(Queries!$P:$P,Queries!$E:$E,5,Queries!$B:$B,256)/1000000</f>
        <v>1.2782632</v>
      </c>
      <c r="C10" s="11" t="n">
        <f aca="false">SUMIFS(Queries!$P:$P,Queries!$E:$E,5,Queries!$B:$B,1024)/1000000</f>
        <v>1.2357148</v>
      </c>
      <c r="D10" s="11" t="n">
        <f aca="false">SUMIFS(Queries!$P:$P,Queries!$E:$E,5,Queries!$B:$B,16384)/1000000</f>
        <v>1.2266942</v>
      </c>
    </row>
    <row r="11" customFormat="false" ht="15" hidden="false" customHeight="false" outlineLevel="0" collapsed="false">
      <c r="A11" s="10" t="s">
        <v>39</v>
      </c>
      <c r="B11" s="11" t="n">
        <f aca="false">SUMIFS(Queries!$P:$P,Queries!$E:$E,6,Queries!$B:$B,256)/1000000</f>
        <v>4.3264209</v>
      </c>
      <c r="C11" s="11" t="n">
        <f aca="false">SUMIFS(Queries!$P:$P,Queries!$E:$E,6,Queries!$B:$B,1024)/1000000</f>
        <v>4.2476573</v>
      </c>
      <c r="D11" s="11" t="n">
        <f aca="false">SUMIFS(Queries!$P:$P,Queries!$E:$E,6,Queries!$B:$B,16384)/1000000</f>
        <v>4.3242521</v>
      </c>
    </row>
    <row r="12" customFormat="false" ht="15" hidden="false" customHeight="false" outlineLevel="0" collapsed="false">
      <c r="A12" s="10" t="s">
        <v>40</v>
      </c>
      <c r="B12" s="11" t="n">
        <f aca="false">SUMIFS(Queries!$P:$P,Queries!$E:$E,7,Queries!$B:$B,256)/1000000</f>
        <v>1.3868589</v>
      </c>
      <c r="C12" s="11" t="n">
        <f aca="false">SUMIFS(Queries!$P:$P,Queries!$E:$E,7,Queries!$B:$B,1024)/1000000</f>
        <v>1.3457254</v>
      </c>
      <c r="D12" s="11" t="n">
        <f aca="false">SUMIFS(Queries!$P:$P,Queries!$E:$E,7,Queries!$B:$B,16384)/1000000</f>
        <v>1.3110546</v>
      </c>
    </row>
    <row r="13" customFormat="false" ht="15" hidden="false" customHeight="false" outlineLevel="0" collapsed="false">
      <c r="A13" s="10" t="s">
        <v>41</v>
      </c>
      <c r="B13" s="11" t="n">
        <f aca="false">SUMIFS(Queries!$P:$P,Queries!$E:$E,8,Queries!$B:$B,256)/1000000</f>
        <v>4.2804142</v>
      </c>
      <c r="C13" s="11" t="n">
        <f aca="false">SUMIFS(Queries!$P:$P,Queries!$E:$E,8,Queries!$B:$B,1024)/1000000</f>
        <v>4.3030908</v>
      </c>
      <c r="D13" s="11" t="n">
        <f aca="false">SUMIFS(Queries!$P:$P,Queries!$E:$E,8,Queries!$B:$B,16384)/1000000</f>
        <v>4.2052807</v>
      </c>
    </row>
    <row r="14" customFormat="false" ht="15" hidden="false" customHeight="false" outlineLevel="0" collapsed="false">
      <c r="A14" s="10" t="s">
        <v>42</v>
      </c>
      <c r="B14" s="11" t="n">
        <f aca="false">SUMIFS(Queries!$P:$P,Queries!$E:$E,9,Queries!$B:$B,256)/1000000</f>
        <v>1.3867689</v>
      </c>
      <c r="C14" s="11" t="n">
        <f aca="false">SUMIFS(Queries!$P:$P,Queries!$E:$E,9,Queries!$B:$B,1024)/1000000</f>
        <v>1.3839059</v>
      </c>
      <c r="D14" s="11" t="n">
        <f aca="false">SUMIFS(Queries!$P:$P,Queries!$E:$E,9,Queries!$B:$B,16384)/1000000</f>
        <v>1.35315</v>
      </c>
    </row>
    <row r="15" customFormat="false" ht="15" hidden="false" customHeight="false" outlineLevel="0" collapsed="false">
      <c r="A15" s="10" t="s">
        <v>43</v>
      </c>
      <c r="B15" s="11" t="n">
        <f aca="false">SUMIFS(Queries!$P:$P,Queries!$E:$E,10,Queries!$B:$B,256)/1000000</f>
        <v>4.2844429</v>
      </c>
      <c r="C15" s="11" t="n">
        <f aca="false">SUMIFS(Queries!$P:$P,Queries!$E:$E,10,Queries!$B:$B,1024)/1000000</f>
        <v>4.2892372</v>
      </c>
      <c r="D15" s="11" t="n">
        <f aca="false">SUMIFS(Queries!$P:$P,Queries!$E:$E,10,Queries!$B:$B,16384)/1000000</f>
        <v>4.1149884</v>
      </c>
    </row>
    <row r="38" customFormat="false" ht="15" hidden="false" customHeight="false" outlineLevel="0" collapsed="false">
      <c r="A38" s="12" t="s">
        <v>44</v>
      </c>
      <c r="B38" s="2" t="s">
        <v>122</v>
      </c>
    </row>
    <row r="39" customFormat="false" ht="15" hidden="false" customHeight="false" outlineLevel="0" collapsed="false">
      <c r="A39" s="12" t="s">
        <v>46</v>
      </c>
      <c r="B39" s="2" t="s">
        <v>123</v>
      </c>
    </row>
    <row r="41" customFormat="false" ht="15" hidden="false" customHeight="false" outlineLevel="0" collapsed="false">
      <c r="A41" s="5" t="s">
        <v>124</v>
      </c>
      <c r="B41" s="6"/>
      <c r="C41" s="6"/>
      <c r="D41" s="6"/>
    </row>
    <row r="42" customFormat="false" ht="15" hidden="false" customHeight="false" outlineLevel="0" collapsed="false">
      <c r="A42" s="2" t="s">
        <v>125</v>
      </c>
    </row>
    <row r="43" customFormat="false" ht="15" hidden="false" customHeight="false" outlineLevel="0" collapsed="false">
      <c r="A43" s="9" t="s">
        <v>30</v>
      </c>
      <c r="B43" s="9" t="s">
        <v>31</v>
      </c>
      <c r="C43" s="9" t="s">
        <v>32</v>
      </c>
      <c r="D43" s="9" t="s">
        <v>33</v>
      </c>
    </row>
    <row r="44" customFormat="false" ht="15" hidden="false" customHeight="false" outlineLevel="0" collapsed="false">
      <c r="A44" s="10" t="s">
        <v>34</v>
      </c>
      <c r="B44" s="15" t="n">
        <f aca="false">SUMIFS(Queries!$Q:$Q,Queries!$E:$E,1,Queries!$B:$B,256)</f>
        <v>57.207</v>
      </c>
      <c r="C44" s="15" t="n">
        <f aca="false">SUMIFS(Queries!$Q:$Q,Queries!$E:$E,1,Queries!$B:$B,1024)</f>
        <v>55.884</v>
      </c>
      <c r="D44" s="15" t="n">
        <f aca="false">SUMIFS(Queries!$Q:$Q,Queries!$E:$E,1,Queries!$B:$B,16384)</f>
        <v>55.486</v>
      </c>
    </row>
    <row r="45" customFormat="false" ht="15" hidden="false" customHeight="false" outlineLevel="0" collapsed="false">
      <c r="A45" s="10" t="s">
        <v>35</v>
      </c>
      <c r="B45" s="15" t="n">
        <f aca="false">SUMIFS(Queries!$Q:$Q,Queries!$E:$E,2,Queries!$B:$B,256)</f>
        <v>58.297</v>
      </c>
      <c r="C45" s="15" t="n">
        <f aca="false">SUMIFS(Queries!$Q:$Q,Queries!$E:$E,2,Queries!$B:$B,1024)</f>
        <v>56.52</v>
      </c>
      <c r="D45" s="15" t="n">
        <f aca="false">SUMIFS(Queries!$Q:$Q,Queries!$E:$E,2,Queries!$B:$B,16384)</f>
        <v>56.835</v>
      </c>
    </row>
    <row r="46" customFormat="false" ht="15" hidden="false" customHeight="false" outlineLevel="0" collapsed="false">
      <c r="A46" s="10" t="s">
        <v>36</v>
      </c>
      <c r="B46" s="15" t="n">
        <f aca="false">SUMIFS(Queries!$Q:$Q,Queries!$E:$E,3,Queries!$B:$B,256)</f>
        <v>43.789</v>
      </c>
      <c r="C46" s="15" t="n">
        <f aca="false">SUMIFS(Queries!$Q:$Q,Queries!$E:$E,3,Queries!$B:$B,1024)</f>
        <v>44.133</v>
      </c>
      <c r="D46" s="15" t="n">
        <f aca="false">SUMIFS(Queries!$Q:$Q,Queries!$E:$E,3,Queries!$B:$B,16384)</f>
        <v>43.74</v>
      </c>
    </row>
    <row r="47" customFormat="false" ht="15" hidden="false" customHeight="false" outlineLevel="0" collapsed="false">
      <c r="A47" s="10" t="s">
        <v>37</v>
      </c>
      <c r="B47" s="15" t="n">
        <f aca="false">SUMIFS(Queries!$Q:$Q,Queries!$E:$E,4,Queries!$B:$B,256)</f>
        <v>121.026</v>
      </c>
      <c r="C47" s="15" t="n">
        <f aca="false">SUMIFS(Queries!$Q:$Q,Queries!$E:$E,4,Queries!$B:$B,1024)</f>
        <v>120.233</v>
      </c>
      <c r="D47" s="15" t="n">
        <f aca="false">SUMIFS(Queries!$Q:$Q,Queries!$E:$E,4,Queries!$B:$B,16384)</f>
        <v>117.811</v>
      </c>
    </row>
    <row r="48" customFormat="false" ht="15" hidden="false" customHeight="false" outlineLevel="0" collapsed="false">
      <c r="A48" s="10" t="s">
        <v>38</v>
      </c>
      <c r="B48" s="15" t="n">
        <f aca="false">SUMIFS(Queries!$Q:$Q,Queries!$E:$E,5,Queries!$B:$B,256)</f>
        <v>35.791</v>
      </c>
      <c r="C48" s="15" t="n">
        <f aca="false">SUMIFS(Queries!$Q:$Q,Queries!$E:$E,5,Queries!$B:$B,1024)</f>
        <v>34.6</v>
      </c>
      <c r="D48" s="15" t="n">
        <f aca="false">SUMIFS(Queries!$Q:$Q,Queries!$E:$E,5,Queries!$B:$B,16384)</f>
        <v>34.347</v>
      </c>
    </row>
    <row r="49" customFormat="false" ht="15" hidden="false" customHeight="false" outlineLevel="0" collapsed="false">
      <c r="A49" s="10" t="s">
        <v>39</v>
      </c>
      <c r="B49" s="15" t="n">
        <f aca="false">SUMIFS(Queries!$Q:$Q,Queries!$E:$E,6,Queries!$B:$B,256)</f>
        <v>121.14</v>
      </c>
      <c r="C49" s="15" t="n">
        <f aca="false">SUMIFS(Queries!$Q:$Q,Queries!$E:$E,6,Queries!$B:$B,1024)</f>
        <v>118.934</v>
      </c>
      <c r="D49" s="15" t="n">
        <f aca="false">SUMIFS(Queries!$Q:$Q,Queries!$E:$E,6,Queries!$B:$B,16384)</f>
        <v>121.079</v>
      </c>
    </row>
    <row r="50" customFormat="false" ht="15" hidden="false" customHeight="false" outlineLevel="0" collapsed="false">
      <c r="A50" s="10" t="s">
        <v>40</v>
      </c>
      <c r="B50" s="15" t="n">
        <f aca="false">SUMIFS(Queries!$Q:$Q,Queries!$E:$E,7,Queries!$B:$B,256)</f>
        <v>38.832</v>
      </c>
      <c r="C50" s="15" t="n">
        <f aca="false">SUMIFS(Queries!$Q:$Q,Queries!$E:$E,7,Queries!$B:$B,1024)</f>
        <v>37.68</v>
      </c>
      <c r="D50" s="15" t="n">
        <f aca="false">SUMIFS(Queries!$Q:$Q,Queries!$E:$E,7,Queries!$B:$B,16384)</f>
        <v>36.71</v>
      </c>
    </row>
    <row r="51" customFormat="false" ht="15" hidden="false" customHeight="false" outlineLevel="0" collapsed="false">
      <c r="A51" s="10" t="s">
        <v>41</v>
      </c>
      <c r="B51" s="15" t="n">
        <f aca="false">SUMIFS(Queries!$Q:$Q,Queries!$E:$E,8,Queries!$B:$B,256)</f>
        <v>119.852</v>
      </c>
      <c r="C51" s="15" t="n">
        <f aca="false">SUMIFS(Queries!$Q:$Q,Queries!$E:$E,8,Queries!$B:$B,1024)</f>
        <v>120.487</v>
      </c>
      <c r="D51" s="15" t="n">
        <f aca="false">SUMIFS(Queries!$Q:$Q,Queries!$E:$E,8,Queries!$B:$B,16384)</f>
        <v>117.748</v>
      </c>
    </row>
    <row r="52" customFormat="false" ht="15" hidden="false" customHeight="false" outlineLevel="0" collapsed="false">
      <c r="A52" s="10" t="s">
        <v>42</v>
      </c>
      <c r="B52" s="15" t="n">
        <f aca="false">SUMIFS(Queries!$Q:$Q,Queries!$E:$E,9,Queries!$B:$B,256)</f>
        <v>38.83</v>
      </c>
      <c r="C52" s="15" t="n">
        <f aca="false">SUMIFS(Queries!$Q:$Q,Queries!$E:$E,9,Queries!$B:$B,1024)</f>
        <v>38.749</v>
      </c>
      <c r="D52" s="15" t="n">
        <f aca="false">SUMIFS(Queries!$Q:$Q,Queries!$E:$E,9,Queries!$B:$B,16384)</f>
        <v>37.888</v>
      </c>
    </row>
    <row r="53" customFormat="false" ht="15" hidden="false" customHeight="false" outlineLevel="0" collapsed="false">
      <c r="A53" s="10" t="s">
        <v>43</v>
      </c>
      <c r="B53" s="15" t="n">
        <f aca="false">SUMIFS(Queries!$Q:$Q,Queries!$E:$E,10,Queries!$B:$B,256)</f>
        <v>119.964</v>
      </c>
      <c r="C53" s="15" t="n">
        <f aca="false">SUMIFS(Queries!$Q:$Q,Queries!$E:$E,10,Queries!$B:$B,1024)</f>
        <v>120.099</v>
      </c>
      <c r="D53" s="15" t="n">
        <f aca="false">SUMIFS(Queries!$Q:$Q,Queries!$E:$E,10,Queries!$B:$B,16384)</f>
        <v>115.22</v>
      </c>
    </row>
    <row r="76" customFormat="false" ht="15" hidden="false" customHeight="false" outlineLevel="0" collapsed="false">
      <c r="A76" s="12" t="s">
        <v>44</v>
      </c>
      <c r="B76" s="2" t="s">
        <v>126</v>
      </c>
    </row>
    <row r="77" customFormat="false" ht="15" hidden="false" customHeight="false" outlineLevel="0" collapsed="false">
      <c r="A77" s="12" t="s">
        <v>46</v>
      </c>
      <c r="B77" s="2"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3"/>
  </cols>
  <sheetData>
    <row r="1" customFormat="false" ht="15" hidden="false" customHeight="false" outlineLevel="0" collapsed="false">
      <c r="A1" s="14" t="s">
        <v>128</v>
      </c>
    </row>
    <row r="2" customFormat="false" ht="15" hidden="false" customHeight="false" outlineLevel="0" collapsed="false">
      <c r="A2" s="2" t="s">
        <v>129</v>
      </c>
    </row>
    <row r="4" customFormat="false" ht="15" hidden="false" customHeight="false" outlineLevel="0" collapsed="false">
      <c r="A4" s="5" t="s">
        <v>130</v>
      </c>
      <c r="B4" s="6"/>
      <c r="C4" s="6"/>
      <c r="D4" s="6"/>
    </row>
    <row r="5" customFormat="false" ht="15" hidden="false" customHeight="false" outlineLevel="0" collapsed="false">
      <c r="A5" s="2" t="s">
        <v>131</v>
      </c>
    </row>
    <row r="6" customFormat="false" ht="15" hidden="false" customHeight="false" outlineLevel="0" collapsed="false">
      <c r="A6" s="9" t="s">
        <v>48</v>
      </c>
      <c r="B6" s="9" t="s">
        <v>31</v>
      </c>
      <c r="C6" s="9" t="s">
        <v>32</v>
      </c>
      <c r="D6" s="9" t="s">
        <v>33</v>
      </c>
    </row>
    <row r="7" customFormat="false" ht="15" hidden="false" customHeight="false" outlineLevel="0" collapsed="false">
      <c r="A7" s="10" t="s">
        <v>49</v>
      </c>
      <c r="B7" s="11" t="n">
        <f aca="false">SUMIFS(Stages!$D:$D,Stages!$C:$C,"write: CSV read + parse + sink (= normal query)",Stages!$B:$B,256)</f>
        <v>0</v>
      </c>
      <c r="C7" s="11" t="n">
        <f aca="false">SUMIFS(Stages!$D:$D,Stages!$C:$C,"write: CSV read + parse + sink (= normal query)",Stages!$B:$B,1024)</f>
        <v>0</v>
      </c>
      <c r="D7" s="11" t="n">
        <f aca="false">SUMIFS(Stages!$D:$D,Stages!$C:$C,"write: CSV read + parse + sink (= normal query)",Stages!$B:$B,16384)</f>
        <v>0</v>
      </c>
    </row>
    <row r="8" customFormat="false" ht="15" hidden="false" customHeight="false" outlineLevel="0" collapsed="false">
      <c r="A8" s="10" t="s">
        <v>50</v>
      </c>
      <c r="B8" s="11" t="n">
        <f aca="false">SUMIFS(Stages!$D:$D,Stages!$C:$C,"write: store write, no codec",Stages!$B:$B,256)</f>
        <v>0</v>
      </c>
      <c r="C8" s="11" t="n">
        <f aca="false">SUMIFS(Stages!$D:$D,Stages!$C:$C,"write: store write, no codec",Stages!$B:$B,1024)</f>
        <v>0</v>
      </c>
      <c r="D8" s="11" t="n">
        <f aca="false">SUMIFS(Stages!$D:$D,Stages!$C:$C,"write: store write, no codec",Stages!$B:$B,16384)</f>
        <v>0</v>
      </c>
    </row>
    <row r="9" customFormat="false" ht="15" hidden="false" customHeight="false" outlineLevel="0" collapsed="false">
      <c r="A9" s="10" t="s">
        <v>109</v>
      </c>
      <c r="B9" s="11" t="n">
        <f aca="false">SUMIFS(Stages!$D:$D,Stages!$C:$C,"write: + zstd encode",Stages!$B:$B,256)</f>
        <v>0</v>
      </c>
      <c r="C9" s="11" t="n">
        <f aca="false">SUMIFS(Stages!$D:$D,Stages!$C:$C,"write: + zstd encode",Stages!$B:$B,1024)</f>
        <v>0</v>
      </c>
      <c r="D9" s="11" t="n">
        <f aca="false">SUMIFS(Stages!$D:$D,Stages!$C:$C,"write: + zstd encode",Stages!$B:$B,16384)</f>
        <v>0</v>
      </c>
    </row>
    <row r="10" customFormat="false" ht="15" hidden="false" customHeight="false" outlineLevel="0" collapsed="false">
      <c r="A10" s="10" t="s">
        <v>107</v>
      </c>
      <c r="B10" s="11" t="n">
        <f aca="false">SUMIFS(Stages!$D:$D,Stages!$C:$C,"write: + bitpack encode",Stages!$B:$B,256)</f>
        <v>0</v>
      </c>
      <c r="C10" s="11" t="n">
        <f aca="false">SUMIFS(Stages!$D:$D,Stages!$C:$C,"write: + bitpack encode",Stages!$B:$B,1024)</f>
        <v>0</v>
      </c>
      <c r="D10" s="11" t="n">
        <f aca="false">SUMIFS(Stages!$D:$D,Stages!$C:$C,"write: + bitpack encode",Stages!$B:$B,16384)</f>
        <v>0</v>
      </c>
    </row>
    <row r="11" customFormat="false" ht="15" hidden="false" customHeight="false" outlineLevel="0" collapsed="false">
      <c r="A11" s="10" t="s">
        <v>108</v>
      </c>
      <c r="B11" s="11" t="n">
        <f aca="false">SUMIFS(Stages!$D:$D,Stages!$C:$C,"write: + quantise+bitpack+zstd",Stages!$B:$B,256)</f>
        <v>0</v>
      </c>
      <c r="C11" s="11" t="n">
        <f aca="false">SUMIFS(Stages!$D:$D,Stages!$C:$C,"write: + quantise+bitpack+zstd",Stages!$B:$B,1024)</f>
        <v>0</v>
      </c>
      <c r="D11" s="11" t="n">
        <f aca="false">SUMIFS(Stages!$D:$D,Stages!$C:$C,"write: + quantise+bitpack+zstd",Stages!$B:$B,16384)</f>
        <v>0</v>
      </c>
    </row>
    <row r="12" customFormat="false" ht="15" hidden="false" customHeight="false" outlineLevel="0" collapsed="false">
      <c r="A12" s="10" t="s">
        <v>51</v>
      </c>
      <c r="B12" s="11" t="n">
        <f aca="false">SUMIFS(Stages!$D:$D,Stages!$C:$C,"read: store read floor, no codec",Stages!$B:$B,256)</f>
        <v>0</v>
      </c>
      <c r="C12" s="11" t="n">
        <f aca="false">SUMIFS(Stages!$D:$D,Stages!$C:$C,"read: store read floor, no codec",Stages!$B:$B,1024)</f>
        <v>0</v>
      </c>
      <c r="D12" s="11" t="n">
        <f aca="false">SUMIFS(Stages!$D:$D,Stages!$C:$C,"read: store read floor, no codec",Stages!$B:$B,16384)</f>
        <v>0</v>
      </c>
    </row>
    <row r="13" customFormat="false" ht="15" hidden="false" customHeight="false" outlineLevel="0" collapsed="false">
      <c r="A13" s="10" t="s">
        <v>106</v>
      </c>
      <c r="B13" s="11" t="n">
        <f aca="false">SUMIFS(Stages!$D:$D,Stages!$C:$C,"read: + zstd decode",Stages!$B:$B,256)</f>
        <v>0</v>
      </c>
      <c r="C13" s="11" t="n">
        <f aca="false">SUMIFS(Stages!$D:$D,Stages!$C:$C,"read: + zstd decode",Stages!$B:$B,1024)</f>
        <v>0</v>
      </c>
      <c r="D13" s="11" t="n">
        <f aca="false">SUMIFS(Stages!$D:$D,Stages!$C:$C,"read: + zstd decode",Stages!$B:$B,16384)</f>
        <v>0</v>
      </c>
    </row>
    <row r="14" customFormat="false" ht="15" hidden="false" customHeight="false" outlineLevel="0" collapsed="false">
      <c r="A14" s="10" t="s">
        <v>104</v>
      </c>
      <c r="B14" s="11" t="n">
        <f aca="false">SUMIFS(Stages!$D:$D,Stages!$C:$C,"read: + bitpack decode",Stages!$B:$B,256)</f>
        <v>0</v>
      </c>
      <c r="C14" s="11" t="n">
        <f aca="false">SUMIFS(Stages!$D:$D,Stages!$C:$C,"read: + bitpack decode",Stages!$B:$B,1024)</f>
        <v>0</v>
      </c>
      <c r="D14" s="11" t="n">
        <f aca="false">SUMIFS(Stages!$D:$D,Stages!$C:$C,"read: + bitpack decode",Stages!$B:$B,16384)</f>
        <v>0</v>
      </c>
    </row>
    <row r="15" customFormat="false" ht="15" hidden="false" customHeight="false" outlineLevel="0" collapsed="false">
      <c r="A15" s="10" t="s">
        <v>105</v>
      </c>
      <c r="B15" s="11" t="n">
        <f aca="false">SUMIFS(Stages!$D:$D,Stages!$C:$C,"read: + full lossy decode",Stages!$B:$B,256)</f>
        <v>0</v>
      </c>
      <c r="C15" s="11" t="n">
        <f aca="false">SUMIFS(Stages!$D:$D,Stages!$C:$C,"read: + full lossy decode",Stages!$B:$B,1024)</f>
        <v>0</v>
      </c>
      <c r="D15" s="11" t="n">
        <f aca="false">SUMIFS(Stages!$D:$D,Stages!$C:$C,"read: + full lossy decode",Stages!$B:$B,16384)</f>
        <v>0</v>
      </c>
    </row>
    <row r="38" customFormat="false" ht="15" hidden="false" customHeight="false" outlineLevel="0" collapsed="false">
      <c r="A38" s="12" t="s">
        <v>44</v>
      </c>
      <c r="B38" s="2" t="s">
        <v>132</v>
      </c>
    </row>
    <row r="39" customFormat="false" ht="15" hidden="false" customHeight="false" outlineLevel="0" collapsed="false">
      <c r="A39" s="12" t="s">
        <v>46</v>
      </c>
      <c r="B39" s="2"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4" min="2" style="0" width="13"/>
  </cols>
  <sheetData>
    <row r="1" customFormat="false" ht="15" hidden="false" customHeight="false" outlineLevel="0" collapsed="false">
      <c r="A1" s="14" t="s">
        <v>134</v>
      </c>
    </row>
    <row r="2" customFormat="false" ht="15" hidden="false" customHeight="false" outlineLevel="0" collapsed="false">
      <c r="A2" s="7" t="s">
        <v>135</v>
      </c>
      <c r="B2" s="16"/>
      <c r="C2" s="16"/>
      <c r="D2" s="16"/>
    </row>
    <row r="4" customFormat="false" ht="15" hidden="false" customHeight="false" outlineLevel="0" collapsed="false">
      <c r="A4" s="5" t="s">
        <v>136</v>
      </c>
      <c r="B4" s="6"/>
      <c r="C4" s="6"/>
      <c r="D4" s="6"/>
    </row>
    <row r="5" customFormat="false" ht="15" hidden="false" customHeight="false" outlineLevel="0" collapsed="false">
      <c r="A5" s="9" t="s">
        <v>137</v>
      </c>
      <c r="B5" s="9" t="s">
        <v>31</v>
      </c>
      <c r="C5" s="9" t="s">
        <v>32</v>
      </c>
      <c r="D5" s="9" t="s">
        <v>33</v>
      </c>
    </row>
    <row r="6" customFormat="false" ht="15" hidden="false" customHeight="false" outlineLevel="0" collapsed="false">
      <c r="A6" s="10" t="s">
        <v>138</v>
      </c>
      <c r="B6" s="11" t="n">
        <f aca="false">SUMIFS(Queries!$H:$H,Queries!$E:$E,3,Queries!$B:$B,256)-SUMIFS(Queries!$H:$H,Queries!$E:$E,1,Queries!$B:$B,256)</f>
        <v>6.4045</v>
      </c>
      <c r="C6" s="11" t="n">
        <f aca="false">SUMIFS(Queries!$H:$H,Queries!$E:$E,3,Queries!$B:$B,1024)-SUMIFS(Queries!$H:$H,Queries!$E:$E,1,Queries!$B:$B,1024)</f>
        <v>5.6965</v>
      </c>
      <c r="D6" s="11" t="n">
        <f aca="false">SUMIFS(Queries!$H:$H,Queries!$E:$E,3,Queries!$B:$B,16384)-SUMIFS(Queries!$H:$H,Queries!$E:$E,1,Queries!$B:$B,16384)</f>
        <v>5.7867</v>
      </c>
    </row>
    <row r="7" customFormat="false" ht="15" hidden="false" customHeight="false" outlineLevel="0" collapsed="false">
      <c r="A7" s="10" t="s">
        <v>139</v>
      </c>
      <c r="B7" s="11" t="n">
        <f aca="false">SUMIFS(Queries!$H:$H,Queries!$E:$E,5,Queries!$B:$B,256)-SUMIFS(Queries!$H:$H,Queries!$E:$E,3,Queries!$B:$B,256)</f>
        <v>6.1008</v>
      </c>
      <c r="C7" s="11" t="n">
        <f aca="false">SUMIFS(Queries!$H:$H,Queries!$E:$E,5,Queries!$B:$B,1024)-SUMIFS(Queries!$H:$H,Queries!$E:$E,3,Queries!$B:$B,1024)</f>
        <v>7.46420000000001</v>
      </c>
      <c r="D7" s="11" t="n">
        <f aca="false">SUMIFS(Queries!$H:$H,Queries!$E:$E,5,Queries!$B:$B,16384)-SUMIFS(Queries!$H:$H,Queries!$E:$E,3,Queries!$B:$B,16384)</f>
        <v>7.4747</v>
      </c>
    </row>
    <row r="8" customFormat="false" ht="15" hidden="false" customHeight="false" outlineLevel="0" collapsed="false">
      <c r="A8" s="10" t="s">
        <v>140</v>
      </c>
      <c r="B8" s="11" t="n">
        <f aca="false">SUMIFS(Queries!$H:$H,Queries!$E:$E,7,Queries!$B:$B,256)-SUMIFS(Queries!$H:$H,Queries!$E:$E,3,Queries!$B:$B,256)</f>
        <v>3.4851</v>
      </c>
      <c r="C8" s="11" t="n">
        <f aca="false">SUMIFS(Queries!$H:$H,Queries!$E:$E,7,Queries!$B:$B,1024)-SUMIFS(Queries!$H:$H,Queries!$E:$E,3,Queries!$B:$B,1024)</f>
        <v>4.6394</v>
      </c>
      <c r="D8" s="11" t="n">
        <f aca="false">SUMIFS(Queries!$H:$H,Queries!$E:$E,7,Queries!$B:$B,16384)-SUMIFS(Queries!$H:$H,Queries!$E:$E,3,Queries!$B:$B,16384)</f>
        <v>5.2349</v>
      </c>
    </row>
    <row r="9" customFormat="false" ht="15" hidden="false" customHeight="false" outlineLevel="0" collapsed="false">
      <c r="A9" s="10" t="s">
        <v>141</v>
      </c>
      <c r="B9" s="11" t="n">
        <f aca="false">SUMIFS(Queries!$H:$H,Queries!$E:$E,9,Queries!$B:$B,256)-SUMIFS(Queries!$H:$H,Queries!$E:$E,3,Queries!$B:$B,256)</f>
        <v>3.4871</v>
      </c>
      <c r="C9" s="11" t="n">
        <f aca="false">SUMIFS(Queries!$H:$H,Queries!$E:$E,9,Queries!$B:$B,1024)-SUMIFS(Queries!$H:$H,Queries!$E:$E,3,Queries!$B:$B,1024)</f>
        <v>3.764</v>
      </c>
      <c r="D9" s="11" t="n">
        <f aca="false">SUMIFS(Queries!$H:$H,Queries!$E:$E,9,Queries!$B:$B,16384)-SUMIFS(Queries!$H:$H,Queries!$E:$E,3,Queries!$B:$B,16384)</f>
        <v>4.2217</v>
      </c>
    </row>
    <row r="10" customFormat="false" ht="15" hidden="false" customHeight="false" outlineLevel="0" collapsed="false">
      <c r="A10" s="10" t="s">
        <v>142</v>
      </c>
      <c r="B10" s="11" t="n">
        <f aca="false">SUMIFS(Queries!$H:$H,Queries!$E:$E,6,Queries!$B:$B,256)-SUMIFS(Queries!$H:$H,Queries!$E:$E,4,Queries!$B:$B,256)</f>
        <v>-0.00919999999999988</v>
      </c>
      <c r="C10" s="11" t="n">
        <f aca="false">SUMIFS(Queries!$H:$H,Queries!$E:$E,6,Queries!$B:$B,1024)-SUMIFS(Queries!$H:$H,Queries!$E:$E,4,Queries!$B:$B,1024)</f>
        <v>0.108599999999999</v>
      </c>
      <c r="D10" s="11" t="n">
        <f aca="false">SUMIFS(Queries!$H:$H,Queries!$E:$E,6,Queries!$B:$B,16384)-SUMIFS(Queries!$H:$H,Queries!$E:$E,4,Queries!$B:$B,16384)</f>
        <v>-0.274000000000001</v>
      </c>
    </row>
    <row r="11" customFormat="false" ht="15" hidden="false" customHeight="false" outlineLevel="0" collapsed="false">
      <c r="A11" s="10" t="s">
        <v>143</v>
      </c>
      <c r="B11" s="11" t="n">
        <f aca="false">SUMIFS(Queries!$H:$H,Queries!$E:$E,8,Queries!$B:$B,256)-SUMIFS(Queries!$H:$H,Queries!$E:$E,4,Queries!$B:$B,256)</f>
        <v>0.0968999999999998</v>
      </c>
      <c r="C11" s="11" t="n">
        <f aca="false">SUMIFS(Queries!$H:$H,Queries!$E:$E,8,Queries!$B:$B,1024)-SUMIFS(Queries!$H:$H,Queries!$E:$E,4,Queries!$B:$B,1024)</f>
        <v>-0.020900000000001</v>
      </c>
      <c r="D11" s="11" t="n">
        <f aca="false">SUMIFS(Queries!$H:$H,Queries!$E:$E,8,Queries!$B:$B,16384)-SUMIFS(Queries!$H:$H,Queries!$E:$E,4,Queries!$B:$B,16384)</f>
        <v>0.00539999999999985</v>
      </c>
    </row>
    <row r="12" customFormat="false" ht="15" hidden="false" customHeight="false" outlineLevel="0" collapsed="false">
      <c r="A12" s="10" t="s">
        <v>144</v>
      </c>
      <c r="B12" s="11" t="n">
        <f aca="false">SUMIFS(Queries!$H:$H,Queries!$E:$E,10,Queries!$B:$B,256)-SUMIFS(Queries!$H:$H,Queries!$E:$E,4,Queries!$B:$B,256)</f>
        <v>0.0875000000000004</v>
      </c>
      <c r="C12" s="11" t="n">
        <f aca="false">SUMIFS(Queries!$H:$H,Queries!$E:$E,10,Queries!$B:$B,1024)-SUMIFS(Queries!$H:$H,Queries!$E:$E,4,Queries!$B:$B,1024)</f>
        <v>0.011099999999999</v>
      </c>
      <c r="D12" s="11" t="n">
        <f aca="false">SUMIFS(Queries!$H:$H,Queries!$E:$E,10,Queries!$B:$B,16384)-SUMIFS(Queries!$H:$H,Queries!$E:$E,4,Queries!$B:$B,16384)</f>
        <v>0.228199999999999</v>
      </c>
    </row>
    <row r="35" customFormat="false" ht="15" hidden="false" customHeight="false" outlineLevel="0" collapsed="false">
      <c r="A35" s="12" t="s">
        <v>44</v>
      </c>
      <c r="B35" s="2" t="s">
        <v>145</v>
      </c>
    </row>
    <row r="36" customFormat="false" ht="15" hidden="false" customHeight="false" outlineLevel="0" collapsed="false">
      <c r="A36" s="12" t="s">
        <v>46</v>
      </c>
      <c r="B36" s="2"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4" min="2" style="0" width="16"/>
  </cols>
  <sheetData>
    <row r="1" customFormat="false" ht="15" hidden="false" customHeight="false" outlineLevel="0" collapsed="false">
      <c r="A1" s="14" t="s">
        <v>147</v>
      </c>
    </row>
    <row r="2" customFormat="false" ht="15" hidden="false" customHeight="false" outlineLevel="0" collapsed="false">
      <c r="A2" s="2" t="s">
        <v>148</v>
      </c>
    </row>
    <row r="4" customFormat="false" ht="15" hidden="false" customHeight="false" outlineLevel="0" collapsed="false">
      <c r="A4" s="5" t="s">
        <v>149</v>
      </c>
      <c r="B4" s="6"/>
      <c r="C4" s="6"/>
      <c r="D4" s="6"/>
    </row>
    <row r="5" customFormat="false" ht="15" hidden="false" customHeight="false" outlineLevel="0" collapsed="false">
      <c r="A5" s="9" t="s">
        <v>30</v>
      </c>
      <c r="B5" s="9" t="s">
        <v>31</v>
      </c>
      <c r="C5" s="9" t="s">
        <v>32</v>
      </c>
      <c r="D5" s="9" t="s">
        <v>33</v>
      </c>
    </row>
    <row r="6" customFormat="false" ht="15" hidden="false" customHeight="false" outlineLevel="0" collapsed="false">
      <c r="A6" s="10" t="s">
        <v>55</v>
      </c>
      <c r="B6" s="17" t="n">
        <f aca="false">SUMIFS(Queries!$S:$S,Queries!$E:$E,3,Queries!$B:$B,256)</f>
        <v>1195928436</v>
      </c>
      <c r="C6" s="17" t="n">
        <f aca="false">SUMIFS(Queries!$S:$S,Queries!$E:$E,3,Queries!$B:$B,1024)</f>
        <v>1195682676</v>
      </c>
      <c r="D6" s="17" t="n">
        <f aca="false">SUMIFS(Queries!$S:$S,Queries!$E:$E,3,Queries!$B:$B,16384)</f>
        <v>1195605876</v>
      </c>
    </row>
    <row r="7" customFormat="false" ht="15" hidden="false" customHeight="false" outlineLevel="0" collapsed="false">
      <c r="A7" s="10" t="s">
        <v>56</v>
      </c>
      <c r="B7" s="17" t="n">
        <f aca="false">SUMIFS(Queries!$S:$S,Queries!$E:$E,5,Queries!$B:$B,256)</f>
        <v>724616220</v>
      </c>
      <c r="C7" s="17" t="n">
        <f aca="false">SUMIFS(Queries!$S:$S,Queries!$E:$E,5,Queries!$B:$B,1024)</f>
        <v>723908636</v>
      </c>
      <c r="D7" s="17" t="n">
        <f aca="false">SUMIFS(Queries!$S:$S,Queries!$E:$E,5,Queries!$B:$B,16384)</f>
        <v>723748236</v>
      </c>
    </row>
    <row r="8" customFormat="false" ht="15" hidden="false" customHeight="false" outlineLevel="0" collapsed="false">
      <c r="A8" s="10" t="s">
        <v>57</v>
      </c>
      <c r="B8" s="17" t="n">
        <f aca="false">SUMIFS(Queries!$S:$S,Queries!$E:$E,7,Queries!$B:$B,256)</f>
        <v>643275922</v>
      </c>
      <c r="C8" s="17" t="n">
        <f aca="false">SUMIFS(Queries!$S:$S,Queries!$E:$E,7,Queries!$B:$B,1024)</f>
        <v>640065281</v>
      </c>
      <c r="D8" s="17" t="n">
        <f aca="false">SUMIFS(Queries!$S:$S,Queries!$E:$E,7,Queries!$B:$B,16384)</f>
        <v>651555712</v>
      </c>
    </row>
    <row r="9" customFormat="false" ht="15" hidden="false" customHeight="false" outlineLevel="0" collapsed="false">
      <c r="A9" s="10" t="s">
        <v>58</v>
      </c>
      <c r="B9" s="17" t="n">
        <f aca="false">SUMIFS(Queries!$S:$S,Queries!$E:$E,9,Queries!$B:$B,256)</f>
        <v>374923574</v>
      </c>
      <c r="C9" s="17" t="n">
        <f aca="false">SUMIFS(Queries!$S:$S,Queries!$E:$E,9,Queries!$B:$B,1024)</f>
        <v>385519644</v>
      </c>
      <c r="D9" s="17" t="n">
        <f aca="false">SUMIFS(Queries!$S:$S,Queries!$E:$E,9,Queries!$B:$B,16384)</f>
        <v>402276030</v>
      </c>
    </row>
    <row r="32" customFormat="false" ht="15" hidden="false" customHeight="false" outlineLevel="0" collapsed="false">
      <c r="A32" s="12" t="s">
        <v>44</v>
      </c>
      <c r="B32" s="2" t="s">
        <v>150</v>
      </c>
    </row>
    <row r="33" customFormat="false" ht="15" hidden="false" customHeight="false" outlineLevel="0" collapsed="false">
      <c r="A33" s="12" t="s">
        <v>46</v>
      </c>
      <c r="B33" s="2" t="s">
        <v>151</v>
      </c>
    </row>
    <row r="35" customFormat="false" ht="15" hidden="false" customHeight="false" outlineLevel="0" collapsed="false">
      <c r="A35" s="5" t="s">
        <v>152</v>
      </c>
      <c r="B35" s="6"/>
      <c r="C35" s="6"/>
      <c r="D35" s="6"/>
    </row>
    <row r="36" customFormat="false" ht="15" hidden="false" customHeight="false" outlineLevel="0" collapsed="false">
      <c r="A36" s="9" t="s">
        <v>30</v>
      </c>
      <c r="B36" s="9" t="s">
        <v>31</v>
      </c>
      <c r="C36" s="9" t="s">
        <v>32</v>
      </c>
      <c r="D36" s="9" t="s">
        <v>33</v>
      </c>
    </row>
    <row r="37" customFormat="false" ht="15" hidden="false" customHeight="false" outlineLevel="0" collapsed="false">
      <c r="A37" s="10" t="s">
        <v>55</v>
      </c>
      <c r="B37" s="13" t="n">
        <f aca="false">SUMIFS(Queries!$T:$T,Queries!$E:$E,3,Queries!$B:$B,256)</f>
        <v>0.9997</v>
      </c>
      <c r="C37" s="13" t="n">
        <f aca="false">SUMIFS(Queries!$T:$T,Queries!$E:$E,3,Queries!$B:$B,1024)</f>
        <v>0.9999</v>
      </c>
      <c r="D37" s="13" t="n">
        <f aca="false">SUMIFS(Queries!$T:$T,Queries!$E:$E,3,Queries!$B:$B,16384)</f>
        <v>1</v>
      </c>
    </row>
    <row r="38" customFormat="false" ht="15" hidden="false" customHeight="false" outlineLevel="0" collapsed="false">
      <c r="A38" s="10" t="s">
        <v>56</v>
      </c>
      <c r="B38" s="13" t="n">
        <f aca="false">SUMIFS(Queries!$T:$T,Queries!$E:$E,5,Queries!$B:$B,256)</f>
        <v>1.65</v>
      </c>
      <c r="C38" s="13" t="n">
        <f aca="false">SUMIFS(Queries!$T:$T,Queries!$E:$E,5,Queries!$B:$B,1024)</f>
        <v>1.6516</v>
      </c>
      <c r="D38" s="13" t="n">
        <f aca="false">SUMIFS(Queries!$T:$T,Queries!$E:$E,5,Queries!$B:$B,16384)</f>
        <v>1.652</v>
      </c>
    </row>
    <row r="39" customFormat="false" ht="15" hidden="false" customHeight="false" outlineLevel="0" collapsed="false">
      <c r="A39" s="10" t="s">
        <v>57</v>
      </c>
      <c r="B39" s="13" t="n">
        <f aca="false">SUMIFS(Queries!$T:$T,Queries!$E:$E,7,Queries!$B:$B,256)</f>
        <v>1.8586</v>
      </c>
      <c r="C39" s="13" t="n">
        <f aca="false">SUMIFS(Queries!$T:$T,Queries!$E:$E,7,Queries!$B:$B,1024)</f>
        <v>1.8679</v>
      </c>
      <c r="D39" s="13" t="n">
        <f aca="false">SUMIFS(Queries!$T:$T,Queries!$E:$E,7,Queries!$B:$B,16384)</f>
        <v>1.835</v>
      </c>
    </row>
    <row r="40" customFormat="false" ht="15" hidden="false" customHeight="false" outlineLevel="0" collapsed="false">
      <c r="A40" s="10" t="s">
        <v>58</v>
      </c>
      <c r="B40" s="13" t="n">
        <f aca="false">SUMIFS(Queries!$T:$T,Queries!$E:$E,9,Queries!$B:$B,256)</f>
        <v>3.1889</v>
      </c>
      <c r="C40" s="13" t="n">
        <f aca="false">SUMIFS(Queries!$T:$T,Queries!$E:$E,9,Queries!$B:$B,1024)</f>
        <v>3.1013</v>
      </c>
      <c r="D40" s="13" t="n">
        <f aca="false">SUMIFS(Queries!$T:$T,Queries!$E:$E,9,Queries!$B:$B,16384)</f>
        <v>2.9721</v>
      </c>
    </row>
    <row r="63" customFormat="false" ht="15" hidden="false" customHeight="false" outlineLevel="0" collapsed="false">
      <c r="A63" s="12" t="s">
        <v>44</v>
      </c>
      <c r="B63" s="2" t="s">
        <v>153</v>
      </c>
    </row>
    <row r="64" customFormat="false" ht="15" hidden="false" customHeight="false" outlineLevel="0" collapsed="false">
      <c r="A64" s="12" t="s">
        <v>46</v>
      </c>
      <c r="B64" s="2"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2026-10-07T22:02:14Z</dcterms:created>
  <dc:creator>openpyxl</dc:creator>
  <dc:description/>
  <dc:language>en-US</dc:language>
  <cp:lastModifiedBy/>
  <dcterms:modified xsi:type="dcterms:W3CDTF">2026-10-08T00:02:25Z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