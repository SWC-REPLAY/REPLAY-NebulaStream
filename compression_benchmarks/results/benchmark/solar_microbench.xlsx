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_rels/sheet7.xml.rels" ContentType="application/vnd.openxmlformats-package.relationships+xml"/>
  <Override PartName="/xl/worksheets/_rels/sheet6.xml.rels" ContentType="application/vnd.openxmlformats-package.relationships+xml"/>
  <Override PartName="/xl/worksheets/_rels/sheet5.xml.rels" ContentType="application/vnd.openxmlformats-package.relationships+xml"/>
  <Override PartName="/xl/worksheets/_rels/sheet4.xml.rels" ContentType="application/vnd.openxmlformats-package.relationships+xml"/>
  <Override PartName="/xl/worksheets/_rels/sheet2.xml.rels" ContentType="application/vnd.openxmlformats-package.relationship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xl/charts/chart1.xml" ContentType="application/vnd.openxmlformats-officedocument.drawingml.chart+xml"/>
  <Override PartName="/xl/charts/chart13.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drawings/_rels/drawing5.xml.rels" ContentType="application/vnd.openxmlformats-package.relationships+xml"/>
  <Override PartName="/xl/drawings/_rels/drawing2.xml.rels" ContentType="application/vnd.openxmlformats-package.relationships+xml"/>
  <Override PartName="/xl/drawings/_rels/drawing4.xml.rels" ContentType="application/vnd.openxmlformats-package.relationships+xml"/>
  <Override PartName="/xl/drawings/_rels/drawing1.xml.rels" ContentType="application/vnd.openxmlformats-package.relationships+xml"/>
  <Override PartName="/xl/drawings/_rels/drawing3.xml.rels" ContentType="application/vnd.openxmlformats-package.relationship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Me" sheetId="1" state="visible" r:id="rId2"/>
    <sheet name="Summary" sheetId="2" state="visible" r:id="rId3"/>
    <sheet name="Data" sheetId="3" state="visible" r:id="rId4"/>
    <sheet name="Totals" sheetId="4" state="visible" r:id="rId5"/>
    <sheet name="Write Path" sheetId="5" state="visible" r:id="rId6"/>
    <sheet name="Read Path" sheetId="6" state="visible" r:id="rId7"/>
    <sheet name="Throughput" sheetId="7" state="visible" r:id="rId8"/>
    <sheet name="Ranking" sheetId="8"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<sst xmlns="http://schemas.openxmlformats.org/spreadsheetml/2006/main" count="307" uniqueCount="156">
  <si>
    <t xml:space="preserve">LossyStore, measured directly — stage breakdown</t>
  </si>
  <si>
    <t xml:space="preserve">No SQL, no query engine, and the CSV parse outside every measurement.</t>
  </si>
  <si>
    <t xml:space="preserve">dataset</t>
  </si>
  <si>
    <t xml:space="preserve">debs_solar_panels, 42,700,000 rows x 28 B = 1,195,600,000 B stored</t>
  </si>
  <si>
    <t xml:space="preserve">store</t>
  </si>
  <si>
    <t xml:space="preserve">LossyStore, standalone, driven through its own API</t>
  </si>
  <si>
    <t xml:space="preserve">group sizes</t>
  </si>
  <si>
    <t xml:space="preserve">256 KB, 1024 KB, 4096 KB, 16384 KB</t>
  </si>
  <si>
    <t xml:space="preserve">accuracy bounds</t>
  </si>
  <si>
    <t xml:space="preserve">0.1%, 1%, 5%</t>
  </si>
  <si>
    <t xml:space="preserve">charts shown at</t>
  </si>
  <si>
    <t xml:space="preserve">1% (every bound is in the Data sheet)</t>
  </si>
  <si>
    <t xml:space="preserve">build</t>
  </si>
  <si>
    <t xml:space="preserve">Benchmark (-O3, NO_ASSERT) with -DNES_STORE_PROFILING=ON</t>
  </si>
  <si>
    <t xml:space="preserve">repeats</t>
  </si>
  <si>
    <t xml:space="preserve">N=3, fastest kept</t>
  </si>
  <si>
    <t xml:space="preserve">WHERE THESE NUMBERS COME FROM</t>
  </si>
  <si>
    <t xml:space="preserve">timers in the store</t>
  </si>
  <si>
    <t xml:space="preserve">StoreProfile.hpp, compiled in with -DNES_STORE_PROFILING=ON. The stages are timed inside LossyStore and ColumnCodec, on the real path.</t>
  </si>
  <si>
    <t xml:space="preserve">not a replica</t>
  </si>
  <si>
    <t xml:space="preserve">An earlier version of this benchmark called the codecs itself and reconstructed the stages. It agreed on the codecs and the order and was wrong about everything else: it put bitpacking at ~2.4 s where the real timer says 0.161, and it never saw serialization at all -- which turns out to be the largest stage on the write path.</t>
  </si>
  <si>
    <t xml:space="preserve">the CSV is separate</t>
  </si>
  <si>
    <t xml:space="preserve">Parsing 1.49 GB of CSV into packed rows is reported on its own line and is NOT in any store total. In the SQL benchmarks it is about three quarters of a write query.</t>
  </si>
  <si>
    <t xml:space="preserve">WHAT CANNOT BE SPLIT</t>
  </si>
  <si>
    <t xml:space="preserve">writeRecord is called once per row -- 42,700,000 times -- so two clock reads inside it would be ~2 s against a 5.8 s write: the timer would be a third of the measurement. Its cost (lock, preconditions, pending insert, timestamp min/max) is DERIVED as the write total minus sealGroup, and those four cannot be separated from each other. Everything else is at group or read-call granularity, where a timer is noise.</t>
  </si>
  <si>
    <t xml:space="preserve">--repeat 3 keeps the FASTEST repeat, not the median: a slow repeat is interference. The stage counters come from that same run, so wall clock and stages are consistent with one another.</t>
  </si>
  <si>
    <t xml:space="preserve">Summary</t>
  </si>
  <si>
    <t xml:space="preserve">Five charts, and what each settles.</t>
  </si>
  <si>
    <t xml:space="preserve">1. WHAT THE STORE COSTS</t>
  </si>
  <si>
    <t xml:space="preserve">Measurement</t>
  </si>
  <si>
    <t xml:space="preserve">256 KB</t>
  </si>
  <si>
    <t xml:space="preserve">1024 KB</t>
  </si>
  <si>
    <t xml:space="preserve">4096 KB</t>
  </si>
  <si>
    <t xml:space="preserve">16384 KB</t>
  </si>
  <si>
    <t xml:space="preserve">CSV parse — NOT the store</t>
  </si>
  <si>
    <t xml:space="preserve">store write</t>
  </si>
  <si>
    <t xml:space="preserve">store read</t>
  </si>
  <si>
    <t xml:space="preserve">WHAT THIS SHOWS</t>
  </si>
  <si>
    <t xml:space="preserve">The three wall-clock totals the stage charts below break down.</t>
  </si>
  <si>
    <t xml:space="preserve">WHAT TO LOOK FOR</t>
  </si>
  <si>
    <t xml:space="preserve">Parsing the CSV costs more than writing and reading the store together, and the store is flat across a 64x range of group sizes.</t>
  </si>
  <si>
    <t xml:space="preserve">2. WRITE PATH COMPOSITION</t>
  </si>
  <si>
    <t xml:space="preserve">Stage</t>
  </si>
  <si>
    <t xml:space="preserve">writeRecord overhead</t>
  </si>
  <si>
    <t xml:space="preserve">row -&gt; column</t>
  </si>
  <si>
    <t xml:space="preserve">quantization</t>
  </si>
  <si>
    <t xml:space="preserve">bitpacking</t>
  </si>
  <si>
    <t xml:space="preserve">compression</t>
  </si>
  <si>
    <t xml:space="preserve">header / serialize / index</t>
  </si>
  <si>
    <t xml:space="preserve">I/O: group to disk</t>
  </si>
  <si>
    <t xml:space="preserve">Where the store's write time goes.</t>
  </si>
  <si>
    <t xml:space="preserve">Serialization is the largest stage, ahead of quantisation, and bitpacking is nearly free. A benchmark that reconstructs the stages from outside the store cannot see any of that.</t>
  </si>
  <si>
    <t xml:space="preserve">3. READ PATH COMPOSITION</t>
  </si>
  <si>
    <t xml:space="preserve">file I/O</t>
  </si>
  <si>
    <t xml:space="preserve">decompression</t>
  </si>
  <si>
    <t xml:space="preserve">decoding</t>
  </si>
  <si>
    <t xml:space="preserve">column -&gt; row</t>
  </si>
  <si>
    <t xml:space="preserve">cursor/buffer management</t>
  </si>
  <si>
    <t xml:space="preserve">Where the store's read time goes.</t>
  </si>
  <si>
    <t xml:space="preserve">Decoding plus cursor bookkeeping. File I/O and decompression together are under 3% -- the read is not waiting on the disk or on zstd.</t>
  </si>
  <si>
    <t xml:space="preserve">4. WRITE SHARES  (%)</t>
  </si>
  <si>
    <t xml:space="preserve">The write composition normalised, so group sizes compare by shape.</t>
  </si>
  <si>
    <t xml:space="preserve">Per-group work should shrink as groups grow; per-row work should not. The chart separates the two without needing the totals.</t>
  </si>
  <si>
    <t xml:space="preserve">5. READ SHARES  (%)</t>
  </si>
  <si>
    <t xml:space="preserve">The read composition normalised.</t>
  </si>
  <si>
    <t xml:space="preserve">Cursor and buffer management is a large, flat share. It is paid once per read call and there are 292,467 of them, which is a property of the 4 KB destination buffer rather than of any codec.</t>
  </si>
  <si>
    <t xml:space="preserve">rows</t>
  </si>
  <si>
    <t xml:space="preserve">row_width_bytes</t>
  </si>
  <si>
    <t xml:space="preserve">stored_bytes</t>
  </si>
  <si>
    <t xml:space="preserve">group_kb</t>
  </si>
  <si>
    <t xml:space="preserve">bound_pct</t>
  </si>
  <si>
    <t xml:space="preserve">csv_s</t>
  </si>
  <si>
    <t xml:space="preserve">write_s</t>
  </si>
  <si>
    <t xml:space="preserve">read_s</t>
  </si>
  <si>
    <t xml:space="preserve">writerecord_overhead_s</t>
  </si>
  <si>
    <t xml:space="preserve">group_finalization_s</t>
  </si>
  <si>
    <t xml:space="preserve">transpose_out_s</t>
  </si>
  <si>
    <t xml:space="preserve">quantize_s</t>
  </si>
  <si>
    <t xml:space="preserve">bitpack_s</t>
  </si>
  <si>
    <t xml:space="preserve">compress_s</t>
  </si>
  <si>
    <t xml:space="preserve">serialize_s</t>
  </si>
  <si>
    <t xml:space="preserve">write_io_s</t>
  </si>
  <si>
    <t xml:space="preserve">read_io_s</t>
  </si>
  <si>
    <t xml:space="preserve">decompress_s</t>
  </si>
  <si>
    <t xml:space="preserve">decode_s</t>
  </si>
  <si>
    <t xml:space="preserve">transpose_in_s</t>
  </si>
  <si>
    <t xml:space="preserve">cursor_mgmt_s</t>
  </si>
  <si>
    <t xml:space="preserve">groups</t>
  </si>
  <si>
    <t xml:space="preserve">read_calls</t>
  </si>
  <si>
    <t xml:space="preserve">disk_bytes</t>
  </si>
  <si>
    <t xml:space="preserve">ratio</t>
  </si>
  <si>
    <t xml:space="preserve">rank_decide_s</t>
  </si>
  <si>
    <t xml:space="preserve">rank_fixed_bytes</t>
  </si>
  <si>
    <t xml:space="preserve">rank_ranked_bytes</t>
  </si>
  <si>
    <t xml:space="preserve">debs_solar_panels</t>
  </si>
  <si>
    <t xml:space="preserve">Totals — what the store costs, end to end</t>
  </si>
  <si>
    <t xml:space="preserve">The store driven through its own API: open, writeRecord per row, flush, then read back into 4 KB buffers until exhausted. The Write Path and Read Path sheets break these same numbers into stages.</t>
  </si>
  <si>
    <t xml:space="preserve">SECONDS  (bound 1%)</t>
  </si>
  <si>
    <t xml:space="preserve">The CSV row is the cost of turning 1.49 GB of text into packed rows. It is reported here because it dwarfs both store numbers, and because in the SQL benchmarks it is about three quarters of a write query -- but it is NOT part of either store total.</t>
  </si>
  <si>
    <t xml:space="preserve">The three wall-clock totals at each group size: parsing the input, writing it into the store, and replaying it all back out.</t>
  </si>
  <si>
    <t xml:space="preserve">Parsing the CSV costs more than writing AND reading the store put together. The store itself is flat across a 64x range of group sizes -- nothing on either path is sensitive to how much data it batches at once.</t>
  </si>
  <si>
    <t xml:space="preserve">MB PER SECOND  (bound 1%)</t>
  </si>
  <si>
    <t xml:space="preserve">The same three totals as rates, over 1,195,600,000 stored bytes. For the CSV row that denominator is the packed output, not the 1,489,260,482 B of text it was parsed from -- so every row here divides the same number and the three are directly comparable.</t>
  </si>
  <si>
    <t xml:space="preserve">Stored bytes divided by each of the three totals.</t>
  </si>
  <si>
    <t xml:space="preserve">The store writes at about 200 MB/s and reads at about 330, against roughly 160 MB/s to parse the CSV that feeds it. Reading is the fastest of the three and parsing the slowest, which is the whole argument for the replay tier: getting rows back out of the store is twice as fast as getting them out of the file they came from.</t>
  </si>
  <si>
    <t xml:space="preserve">ACROSS ACCURACY BOUNDS  (group 256 KB)</t>
  </si>
  <si>
    <t xml:space="preserve">The same two totals against the accuracy bound, with the group size held fixed.</t>
  </si>
  <si>
    <t xml:space="preserve">0.1%</t>
  </si>
  <si>
    <t xml:space="preserve">1%</t>
  </si>
  <si>
    <t xml:space="preserve">5%</t>
  </si>
  <si>
    <t xml:space="preserve">Write and read against the accuracy bound.</t>
  </si>
  <si>
    <t xml:space="preserve">A looser bound stores fewer bytes but does not take less time to do it: the quantiser does the same work whatever grid it maps onto. Time is bought by the codec CHOICE, not by the bound.</t>
  </si>
  <si>
    <t xml:space="preserve">WHAT CAME OUT  (bound 1%)</t>
  </si>
  <si>
    <t xml:space="preserve">bytes on disk</t>
  </si>
  <si>
    <t xml:space="preserve">compression ratio</t>
  </si>
  <si>
    <t xml:space="preserve">groups sealed</t>
  </si>
  <si>
    <t xml:space="preserve">read calls</t>
  </si>
  <si>
    <t xml:space="preserve">The bytes the store produced, and the shape of the work: how many groups it sealed and how many read calls the replay took.</t>
  </si>
  <si>
    <t xml:space="preserve">The ratio is identical to the SQL benchmark's for the same configuration, which is the check that this is measuring the same store doing the same thing. Groups fall 64x across the sweep while read calls do not move at all -- a read call is one 4 KB destination buffer, and the group size has nothing to do with it.</t>
  </si>
  <si>
    <t xml:space="preserve">Write path — where the store's seconds go  (bound 1%)</t>
  </si>
  <si>
    <t xml:space="preserve">Stages in execution order. They sum to the write total by construction: serialization is what is left of sealGroup after the others, and writeRecord overhead is what is left of the write after sealGroup.</t>
  </si>
  <si>
    <t xml:space="preserve">SECONDS PER STAGE</t>
  </si>
  <si>
    <t xml:space="preserve">Each bar is one group size, split into the stages that make it up. Bar height is the store's whole write time.</t>
  </si>
  <si>
    <t xml:space="preserve">Serialization -- building the group header, laying out the columns, updating the index -- is the largest single stage, larger than quantisation. It was entirely invisible to the replica version of this benchmark. Bitpacking is small: quantisation costs about seven times more than packing its output.</t>
  </si>
  <si>
    <t xml:space="preserve">AS A SHARE OF THE WRITE  (%)</t>
  </si>
  <si>
    <t xml:space="preserve">The same stages normalised, so the shape can be compared between group sizes rather than the totals.</t>
  </si>
  <si>
    <t xml:space="preserve">Each stage as a percentage of the store's write time, at each group size.</t>
  </si>
  <si>
    <t xml:space="preserve">A stage whose share moves with group size is sensitive to how much data it sees at once; a flat one is per-row work wearing a different hat. Compare the transpose (per row, so flat) against serialization (per group, so it should fall as groups get larger).</t>
  </si>
  <si>
    <t xml:space="preserve">Read path — replaying everything back out  (bound 1%)</t>
  </si>
  <si>
    <t xml:space="preserve">No CSV anywhere on this path. Cursor/buffer management is what is left of the read after the four measured stages.</t>
  </si>
  <si>
    <t xml:space="preserve">Each bar is one group size, split into the stages of a full replay.</t>
  </si>
  <si>
    <t xml:space="preserve">File I/O is almost nothing -- the store file is in the page cache, so it reads at multiple GB/s. The read is decoding plus cursor and buffer bookkeeping, and that second term is the price of a 4 KB destination buffer: it is paid once per read call, and there are 292,467 of them.</t>
  </si>
  <si>
    <t xml:space="preserve">AS A SHARE OF THE READ  (%)</t>
  </si>
  <si>
    <t xml:space="preserve">The same stages as percentages of the read.</t>
  </si>
  <si>
    <t xml:space="preserve">Decoding dominates and does not shrink with a larger group, because it is per value. Decompression stays tiny: zstd is kept only where it helped, so most groups have nothing to inflate.</t>
  </si>
  <si>
    <t xml:space="preserve">Throughput — the paths and the stages that move bytes  (bound 1%)</t>
  </si>
  <si>
    <t xml:space="preserve">Over 1,195,600,000 stored bytes. Stages that transform rather than move bytes (quantisation, bitpacking) are left out: a MB/s figure for them would divide by a byte count that is not what they produced.</t>
  </si>
  <si>
    <t xml:space="preserve">MB PER SECOND</t>
  </si>
  <si>
    <t xml:space="preserve">CSV parse (not the store)</t>
  </si>
  <si>
    <t xml:space="preserve">write I/O</t>
  </si>
  <si>
    <t xml:space="preserve">read I/O</t>
  </si>
  <si>
    <t xml:space="preserve">Stored bytes divided by the time each phase took.</t>
  </si>
  <si>
    <t xml:space="preserve">The two transposes run at ~2 GB/s and the two I/O lines far faster still, since nothing reaches the disk. The CSV parse is the slowest thing on the chart by a wide margin, and it is the only line here that is not the store.</t>
  </si>
  <si>
    <t xml:space="preserve">Would codec ranking pay?</t>
  </si>
  <si>
    <t xml:space="preserve">LossyStore picks a codec once per column by a fixed type-only rule. The statistics-driven ranking path is in the tree, tested, and not wired in. LossyStore.cpp:326-332 says the tradeoff 'is exactly what the benchmarks decide'. These are the numbers.</t>
  </si>
  <si>
    <t xml:space="preserve">value</t>
  </si>
  <si>
    <t xml:space="preserve">bytes today, fixed type-only rule</t>
  </si>
  <si>
    <t xml:space="preserve">bytes if ranked</t>
  </si>
  <si>
    <t xml:space="preserve">saving</t>
  </si>
  <si>
    <t xml:space="preserve">saving, per cent</t>
  </si>
  <si>
    <t xml:space="preserve">cost of deciding (computeStats + rank)</t>
  </si>
  <si>
    <t xml:space="preserve">store write today</t>
  </si>
  <si>
    <t xml:space="preserve">store read today</t>
  </si>
  <si>
    <t xml:space="preserve">deciding, as a share of a write</t>
  </si>
  <si>
    <t xml:space="preserve">Measured at a 256 KB group and a 1% bound. Ranking is independent of both, so it was run once.</t>
  </si>
  <si>
    <t xml:space="preserve">A 15.75% saving on the integer columns for a cost larger than the entire store write. Nearly all of it is computeStats; filterCandidates and rank are free. On these numbers the fixed rule is the right choice, and the question the source comment left open is answered. Note the saving applies to the integer columns only, which are about four fifths of the file.</t>
  </si>
</sst>
</file>

<file path=xl/styles.xml><?xml version="1.0" encoding="utf-8"?>
<styleSheet xmlns="http://schemas.openxmlformats.org/spreadsheetml/2006/main">
  <numFmts count="5">
    <numFmt numFmtId="164" formatCode="General"/>
    <numFmt numFmtId="165" formatCode="0.000"/>
    <numFmt numFmtId="166" formatCode="0.0"/>
    <numFmt numFmtId="167" formatCode="#,##0"/>
    <numFmt numFmtId="168" formatCode="0.00"/>
  </numFmts>
  <fonts count="16">
    <font>
      <sz val="11"/>
      <color rgb="FF000000"/>
      <name val="Calibri"/>
      <family val="2"/>
      <charset val="1"/>
    </font>
    <font>
      <sz val="10"/>
      <name val="Arial"/>
      <family val="0"/>
    </font>
    <font>
      <sz val="10"/>
      <name val="Arial"/>
      <family val="0"/>
    </font>
    <font>
      <sz val="10"/>
      <name val="Arial"/>
      <family val="0"/>
    </font>
    <font>
      <b val="true"/>
      <sz val="16"/>
      <name val="Arial"/>
      <family val="0"/>
      <charset val="1"/>
    </font>
    <font>
      <i val="true"/>
      <sz val="11"/>
      <color rgb="FF7F7F7F"/>
      <name val="Arial"/>
      <family val="0"/>
      <charset val="1"/>
    </font>
    <font>
      <b val="true"/>
      <sz val="11"/>
      <name val="Arial"/>
      <family val="0"/>
      <charset val="1"/>
    </font>
    <font>
      <sz val="11"/>
      <color rgb="FF000000"/>
      <name val="Arial"/>
      <family val="0"/>
      <charset val="1"/>
    </font>
    <font>
      <sz val="11"/>
      <name val="Arial"/>
      <family val="0"/>
      <charset val="1"/>
    </font>
    <font>
      <b val="true"/>
      <sz val="11"/>
      <color rgb="FFFFFFFF"/>
      <name val="Arial"/>
      <family val="0"/>
      <charset val="1"/>
    </font>
    <font>
      <sz val="11"/>
      <color rgb="FF008000"/>
      <name val="Arial"/>
      <family val="0"/>
      <charset val="1"/>
    </font>
    <font>
      <b val="true"/>
      <sz val="9"/>
      <name val="Arial"/>
      <family val="0"/>
      <charset val="1"/>
    </font>
    <font>
      <b val="true"/>
      <sz val="18"/>
      <color rgb="FF000000"/>
      <name val="Calibri"/>
      <family val="2"/>
    </font>
    <font>
      <sz val="10"/>
      <color rgb="FF000000"/>
      <name val="Calibri"/>
      <family val="2"/>
    </font>
    <font>
      <b val="true"/>
      <sz val="10"/>
      <color rgb="FF000000"/>
      <name val="Calibri"/>
      <family val="2"/>
    </font>
    <font>
      <b val="true"/>
      <sz val="14"/>
      <name val="Arial"/>
      <family val="0"/>
      <charset val="1"/>
    </font>
  </fonts>
  <fills count="5">
    <fill>
      <patternFill patternType="none"/>
    </fill>
    <fill>
      <patternFill patternType="gray125"/>
    </fill>
    <fill>
      <patternFill patternType="solid">
        <fgColor rgb="FFD9E2F3"/>
        <bgColor rgb="FFD9D9D9"/>
      </patternFill>
    </fill>
    <fill>
      <patternFill patternType="solid">
        <fgColor rgb="FFFFF2CC"/>
        <bgColor rgb="FFFFFFFF"/>
      </patternFill>
    </fill>
    <fill>
      <patternFill patternType="solid">
        <fgColor rgb="FF2F5496"/>
        <bgColor rgb="FF4672A8"/>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false" indent="0" shrinkToFit="false"/>
      <protection locked="true" hidden="false"/>
    </xf>
    <xf numFmtId="164" fontId="6" fillId="2" borderId="0" xfId="0" applyFont="tru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6" fillId="3" borderId="0" xfId="0" applyFont="true" applyBorder="false" applyAlignment="false" applyProtection="false">
      <alignment horizontal="general" vertical="bottom" textRotation="0" wrapText="false" indent="0" shrinkToFit="false"/>
      <protection locked="true" hidden="false"/>
    </xf>
    <xf numFmtId="164" fontId="8" fillId="3" borderId="0" xfId="0" applyFont="true" applyBorder="false" applyAlignment="false" applyProtection="false">
      <alignment horizontal="general" vertical="bottom" textRotation="0" wrapText="false" indent="0" shrinkToFit="false"/>
      <protection locked="true" hidden="false"/>
    </xf>
    <xf numFmtId="164" fontId="9" fillId="4" borderId="0" xfId="0" applyFont="true" applyBorder="false" applyAlignment="true" applyProtection="false">
      <alignment horizontal="center" vertical="bottom"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5" fontId="10"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6" fontId="10" fillId="0" borderId="0" xfId="0" applyFont="true" applyBorder="false" applyAlignment="false" applyProtection="false">
      <alignment horizontal="general" vertical="bottom" textRotation="0" wrapText="fals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xf numFmtId="167" fontId="10"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7" fontId="8" fillId="0" borderId="0" xfId="0" applyFont="true" applyBorder="false" applyAlignment="false" applyProtection="false">
      <alignment horizontal="general" vertical="bottom" textRotation="0" wrapText="false" indent="0" shrinkToFit="false"/>
      <protection locked="true" hidden="false"/>
    </xf>
    <xf numFmtId="168" fontId="8" fillId="0" borderId="0" xfId="0" applyFont="true" applyBorder="false" applyAlignment="false" applyProtection="false">
      <alignment horizontal="general" vertical="bottom" textRotation="0" wrapText="false" indent="0" shrinkToFit="false"/>
      <protection locked="true" hidden="false"/>
    </xf>
    <xf numFmtId="165" fontId="8" fillId="0" borderId="0" xfId="0" applyFont="true" applyBorder="false" applyAlignment="false" applyProtection="false">
      <alignment horizontal="general" vertical="bottom" textRotation="0" wrapText="false" indent="0" shrinkToFit="false"/>
      <protection locked="true" hidden="false"/>
    </xf>
    <xf numFmtId="166" fontId="8"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AA64F"/>
      <rgbColor rgb="FF800080"/>
      <rgbColor rgb="FF4F81BD"/>
      <rgbColor rgb="FFC0C0C0"/>
      <rgbColor rgb="FF7F7F7F"/>
      <rgbColor rgb="FF93A9CE"/>
      <rgbColor rgb="FFAB4744"/>
      <rgbColor rgb="FFFFF2CC"/>
      <rgbColor rgb="FFD9E2F3"/>
      <rgbColor rgb="FF660066"/>
      <rgbColor rgb="FFDC853E"/>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8064A2"/>
      <rgbColor rgb="FFFFCC99"/>
      <rgbColor rgb="FF4672A8"/>
      <rgbColor rgb="FF4BACC6"/>
      <rgbColor rgb="FF9BBB59"/>
      <rgbColor rgb="FFFFCC00"/>
      <rgbColor rgb="FFFF9900"/>
      <rgbColor rgb="FFFF6600"/>
      <rgbColor rgb="FF725990"/>
      <rgbColor rgb="FF878787"/>
      <rgbColor rgb="FF003366"/>
      <rgbColor rgb="FF4299B0"/>
      <rgbColor rgb="FF003300"/>
      <rgbColor rgb="FF333300"/>
      <rgbColor rgb="FF993300"/>
      <rgbColor rgb="FFC0504D"/>
      <rgbColor rgb="FF2F5496"/>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worksheet" Target="worksheets/sheet7.xml"/><Relationship Id="rId9" Type="http://schemas.openxmlformats.org/officeDocument/2006/relationships/worksheet" Target="worksheets/sheet8.xml"/><Relationship Id="rId10"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Store cost in seconds</a:t>
            </a:r>
          </a:p>
        </c:rich>
      </c:tx>
      <c:overlay val="0"/>
      <c:spPr>
        <a:noFill/>
        <a:ln w="0">
          <a:noFill/>
        </a:ln>
      </c:spPr>
    </c:title>
    <c:autoTitleDeleted val="0"/>
    <c:plotArea>
      <c:barChart>
        <c:barDir val="col"/>
        <c:grouping val="clustered"/>
        <c:varyColors val="0"/>
        <c:ser>
          <c:idx val="0"/>
          <c:order val="0"/>
          <c:tx>
            <c:strRef>
              <c:f>Summary!A6</c:f>
              <c:strCache>
                <c:ptCount val="1"/>
                <c:pt idx="0">
                  <c:v>CSV parse — NOT the store</c:v>
                </c:pt>
              </c:strCache>
            </c:strRef>
          </c:tx>
          <c:spPr>
            <a:solidFill>
              <a:srgbClr val="4f81b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Summary!$B$5:$E$5</c:f>
              <c:strCache>
                <c:ptCount val="4"/>
                <c:pt idx="0">
                  <c:v>256 KB</c:v>
                </c:pt>
                <c:pt idx="1">
                  <c:v>1024 KB</c:v>
                </c:pt>
                <c:pt idx="2">
                  <c:v>4096 KB</c:v>
                </c:pt>
                <c:pt idx="3">
                  <c:v>16384 KB</c:v>
                </c:pt>
              </c:strCache>
            </c:strRef>
          </c:cat>
          <c:val>
            <c:numRef>
              <c:f>Summary!$B$6:$E$6</c:f>
              <c:numCache>
                <c:formatCode>General</c:formatCode>
                <c:ptCount val="4"/>
                <c:pt idx="0">
                  <c:v>7.51851</c:v>
                </c:pt>
                <c:pt idx="1">
                  <c:v>7.40829</c:v>
                </c:pt>
                <c:pt idx="2">
                  <c:v>7.49298</c:v>
                </c:pt>
                <c:pt idx="3">
                  <c:v>7.6243</c:v>
                </c:pt>
              </c:numCache>
            </c:numRef>
          </c:val>
        </c:ser>
        <c:ser>
          <c:idx val="1"/>
          <c:order val="1"/>
          <c:tx>
            <c:strRef>
              <c:f>Summary!A7</c:f>
              <c:strCache>
                <c:ptCount val="1"/>
                <c:pt idx="0">
                  <c:v>store write</c:v>
                </c:pt>
              </c:strCache>
            </c:strRef>
          </c:tx>
          <c:spPr>
            <a:solidFill>
              <a:srgbClr val="c0504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Summary!$B$5:$E$5</c:f>
              <c:strCache>
                <c:ptCount val="4"/>
                <c:pt idx="0">
                  <c:v>256 KB</c:v>
                </c:pt>
                <c:pt idx="1">
                  <c:v>1024 KB</c:v>
                </c:pt>
                <c:pt idx="2">
                  <c:v>4096 KB</c:v>
                </c:pt>
                <c:pt idx="3">
                  <c:v>16384 KB</c:v>
                </c:pt>
              </c:strCache>
            </c:strRef>
          </c:cat>
          <c:val>
            <c:numRef>
              <c:f>Summary!$B$7:$E$7</c:f>
              <c:numCache>
                <c:formatCode>General</c:formatCode>
                <c:ptCount val="4"/>
                <c:pt idx="0">
                  <c:v>6.02062</c:v>
                </c:pt>
                <c:pt idx="1">
                  <c:v>5.79751</c:v>
                </c:pt>
                <c:pt idx="2">
                  <c:v>6.18093</c:v>
                </c:pt>
                <c:pt idx="3">
                  <c:v>6.47535</c:v>
                </c:pt>
              </c:numCache>
            </c:numRef>
          </c:val>
        </c:ser>
        <c:ser>
          <c:idx val="2"/>
          <c:order val="2"/>
          <c:tx>
            <c:strRef>
              <c:f>Summary!A8</c:f>
              <c:strCache>
                <c:ptCount val="1"/>
                <c:pt idx="0">
                  <c:v>store read</c:v>
                </c:pt>
              </c:strCache>
            </c:strRef>
          </c:tx>
          <c:spPr>
            <a:solidFill>
              <a:srgbClr val="9bbb59"/>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Summary!$B$5:$E$5</c:f>
              <c:strCache>
                <c:ptCount val="4"/>
                <c:pt idx="0">
                  <c:v>256 KB</c:v>
                </c:pt>
                <c:pt idx="1">
                  <c:v>1024 KB</c:v>
                </c:pt>
                <c:pt idx="2">
                  <c:v>4096 KB</c:v>
                </c:pt>
                <c:pt idx="3">
                  <c:v>16384 KB</c:v>
                </c:pt>
              </c:strCache>
            </c:strRef>
          </c:cat>
          <c:val>
            <c:numRef>
              <c:f>Summary!$B$8:$E$8</c:f>
              <c:numCache>
                <c:formatCode>General</c:formatCode>
                <c:ptCount val="4"/>
                <c:pt idx="0">
                  <c:v>3.64248</c:v>
                </c:pt>
                <c:pt idx="1">
                  <c:v>3.55094</c:v>
                </c:pt>
                <c:pt idx="2">
                  <c:v>4.10058</c:v>
                </c:pt>
                <c:pt idx="3">
                  <c:v>4.33874</c:v>
                </c:pt>
              </c:numCache>
            </c:numRef>
          </c:val>
        </c:ser>
        <c:gapWidth val="60"/>
        <c:overlap val="0"/>
        <c:axId val="30196158"/>
        <c:axId val="74861758"/>
      </c:barChart>
      <c:catAx>
        <c:axId val="30196158"/>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group size (KB)</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74861758"/>
        <c:crosses val="autoZero"/>
        <c:auto val="1"/>
        <c:lblAlgn val="ctr"/>
        <c:lblOffset val="100"/>
        <c:noMultiLvlLbl val="0"/>
      </c:catAx>
      <c:valAx>
        <c:axId val="74861758"/>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seconds</a:t>
                </a:r>
              </a:p>
            </c:rich>
          </c:tx>
          <c:overlay val="0"/>
          <c:spPr>
            <a:noFill/>
            <a:ln w="0">
              <a:noFill/>
            </a:ln>
          </c:spPr>
        </c:title>
        <c:numFmt formatCode="0.0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30196158"/>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Write path composition</a:t>
            </a:r>
          </a:p>
        </c:rich>
      </c:tx>
      <c:overlay val="0"/>
      <c:spPr>
        <a:noFill/>
        <a:ln w="0">
          <a:noFill/>
        </a:ln>
      </c:spPr>
    </c:title>
    <c:autoTitleDeleted val="0"/>
    <c:plotArea>
      <c:barChart>
        <c:barDir val="col"/>
        <c:grouping val="stacked"/>
        <c:varyColors val="0"/>
        <c:ser>
          <c:idx val="0"/>
          <c:order val="0"/>
          <c:tx>
            <c:strRef>
              <c:f>Summary!A39</c:f>
              <c:strCache>
                <c:ptCount val="1"/>
                <c:pt idx="0">
                  <c:v>writeRecord overhead</c:v>
                </c:pt>
              </c:strCache>
            </c:strRef>
          </c:tx>
          <c:spPr>
            <a:solidFill>
              <a:srgbClr val="4672a8"/>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Summary!$B$38:$E$38</c:f>
              <c:strCache>
                <c:ptCount val="4"/>
                <c:pt idx="0">
                  <c:v>256 KB</c:v>
                </c:pt>
                <c:pt idx="1">
                  <c:v>1024 KB</c:v>
                </c:pt>
                <c:pt idx="2">
                  <c:v>4096 KB</c:v>
                </c:pt>
                <c:pt idx="3">
                  <c:v>16384 KB</c:v>
                </c:pt>
              </c:strCache>
            </c:strRef>
          </c:cat>
          <c:val>
            <c:numRef>
              <c:f>Summary!$B$39:$E$39</c:f>
              <c:numCache>
                <c:formatCode>General</c:formatCode>
                <c:ptCount val="4"/>
                <c:pt idx="0">
                  <c:v>0.948878</c:v>
                </c:pt>
                <c:pt idx="1">
                  <c:v>0.926175</c:v>
                </c:pt>
                <c:pt idx="2">
                  <c:v>0.976294</c:v>
                </c:pt>
                <c:pt idx="3">
                  <c:v>0.954946</c:v>
                </c:pt>
              </c:numCache>
            </c:numRef>
          </c:val>
        </c:ser>
        <c:ser>
          <c:idx val="1"/>
          <c:order val="1"/>
          <c:tx>
            <c:strRef>
              <c:f>Summary!A40</c:f>
              <c:strCache>
                <c:ptCount val="1"/>
                <c:pt idx="0">
                  <c:v>row -&gt; column</c:v>
                </c:pt>
              </c:strCache>
            </c:strRef>
          </c:tx>
          <c:spPr>
            <a:solidFill>
              <a:srgbClr val="ab4744"/>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Summary!$B$38:$E$38</c:f>
              <c:strCache>
                <c:ptCount val="4"/>
                <c:pt idx="0">
                  <c:v>256 KB</c:v>
                </c:pt>
                <c:pt idx="1">
                  <c:v>1024 KB</c:v>
                </c:pt>
                <c:pt idx="2">
                  <c:v>4096 KB</c:v>
                </c:pt>
                <c:pt idx="3">
                  <c:v>16384 KB</c:v>
                </c:pt>
              </c:strCache>
            </c:strRef>
          </c:cat>
          <c:val>
            <c:numRef>
              <c:f>Summary!$B$40:$E$40</c:f>
              <c:numCache>
                <c:formatCode>General</c:formatCode>
                <c:ptCount val="4"/>
                <c:pt idx="0">
                  <c:v>0.641167</c:v>
                </c:pt>
                <c:pt idx="1">
                  <c:v>0.598639</c:v>
                </c:pt>
                <c:pt idx="2">
                  <c:v>0.69376</c:v>
                </c:pt>
                <c:pt idx="3">
                  <c:v>0.619168</c:v>
                </c:pt>
              </c:numCache>
            </c:numRef>
          </c:val>
        </c:ser>
        <c:ser>
          <c:idx val="2"/>
          <c:order val="2"/>
          <c:tx>
            <c:strRef>
              <c:f>Summary!A41</c:f>
              <c:strCache>
                <c:ptCount val="1"/>
                <c:pt idx="0">
                  <c:v>quantization</c:v>
                </c:pt>
              </c:strCache>
            </c:strRef>
          </c:tx>
          <c:spPr>
            <a:solidFill>
              <a:srgbClr val="8aa64f"/>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Summary!$B$38:$E$38</c:f>
              <c:strCache>
                <c:ptCount val="4"/>
                <c:pt idx="0">
                  <c:v>256 KB</c:v>
                </c:pt>
                <c:pt idx="1">
                  <c:v>1024 KB</c:v>
                </c:pt>
                <c:pt idx="2">
                  <c:v>4096 KB</c:v>
                </c:pt>
                <c:pt idx="3">
                  <c:v>16384 KB</c:v>
                </c:pt>
              </c:strCache>
            </c:strRef>
          </c:cat>
          <c:val>
            <c:numRef>
              <c:f>Summary!$B$41:$E$41</c:f>
              <c:numCache>
                <c:formatCode>General</c:formatCode>
                <c:ptCount val="4"/>
                <c:pt idx="0">
                  <c:v>1.22852</c:v>
                </c:pt>
                <c:pt idx="1">
                  <c:v>1.2014</c:v>
                </c:pt>
                <c:pt idx="2">
                  <c:v>1.2841</c:v>
                </c:pt>
                <c:pt idx="3">
                  <c:v>1.29334</c:v>
                </c:pt>
              </c:numCache>
            </c:numRef>
          </c:val>
        </c:ser>
        <c:ser>
          <c:idx val="3"/>
          <c:order val="3"/>
          <c:tx>
            <c:strRef>
              <c:f>Summary!A42</c:f>
              <c:strCache>
                <c:ptCount val="1"/>
                <c:pt idx="0">
                  <c:v>bitpacking</c:v>
                </c:pt>
              </c:strCache>
            </c:strRef>
          </c:tx>
          <c:spPr>
            <a:solidFill>
              <a:srgbClr val="725990"/>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Summary!$B$38:$E$38</c:f>
              <c:strCache>
                <c:ptCount val="4"/>
                <c:pt idx="0">
                  <c:v>256 KB</c:v>
                </c:pt>
                <c:pt idx="1">
                  <c:v>1024 KB</c:v>
                </c:pt>
                <c:pt idx="2">
                  <c:v>4096 KB</c:v>
                </c:pt>
                <c:pt idx="3">
                  <c:v>16384 KB</c:v>
                </c:pt>
              </c:strCache>
            </c:strRef>
          </c:cat>
          <c:val>
            <c:numRef>
              <c:f>Summary!$B$42:$E$42</c:f>
              <c:numCache>
                <c:formatCode>General</c:formatCode>
                <c:ptCount val="4"/>
                <c:pt idx="0">
                  <c:v>0.16133</c:v>
                </c:pt>
                <c:pt idx="1">
                  <c:v>0.159474</c:v>
                </c:pt>
                <c:pt idx="2">
                  <c:v>0.168748</c:v>
                </c:pt>
                <c:pt idx="3">
                  <c:v>0.164432</c:v>
                </c:pt>
              </c:numCache>
            </c:numRef>
          </c:val>
        </c:ser>
        <c:ser>
          <c:idx val="4"/>
          <c:order val="4"/>
          <c:tx>
            <c:strRef>
              <c:f>Summary!A43</c:f>
              <c:strCache>
                <c:ptCount val="1"/>
                <c:pt idx="0">
                  <c:v>compression</c:v>
                </c:pt>
              </c:strCache>
            </c:strRef>
          </c:tx>
          <c:spPr>
            <a:solidFill>
              <a:srgbClr val="4299b0"/>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Summary!$B$38:$E$38</c:f>
              <c:strCache>
                <c:ptCount val="4"/>
                <c:pt idx="0">
                  <c:v>256 KB</c:v>
                </c:pt>
                <c:pt idx="1">
                  <c:v>1024 KB</c:v>
                </c:pt>
                <c:pt idx="2">
                  <c:v>4096 KB</c:v>
                </c:pt>
                <c:pt idx="3">
                  <c:v>16384 KB</c:v>
                </c:pt>
              </c:strCache>
            </c:strRef>
          </c:cat>
          <c:val>
            <c:numRef>
              <c:f>Summary!$B$43:$E$43</c:f>
              <c:numCache>
                <c:formatCode>General</c:formatCode>
                <c:ptCount val="4"/>
                <c:pt idx="0">
                  <c:v>0.425254</c:v>
                </c:pt>
                <c:pt idx="1">
                  <c:v>0.320366</c:v>
                </c:pt>
                <c:pt idx="2">
                  <c:v>0.283518</c:v>
                </c:pt>
                <c:pt idx="3">
                  <c:v>0.617215</c:v>
                </c:pt>
              </c:numCache>
            </c:numRef>
          </c:val>
        </c:ser>
        <c:ser>
          <c:idx val="5"/>
          <c:order val="5"/>
          <c:tx>
            <c:strRef>
              <c:f>Summary!A44</c:f>
              <c:strCache>
                <c:ptCount val="1"/>
                <c:pt idx="0">
                  <c:v>header / serialize / index</c:v>
                </c:pt>
              </c:strCache>
            </c:strRef>
          </c:tx>
          <c:spPr>
            <a:solidFill>
              <a:srgbClr val="dc853e"/>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Summary!$B$38:$E$38</c:f>
              <c:strCache>
                <c:ptCount val="4"/>
                <c:pt idx="0">
                  <c:v>256 KB</c:v>
                </c:pt>
                <c:pt idx="1">
                  <c:v>1024 KB</c:v>
                </c:pt>
                <c:pt idx="2">
                  <c:v>4096 KB</c:v>
                </c:pt>
                <c:pt idx="3">
                  <c:v>16384 KB</c:v>
                </c:pt>
              </c:strCache>
            </c:strRef>
          </c:cat>
          <c:val>
            <c:numRef>
              <c:f>Summary!$B$44:$E$44</c:f>
              <c:numCache>
                <c:formatCode>General</c:formatCode>
                <c:ptCount val="4"/>
                <c:pt idx="0">
                  <c:v>2.35128</c:v>
                </c:pt>
                <c:pt idx="1">
                  <c:v>2.33991</c:v>
                </c:pt>
                <c:pt idx="2">
                  <c:v>2.49403</c:v>
                </c:pt>
                <c:pt idx="3">
                  <c:v>2.57645</c:v>
                </c:pt>
              </c:numCache>
            </c:numRef>
          </c:val>
        </c:ser>
        <c:ser>
          <c:idx val="6"/>
          <c:order val="6"/>
          <c:tx>
            <c:strRef>
              <c:f>Summary!A45</c:f>
              <c:strCache>
                <c:ptCount val="1"/>
                <c:pt idx="0">
                  <c:v>I/O: group to disk</c:v>
                </c:pt>
              </c:strCache>
            </c:strRef>
          </c:tx>
          <c:spPr>
            <a:solidFill>
              <a:srgbClr val="93a9ce"/>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Summary!$B$38:$E$38</c:f>
              <c:strCache>
                <c:ptCount val="4"/>
                <c:pt idx="0">
                  <c:v>256 KB</c:v>
                </c:pt>
                <c:pt idx="1">
                  <c:v>1024 KB</c:v>
                </c:pt>
                <c:pt idx="2">
                  <c:v>4096 KB</c:v>
                </c:pt>
                <c:pt idx="3">
                  <c:v>16384 KB</c:v>
                </c:pt>
              </c:strCache>
            </c:strRef>
          </c:cat>
          <c:val>
            <c:numRef>
              <c:f>Summary!$B$45:$E$45</c:f>
              <c:numCache>
                <c:formatCode>General</c:formatCode>
                <c:ptCount val="4"/>
                <c:pt idx="0">
                  <c:v>0.264191</c:v>
                </c:pt>
                <c:pt idx="1">
                  <c:v>0.251556</c:v>
                </c:pt>
                <c:pt idx="2">
                  <c:v>0.28047</c:v>
                </c:pt>
                <c:pt idx="3">
                  <c:v>0.2498</c:v>
                </c:pt>
              </c:numCache>
            </c:numRef>
          </c:val>
        </c:ser>
        <c:gapWidth val="60"/>
        <c:overlap val="100"/>
        <c:axId val="75944707"/>
        <c:axId val="898659"/>
      </c:barChart>
      <c:catAx>
        <c:axId val="75944707"/>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group size (KB)</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898659"/>
        <c:crosses val="autoZero"/>
        <c:auto val="1"/>
        <c:lblAlgn val="ctr"/>
        <c:lblOffset val="100"/>
        <c:noMultiLvlLbl val="0"/>
      </c:catAx>
      <c:valAx>
        <c:axId val="898659"/>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seconds</a:t>
                </a:r>
              </a:p>
            </c:rich>
          </c:tx>
          <c:overlay val="0"/>
          <c:spPr>
            <a:noFill/>
            <a:ln w="0">
              <a:noFill/>
            </a:ln>
          </c:spPr>
        </c:title>
        <c:numFmt formatCode="0.0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75944707"/>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Read path composition</a:t>
            </a:r>
          </a:p>
        </c:rich>
      </c:tx>
      <c:overlay val="0"/>
      <c:spPr>
        <a:noFill/>
        <a:ln w="0">
          <a:noFill/>
        </a:ln>
      </c:spPr>
    </c:title>
    <c:autoTitleDeleted val="0"/>
    <c:plotArea>
      <c:barChart>
        <c:barDir val="col"/>
        <c:grouping val="stacked"/>
        <c:varyColors val="0"/>
        <c:ser>
          <c:idx val="0"/>
          <c:order val="0"/>
          <c:tx>
            <c:strRef>
              <c:f>Summary!A76</c:f>
              <c:strCache>
                <c:ptCount val="1"/>
                <c:pt idx="0">
                  <c:v>file I/O</c:v>
                </c:pt>
              </c:strCache>
            </c:strRef>
          </c:tx>
          <c:spPr>
            <a:solidFill>
              <a:srgbClr val="4f81b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Summary!$B$75:$E$75</c:f>
              <c:strCache>
                <c:ptCount val="4"/>
                <c:pt idx="0">
                  <c:v>256 KB</c:v>
                </c:pt>
                <c:pt idx="1">
                  <c:v>1024 KB</c:v>
                </c:pt>
                <c:pt idx="2">
                  <c:v>4096 KB</c:v>
                </c:pt>
                <c:pt idx="3">
                  <c:v>16384 KB</c:v>
                </c:pt>
              </c:strCache>
            </c:strRef>
          </c:cat>
          <c:val>
            <c:numRef>
              <c:f>Summary!$B$76:$E$76</c:f>
              <c:numCache>
                <c:formatCode>General</c:formatCode>
                <c:ptCount val="4"/>
                <c:pt idx="0">
                  <c:v>0.0425326</c:v>
                </c:pt>
                <c:pt idx="1">
                  <c:v>0.0366151</c:v>
                </c:pt>
                <c:pt idx="2">
                  <c:v>0.0410518</c:v>
                </c:pt>
                <c:pt idx="3">
                  <c:v>0.0685541</c:v>
                </c:pt>
              </c:numCache>
            </c:numRef>
          </c:val>
        </c:ser>
        <c:ser>
          <c:idx val="1"/>
          <c:order val="1"/>
          <c:tx>
            <c:strRef>
              <c:f>Summary!A77</c:f>
              <c:strCache>
                <c:ptCount val="1"/>
                <c:pt idx="0">
                  <c:v>decompression</c:v>
                </c:pt>
              </c:strCache>
            </c:strRef>
          </c:tx>
          <c:spPr>
            <a:solidFill>
              <a:srgbClr val="c0504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Summary!$B$75:$E$75</c:f>
              <c:strCache>
                <c:ptCount val="4"/>
                <c:pt idx="0">
                  <c:v>256 KB</c:v>
                </c:pt>
                <c:pt idx="1">
                  <c:v>1024 KB</c:v>
                </c:pt>
                <c:pt idx="2">
                  <c:v>4096 KB</c:v>
                </c:pt>
                <c:pt idx="3">
                  <c:v>16384 KB</c:v>
                </c:pt>
              </c:strCache>
            </c:strRef>
          </c:cat>
          <c:val>
            <c:numRef>
              <c:f>Summary!$B$77:$E$77</c:f>
              <c:numCache>
                <c:formatCode>General</c:formatCode>
                <c:ptCount val="4"/>
                <c:pt idx="0">
                  <c:v>0.0503619</c:v>
                </c:pt>
                <c:pt idx="1">
                  <c:v>0.0521807</c:v>
                </c:pt>
                <c:pt idx="2">
                  <c:v>0.0606564</c:v>
                </c:pt>
                <c:pt idx="3">
                  <c:v>0.278391</c:v>
                </c:pt>
              </c:numCache>
            </c:numRef>
          </c:val>
        </c:ser>
        <c:ser>
          <c:idx val="2"/>
          <c:order val="2"/>
          <c:tx>
            <c:strRef>
              <c:f>Summary!A78</c:f>
              <c:strCache>
                <c:ptCount val="1"/>
                <c:pt idx="0">
                  <c:v>decoding</c:v>
                </c:pt>
              </c:strCache>
            </c:strRef>
          </c:tx>
          <c:spPr>
            <a:solidFill>
              <a:srgbClr val="9bbb59"/>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Summary!$B$75:$E$75</c:f>
              <c:strCache>
                <c:ptCount val="4"/>
                <c:pt idx="0">
                  <c:v>256 KB</c:v>
                </c:pt>
                <c:pt idx="1">
                  <c:v>1024 KB</c:v>
                </c:pt>
                <c:pt idx="2">
                  <c:v>4096 KB</c:v>
                </c:pt>
                <c:pt idx="3">
                  <c:v>16384 KB</c:v>
                </c:pt>
              </c:strCache>
            </c:strRef>
          </c:cat>
          <c:val>
            <c:numRef>
              <c:f>Summary!$B$78:$E$78</c:f>
              <c:numCache>
                <c:formatCode>General</c:formatCode>
                <c:ptCount val="4"/>
                <c:pt idx="0">
                  <c:v>1.83643</c:v>
                </c:pt>
                <c:pt idx="1">
                  <c:v>1.80201</c:v>
                </c:pt>
                <c:pt idx="2">
                  <c:v>1.97269</c:v>
                </c:pt>
                <c:pt idx="3">
                  <c:v>1.98123</c:v>
                </c:pt>
              </c:numCache>
            </c:numRef>
          </c:val>
        </c:ser>
        <c:ser>
          <c:idx val="3"/>
          <c:order val="3"/>
          <c:tx>
            <c:strRef>
              <c:f>Summary!A79</c:f>
              <c:strCache>
                <c:ptCount val="1"/>
                <c:pt idx="0">
                  <c:v>column -&gt; row</c:v>
                </c:pt>
              </c:strCache>
            </c:strRef>
          </c:tx>
          <c:spPr>
            <a:solidFill>
              <a:srgbClr val="8064a2"/>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Summary!$B$75:$E$75</c:f>
              <c:strCache>
                <c:ptCount val="4"/>
                <c:pt idx="0">
                  <c:v>256 KB</c:v>
                </c:pt>
                <c:pt idx="1">
                  <c:v>1024 KB</c:v>
                </c:pt>
                <c:pt idx="2">
                  <c:v>4096 KB</c:v>
                </c:pt>
                <c:pt idx="3">
                  <c:v>16384 KB</c:v>
                </c:pt>
              </c:strCache>
            </c:strRef>
          </c:cat>
          <c:val>
            <c:numRef>
              <c:f>Summary!$B$79:$E$79</c:f>
              <c:numCache>
                <c:formatCode>General</c:formatCode>
                <c:ptCount val="4"/>
                <c:pt idx="0">
                  <c:v>0.591834</c:v>
                </c:pt>
                <c:pt idx="1">
                  <c:v>0.556759</c:v>
                </c:pt>
                <c:pt idx="2">
                  <c:v>0.695804</c:v>
                </c:pt>
                <c:pt idx="3">
                  <c:v>0.673944</c:v>
                </c:pt>
              </c:numCache>
            </c:numRef>
          </c:val>
        </c:ser>
        <c:ser>
          <c:idx val="4"/>
          <c:order val="4"/>
          <c:tx>
            <c:strRef>
              <c:f>Summary!A80</c:f>
              <c:strCache>
                <c:ptCount val="1"/>
                <c:pt idx="0">
                  <c:v>cursor/buffer management</c:v>
                </c:pt>
              </c:strCache>
            </c:strRef>
          </c:tx>
          <c:spPr>
            <a:solidFill>
              <a:srgbClr val="4bacc6"/>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Summary!$B$75:$E$75</c:f>
              <c:strCache>
                <c:ptCount val="4"/>
                <c:pt idx="0">
                  <c:v>256 KB</c:v>
                </c:pt>
                <c:pt idx="1">
                  <c:v>1024 KB</c:v>
                </c:pt>
                <c:pt idx="2">
                  <c:v>4096 KB</c:v>
                </c:pt>
                <c:pt idx="3">
                  <c:v>16384 KB</c:v>
                </c:pt>
              </c:strCache>
            </c:strRef>
          </c:cat>
          <c:val>
            <c:numRef>
              <c:f>Summary!$B$80:$E$80</c:f>
              <c:numCache>
                <c:formatCode>General</c:formatCode>
                <c:ptCount val="4"/>
                <c:pt idx="0">
                  <c:v>1.12132</c:v>
                </c:pt>
                <c:pt idx="1">
                  <c:v>1.10338</c:v>
                </c:pt>
                <c:pt idx="2">
                  <c:v>1.33038</c:v>
                </c:pt>
                <c:pt idx="3">
                  <c:v>1.33662</c:v>
                </c:pt>
              </c:numCache>
            </c:numRef>
          </c:val>
        </c:ser>
        <c:gapWidth val="60"/>
        <c:overlap val="100"/>
        <c:axId val="73251479"/>
        <c:axId val="26565488"/>
      </c:barChart>
      <c:catAx>
        <c:axId val="73251479"/>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group size (KB)</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6565488"/>
        <c:crosses val="autoZero"/>
        <c:auto val="1"/>
        <c:lblAlgn val="ctr"/>
        <c:lblOffset val="100"/>
        <c:noMultiLvlLbl val="0"/>
      </c:catAx>
      <c:valAx>
        <c:axId val="26565488"/>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seconds</a:t>
                </a:r>
              </a:p>
            </c:rich>
          </c:tx>
          <c:overlay val="0"/>
          <c:spPr>
            <a:noFill/>
            <a:ln w="0">
              <a:noFill/>
            </a:ln>
          </c:spPr>
        </c:title>
        <c:numFmt formatCode="0.0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73251479"/>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Write stage shares</a:t>
            </a:r>
          </a:p>
        </c:rich>
      </c:tx>
      <c:overlay val="0"/>
      <c:spPr>
        <a:noFill/>
        <a:ln w="0">
          <a:noFill/>
        </a:ln>
      </c:spPr>
    </c:title>
    <c:autoTitleDeleted val="0"/>
    <c:plotArea>
      <c:barChart>
        <c:barDir val="col"/>
        <c:grouping val="clustered"/>
        <c:varyColors val="0"/>
        <c:ser>
          <c:idx val="0"/>
          <c:order val="0"/>
          <c:tx>
            <c:strRef>
              <c:f>Summary!A111</c:f>
              <c:strCache>
                <c:ptCount val="1"/>
                <c:pt idx="0">
                  <c:v>writeRecord overhead</c:v>
                </c:pt>
              </c:strCache>
            </c:strRef>
          </c:tx>
          <c:spPr>
            <a:solidFill>
              <a:srgbClr val="4672a8"/>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Summary!$B$110:$E$110</c:f>
              <c:strCache>
                <c:ptCount val="4"/>
                <c:pt idx="0">
                  <c:v>256 KB</c:v>
                </c:pt>
                <c:pt idx="1">
                  <c:v>1024 KB</c:v>
                </c:pt>
                <c:pt idx="2">
                  <c:v>4096 KB</c:v>
                </c:pt>
                <c:pt idx="3">
                  <c:v>16384 KB</c:v>
                </c:pt>
              </c:strCache>
            </c:strRef>
          </c:cat>
          <c:val>
            <c:numRef>
              <c:f>Summary!$B$111:$E$111</c:f>
              <c:numCache>
                <c:formatCode>General</c:formatCode>
                <c:ptCount val="4"/>
                <c:pt idx="0">
                  <c:v>15.7604698519422</c:v>
                </c:pt>
                <c:pt idx="1">
                  <c:v>15.9753928841865</c:v>
                </c:pt>
                <c:pt idx="2">
                  <c:v>15.7952605837633</c:v>
                </c:pt>
                <c:pt idx="3">
                  <c:v>14.7474036152486</c:v>
                </c:pt>
              </c:numCache>
            </c:numRef>
          </c:val>
        </c:ser>
        <c:ser>
          <c:idx val="1"/>
          <c:order val="1"/>
          <c:tx>
            <c:strRef>
              <c:f>Summary!A112</c:f>
              <c:strCache>
                <c:ptCount val="1"/>
                <c:pt idx="0">
                  <c:v>row -&gt; column</c:v>
                </c:pt>
              </c:strCache>
            </c:strRef>
          </c:tx>
          <c:spPr>
            <a:solidFill>
              <a:srgbClr val="ab4744"/>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Summary!$B$110:$E$110</c:f>
              <c:strCache>
                <c:ptCount val="4"/>
                <c:pt idx="0">
                  <c:v>256 KB</c:v>
                </c:pt>
                <c:pt idx="1">
                  <c:v>1024 KB</c:v>
                </c:pt>
                <c:pt idx="2">
                  <c:v>4096 KB</c:v>
                </c:pt>
                <c:pt idx="3">
                  <c:v>16384 KB</c:v>
                </c:pt>
              </c:strCache>
            </c:strRef>
          </c:cat>
          <c:val>
            <c:numRef>
              <c:f>Summary!$B$112:$E$112</c:f>
              <c:numCache>
                <c:formatCode>General</c:formatCode>
                <c:ptCount val="4"/>
                <c:pt idx="0">
                  <c:v>10.6495178237457</c:v>
                </c:pt>
                <c:pt idx="1">
                  <c:v>10.3257950395946</c:v>
                </c:pt>
                <c:pt idx="2">
                  <c:v>11.224200888863</c:v>
                </c:pt>
                <c:pt idx="3">
                  <c:v>9.56192329372158</c:v>
                </c:pt>
              </c:numCache>
            </c:numRef>
          </c:val>
        </c:ser>
        <c:ser>
          <c:idx val="2"/>
          <c:order val="2"/>
          <c:tx>
            <c:strRef>
              <c:f>Summary!A113</c:f>
              <c:strCache>
                <c:ptCount val="1"/>
                <c:pt idx="0">
                  <c:v>quantization</c:v>
                </c:pt>
              </c:strCache>
            </c:strRef>
          </c:tx>
          <c:spPr>
            <a:solidFill>
              <a:srgbClr val="8aa64f"/>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Summary!$B$110:$E$110</c:f>
              <c:strCache>
                <c:ptCount val="4"/>
                <c:pt idx="0">
                  <c:v>256 KB</c:v>
                </c:pt>
                <c:pt idx="1">
                  <c:v>1024 KB</c:v>
                </c:pt>
                <c:pt idx="2">
                  <c:v>4096 KB</c:v>
                </c:pt>
                <c:pt idx="3">
                  <c:v>16384 KB</c:v>
                </c:pt>
              </c:strCache>
            </c:strRef>
          </c:cat>
          <c:val>
            <c:numRef>
              <c:f>Summary!$B$113:$E$113</c:f>
              <c:numCache>
                <c:formatCode>General</c:formatCode>
                <c:ptCount val="4"/>
                <c:pt idx="0">
                  <c:v>20.4052074371078</c:v>
                </c:pt>
                <c:pt idx="1">
                  <c:v>20.7226895684527</c:v>
                </c:pt>
                <c:pt idx="2">
                  <c:v>20.7751907884412</c:v>
                </c:pt>
                <c:pt idx="3">
                  <c:v>19.9732832974279</c:v>
                </c:pt>
              </c:numCache>
            </c:numRef>
          </c:val>
        </c:ser>
        <c:ser>
          <c:idx val="3"/>
          <c:order val="3"/>
          <c:tx>
            <c:strRef>
              <c:f>Summary!A114</c:f>
              <c:strCache>
                <c:ptCount val="1"/>
                <c:pt idx="0">
                  <c:v>bitpacking</c:v>
                </c:pt>
              </c:strCache>
            </c:strRef>
          </c:tx>
          <c:spPr>
            <a:solidFill>
              <a:srgbClr val="725990"/>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Summary!$B$110:$E$110</c:f>
              <c:strCache>
                <c:ptCount val="4"/>
                <c:pt idx="0">
                  <c:v>256 KB</c:v>
                </c:pt>
                <c:pt idx="1">
                  <c:v>1024 KB</c:v>
                </c:pt>
                <c:pt idx="2">
                  <c:v>4096 KB</c:v>
                </c:pt>
                <c:pt idx="3">
                  <c:v>16384 KB</c:v>
                </c:pt>
              </c:strCache>
            </c:strRef>
          </c:cat>
          <c:val>
            <c:numRef>
              <c:f>Summary!$B$114:$E$114</c:f>
              <c:numCache>
                <c:formatCode>General</c:formatCode>
                <c:ptCount val="4"/>
                <c:pt idx="0">
                  <c:v>2.6796243576243</c:v>
                </c:pt>
                <c:pt idx="1">
                  <c:v>2.75073264211705</c:v>
                </c:pt>
                <c:pt idx="2">
                  <c:v>2.73013931560461</c:v>
                </c:pt>
                <c:pt idx="3">
                  <c:v>2.53935308516142</c:v>
                </c:pt>
              </c:numCache>
            </c:numRef>
          </c:val>
        </c:ser>
        <c:ser>
          <c:idx val="4"/>
          <c:order val="4"/>
          <c:tx>
            <c:strRef>
              <c:f>Summary!A115</c:f>
              <c:strCache>
                <c:ptCount val="1"/>
                <c:pt idx="0">
                  <c:v>compression</c:v>
                </c:pt>
              </c:strCache>
            </c:strRef>
          </c:tx>
          <c:spPr>
            <a:solidFill>
              <a:srgbClr val="4299b0"/>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Summary!$B$110:$E$110</c:f>
              <c:strCache>
                <c:ptCount val="4"/>
                <c:pt idx="0">
                  <c:v>256 KB</c:v>
                </c:pt>
                <c:pt idx="1">
                  <c:v>1024 KB</c:v>
                </c:pt>
                <c:pt idx="2">
                  <c:v>4096 KB</c:v>
                </c:pt>
                <c:pt idx="3">
                  <c:v>16384 KB</c:v>
                </c:pt>
              </c:strCache>
            </c:strRef>
          </c:cat>
          <c:val>
            <c:numRef>
              <c:f>Summary!$B$115:$E$115</c:f>
              <c:numCache>
                <c:formatCode>General</c:formatCode>
                <c:ptCount val="4"/>
                <c:pt idx="0">
                  <c:v>7.06329248482714</c:v>
                </c:pt>
                <c:pt idx="1">
                  <c:v>5.52592406050184</c:v>
                </c:pt>
                <c:pt idx="2">
                  <c:v>4.58697962927909</c:v>
                </c:pt>
                <c:pt idx="3">
                  <c:v>9.53176276185843</c:v>
                </c:pt>
              </c:numCache>
            </c:numRef>
          </c:val>
        </c:ser>
        <c:ser>
          <c:idx val="5"/>
          <c:order val="5"/>
          <c:tx>
            <c:strRef>
              <c:f>Summary!A116</c:f>
              <c:strCache>
                <c:ptCount val="1"/>
                <c:pt idx="0">
                  <c:v>header / serialize / index</c:v>
                </c:pt>
              </c:strCache>
            </c:strRef>
          </c:tx>
          <c:spPr>
            <a:solidFill>
              <a:srgbClr val="dc853e"/>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Summary!$B$110:$E$110</c:f>
              <c:strCache>
                <c:ptCount val="4"/>
                <c:pt idx="0">
                  <c:v>256 KB</c:v>
                </c:pt>
                <c:pt idx="1">
                  <c:v>1024 KB</c:v>
                </c:pt>
                <c:pt idx="2">
                  <c:v>4096 KB</c:v>
                </c:pt>
                <c:pt idx="3">
                  <c:v>16384 KB</c:v>
                </c:pt>
              </c:strCache>
            </c:strRef>
          </c:cat>
          <c:val>
            <c:numRef>
              <c:f>Summary!$B$116:$E$116</c:f>
              <c:numCache>
                <c:formatCode>General</c:formatCode>
                <c:ptCount val="4"/>
                <c:pt idx="0">
                  <c:v>39.0537851583392</c:v>
                </c:pt>
                <c:pt idx="1">
                  <c:v>40.3606030864975</c:v>
                </c:pt>
                <c:pt idx="2">
                  <c:v>40.3504003442848</c:v>
                </c:pt>
                <c:pt idx="3">
                  <c:v>39.7885828565251</c:v>
                </c:pt>
              </c:numCache>
            </c:numRef>
          </c:val>
        </c:ser>
        <c:ser>
          <c:idx val="6"/>
          <c:order val="6"/>
          <c:tx>
            <c:strRef>
              <c:f>Summary!A117</c:f>
              <c:strCache>
                <c:ptCount val="1"/>
                <c:pt idx="0">
                  <c:v>I/O: group to disk</c:v>
                </c:pt>
              </c:strCache>
            </c:strRef>
          </c:tx>
          <c:spPr>
            <a:solidFill>
              <a:srgbClr val="93a9ce"/>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Summary!$B$110:$E$110</c:f>
              <c:strCache>
                <c:ptCount val="4"/>
                <c:pt idx="0">
                  <c:v>256 KB</c:v>
                </c:pt>
                <c:pt idx="1">
                  <c:v>1024 KB</c:v>
                </c:pt>
                <c:pt idx="2">
                  <c:v>4096 KB</c:v>
                </c:pt>
                <c:pt idx="3">
                  <c:v>16384 KB</c:v>
                </c:pt>
              </c:strCache>
            </c:strRef>
          </c:cat>
          <c:val>
            <c:numRef>
              <c:f>Summary!$B$117:$E$117</c:f>
              <c:numCache>
                <c:formatCode>General</c:formatCode>
                <c:ptCount val="4"/>
                <c:pt idx="0">
                  <c:v>4.38810288641369</c:v>
                </c:pt>
                <c:pt idx="1">
                  <c:v>4.33903520649382</c:v>
                </c:pt>
                <c:pt idx="2">
                  <c:v>4.53766666181303</c:v>
                </c:pt>
                <c:pt idx="3">
                  <c:v>3.85770653323759</c:v>
                </c:pt>
              </c:numCache>
            </c:numRef>
          </c:val>
        </c:ser>
        <c:gapWidth val="60"/>
        <c:overlap val="0"/>
        <c:axId val="43552869"/>
        <c:axId val="11929145"/>
      </c:barChart>
      <c:catAx>
        <c:axId val="43552869"/>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group size (KB)</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1929145"/>
        <c:crosses val="autoZero"/>
        <c:auto val="1"/>
        <c:lblAlgn val="ctr"/>
        <c:lblOffset val="100"/>
        <c:noMultiLvlLbl val="0"/>
      </c:catAx>
      <c:valAx>
        <c:axId val="11929145"/>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 of write</a:t>
                </a:r>
              </a:p>
            </c:rich>
          </c:tx>
          <c:overlay val="0"/>
          <c:spPr>
            <a:noFill/>
            <a:ln w="0">
              <a:noFill/>
            </a:ln>
          </c:spPr>
        </c:title>
        <c:numFmt formatCode="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3552869"/>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5.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Read stage shares</a:t>
            </a:r>
          </a:p>
        </c:rich>
      </c:tx>
      <c:overlay val="0"/>
      <c:spPr>
        <a:noFill/>
        <a:ln w="0">
          <a:noFill/>
        </a:ln>
      </c:spPr>
    </c:title>
    <c:autoTitleDeleted val="0"/>
    <c:plotArea>
      <c:barChart>
        <c:barDir val="col"/>
        <c:grouping val="clustered"/>
        <c:varyColors val="0"/>
        <c:ser>
          <c:idx val="0"/>
          <c:order val="0"/>
          <c:tx>
            <c:strRef>
              <c:f>Summary!A148</c:f>
              <c:strCache>
                <c:ptCount val="1"/>
                <c:pt idx="0">
                  <c:v>file I/O</c:v>
                </c:pt>
              </c:strCache>
            </c:strRef>
          </c:tx>
          <c:spPr>
            <a:solidFill>
              <a:srgbClr val="4f81b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Summary!$B$147:$E$147</c:f>
              <c:strCache>
                <c:ptCount val="4"/>
                <c:pt idx="0">
                  <c:v>256 KB</c:v>
                </c:pt>
                <c:pt idx="1">
                  <c:v>1024 KB</c:v>
                </c:pt>
                <c:pt idx="2">
                  <c:v>4096 KB</c:v>
                </c:pt>
                <c:pt idx="3">
                  <c:v>16384 KB</c:v>
                </c:pt>
              </c:strCache>
            </c:strRef>
          </c:cat>
          <c:val>
            <c:numRef>
              <c:f>Summary!$B$148:$E$148</c:f>
              <c:numCache>
                <c:formatCode>General</c:formatCode>
                <c:ptCount val="4"/>
                <c:pt idx="0">
                  <c:v>1.16768245810547</c:v>
                </c:pt>
                <c:pt idx="1">
                  <c:v>1.03113823381978</c:v>
                </c:pt>
                <c:pt idx="2">
                  <c:v>1.00112179252691</c:v>
                </c:pt>
                <c:pt idx="3">
                  <c:v>1.58004628071744</c:v>
                </c:pt>
              </c:numCache>
            </c:numRef>
          </c:val>
        </c:ser>
        <c:ser>
          <c:idx val="1"/>
          <c:order val="1"/>
          <c:tx>
            <c:strRef>
              <c:f>Summary!A149</c:f>
              <c:strCache>
                <c:ptCount val="1"/>
                <c:pt idx="0">
                  <c:v>decompression</c:v>
                </c:pt>
              </c:strCache>
            </c:strRef>
          </c:tx>
          <c:spPr>
            <a:solidFill>
              <a:srgbClr val="c0504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Summary!$B$147:$E$147</c:f>
              <c:strCache>
                <c:ptCount val="4"/>
                <c:pt idx="0">
                  <c:v>256 KB</c:v>
                </c:pt>
                <c:pt idx="1">
                  <c:v>1024 KB</c:v>
                </c:pt>
                <c:pt idx="2">
                  <c:v>4096 KB</c:v>
                </c:pt>
                <c:pt idx="3">
                  <c:v>16384 KB</c:v>
                </c:pt>
              </c:strCache>
            </c:strRef>
          </c:cat>
          <c:val>
            <c:numRef>
              <c:f>Summary!$B$149:$E$149</c:f>
              <c:numCache>
                <c:formatCode>General</c:formatCode>
                <c:ptCount val="4"/>
                <c:pt idx="0">
                  <c:v>1.3826266719378</c:v>
                </c:pt>
                <c:pt idx="1">
                  <c:v>1.46948976890626</c:v>
                </c:pt>
                <c:pt idx="2">
                  <c:v>1.47921513541987</c:v>
                </c:pt>
                <c:pt idx="3">
                  <c:v>6.41640199689311</c:v>
                </c:pt>
              </c:numCache>
            </c:numRef>
          </c:val>
        </c:ser>
        <c:ser>
          <c:idx val="2"/>
          <c:order val="2"/>
          <c:tx>
            <c:strRef>
              <c:f>Summary!A150</c:f>
              <c:strCache>
                <c:ptCount val="1"/>
                <c:pt idx="0">
                  <c:v>decoding</c:v>
                </c:pt>
              </c:strCache>
            </c:strRef>
          </c:tx>
          <c:spPr>
            <a:solidFill>
              <a:srgbClr val="9bbb59"/>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Summary!$B$147:$E$147</c:f>
              <c:strCache>
                <c:ptCount val="4"/>
                <c:pt idx="0">
                  <c:v>256 KB</c:v>
                </c:pt>
                <c:pt idx="1">
                  <c:v>1024 KB</c:v>
                </c:pt>
                <c:pt idx="2">
                  <c:v>4096 KB</c:v>
                </c:pt>
                <c:pt idx="3">
                  <c:v>16384 KB</c:v>
                </c:pt>
              </c:strCache>
            </c:strRef>
          </c:cat>
          <c:val>
            <c:numRef>
              <c:f>Summary!$B$150:$E$150</c:f>
              <c:numCache>
                <c:formatCode>General</c:formatCode>
                <c:ptCount val="4"/>
                <c:pt idx="0">
                  <c:v>50.4170235663614</c:v>
                </c:pt>
                <c:pt idx="1">
                  <c:v>50.7474077286578</c:v>
                </c:pt>
                <c:pt idx="2">
                  <c:v>48.1075847806896</c:v>
                </c:pt>
                <c:pt idx="3">
                  <c:v>45.6637180379557</c:v>
                </c:pt>
              </c:numCache>
            </c:numRef>
          </c:val>
        </c:ser>
        <c:ser>
          <c:idx val="3"/>
          <c:order val="3"/>
          <c:tx>
            <c:strRef>
              <c:f>Summary!A151</c:f>
              <c:strCache>
                <c:ptCount val="1"/>
                <c:pt idx="0">
                  <c:v>column -&gt; row</c:v>
                </c:pt>
              </c:strCache>
            </c:strRef>
          </c:tx>
          <c:spPr>
            <a:solidFill>
              <a:srgbClr val="8064a2"/>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Summary!$B$147:$E$147</c:f>
              <c:strCache>
                <c:ptCount val="4"/>
                <c:pt idx="0">
                  <c:v>256 KB</c:v>
                </c:pt>
                <c:pt idx="1">
                  <c:v>1024 KB</c:v>
                </c:pt>
                <c:pt idx="2">
                  <c:v>4096 KB</c:v>
                </c:pt>
                <c:pt idx="3">
                  <c:v>16384 KB</c:v>
                </c:pt>
              </c:strCache>
            </c:strRef>
          </c:cat>
          <c:val>
            <c:numRef>
              <c:f>Summary!$B$151:$E$151</c:f>
              <c:numCache>
                <c:formatCode>General</c:formatCode>
                <c:ptCount val="4"/>
                <c:pt idx="0">
                  <c:v>16.2481056862358</c:v>
                </c:pt>
                <c:pt idx="1">
                  <c:v>15.6792004370674</c:v>
                </c:pt>
                <c:pt idx="2">
                  <c:v>16.9684288564057</c:v>
                </c:pt>
                <c:pt idx="3">
                  <c:v>15.5331732254065</c:v>
                </c:pt>
              </c:numCache>
            </c:numRef>
          </c:val>
        </c:ser>
        <c:ser>
          <c:idx val="4"/>
          <c:order val="4"/>
          <c:tx>
            <c:strRef>
              <c:f>Summary!A152</c:f>
              <c:strCache>
                <c:ptCount val="1"/>
                <c:pt idx="0">
                  <c:v>cursor/buffer management</c:v>
                </c:pt>
              </c:strCache>
            </c:strRef>
          </c:tx>
          <c:spPr>
            <a:solidFill>
              <a:srgbClr val="4bacc6"/>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Summary!$B$147:$E$147</c:f>
              <c:strCache>
                <c:ptCount val="4"/>
                <c:pt idx="0">
                  <c:v>256 KB</c:v>
                </c:pt>
                <c:pt idx="1">
                  <c:v>1024 KB</c:v>
                </c:pt>
                <c:pt idx="2">
                  <c:v>4096 KB</c:v>
                </c:pt>
                <c:pt idx="3">
                  <c:v>16384 KB</c:v>
                </c:pt>
              </c:strCache>
            </c:strRef>
          </c:cat>
          <c:val>
            <c:numRef>
              <c:f>Summary!$B$152:$E$152</c:f>
              <c:numCache>
                <c:formatCode>General</c:formatCode>
                <c:ptCount val="4"/>
                <c:pt idx="0">
                  <c:v>30.7845204366256</c:v>
                </c:pt>
                <c:pt idx="1">
                  <c:v>31.0728990070235</c:v>
                </c:pt>
                <c:pt idx="2">
                  <c:v>32.4437030859049</c:v>
                </c:pt>
                <c:pt idx="3">
                  <c:v>30.8066397156778</c:v>
                </c:pt>
              </c:numCache>
            </c:numRef>
          </c:val>
        </c:ser>
        <c:gapWidth val="60"/>
        <c:overlap val="0"/>
        <c:axId val="15742145"/>
        <c:axId val="58478626"/>
      </c:barChart>
      <c:catAx>
        <c:axId val="15742145"/>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group size (KB)</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8478626"/>
        <c:crosses val="autoZero"/>
        <c:auto val="1"/>
        <c:lblAlgn val="ctr"/>
        <c:lblOffset val="100"/>
        <c:noMultiLvlLbl val="0"/>
      </c:catAx>
      <c:valAx>
        <c:axId val="58478626"/>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 of read</a:t>
                </a:r>
              </a:p>
            </c:rich>
          </c:tx>
          <c:overlay val="0"/>
          <c:spPr>
            <a:noFill/>
            <a:ln w="0">
              <a:noFill/>
            </a:ln>
          </c:spPr>
        </c:title>
        <c:numFmt formatCode="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5742145"/>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6.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Store cost in seconds, bound 1%</a:t>
            </a:r>
          </a:p>
        </c:rich>
      </c:tx>
      <c:overlay val="0"/>
      <c:spPr>
        <a:noFill/>
        <a:ln w="0">
          <a:noFill/>
        </a:ln>
      </c:spPr>
    </c:title>
    <c:autoTitleDeleted val="0"/>
    <c:plotArea>
      <c:barChart>
        <c:barDir val="col"/>
        <c:grouping val="clustered"/>
        <c:varyColors val="0"/>
        <c:ser>
          <c:idx val="0"/>
          <c:order val="0"/>
          <c:tx>
            <c:strRef>
              <c:f>Totals!A7</c:f>
              <c:strCache>
                <c:ptCount val="1"/>
                <c:pt idx="0">
                  <c:v>CSV parse — NOT the store</c:v>
                </c:pt>
              </c:strCache>
            </c:strRef>
          </c:tx>
          <c:spPr>
            <a:solidFill>
              <a:srgbClr val="4f81b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Totals!$B$6:$E$6</c:f>
              <c:strCache>
                <c:ptCount val="4"/>
                <c:pt idx="0">
                  <c:v>256 KB</c:v>
                </c:pt>
                <c:pt idx="1">
                  <c:v>1024 KB</c:v>
                </c:pt>
                <c:pt idx="2">
                  <c:v>4096 KB</c:v>
                </c:pt>
                <c:pt idx="3">
                  <c:v>16384 KB</c:v>
                </c:pt>
              </c:strCache>
            </c:strRef>
          </c:cat>
          <c:val>
            <c:numRef>
              <c:f>Totals!$B$7:$E$7</c:f>
              <c:numCache>
                <c:formatCode>General</c:formatCode>
                <c:ptCount val="4"/>
                <c:pt idx="0">
                  <c:v>7.51851</c:v>
                </c:pt>
                <c:pt idx="1">
                  <c:v>7.40829</c:v>
                </c:pt>
                <c:pt idx="2">
                  <c:v>7.49298</c:v>
                </c:pt>
                <c:pt idx="3">
                  <c:v>7.6243</c:v>
                </c:pt>
              </c:numCache>
            </c:numRef>
          </c:val>
        </c:ser>
        <c:ser>
          <c:idx val="1"/>
          <c:order val="1"/>
          <c:tx>
            <c:strRef>
              <c:f>Totals!A8</c:f>
              <c:strCache>
                <c:ptCount val="1"/>
                <c:pt idx="0">
                  <c:v>store write</c:v>
                </c:pt>
              </c:strCache>
            </c:strRef>
          </c:tx>
          <c:spPr>
            <a:solidFill>
              <a:srgbClr val="c0504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Totals!$B$6:$E$6</c:f>
              <c:strCache>
                <c:ptCount val="4"/>
                <c:pt idx="0">
                  <c:v>256 KB</c:v>
                </c:pt>
                <c:pt idx="1">
                  <c:v>1024 KB</c:v>
                </c:pt>
                <c:pt idx="2">
                  <c:v>4096 KB</c:v>
                </c:pt>
                <c:pt idx="3">
                  <c:v>16384 KB</c:v>
                </c:pt>
              </c:strCache>
            </c:strRef>
          </c:cat>
          <c:val>
            <c:numRef>
              <c:f>Totals!$B$8:$E$8</c:f>
              <c:numCache>
                <c:formatCode>General</c:formatCode>
                <c:ptCount val="4"/>
                <c:pt idx="0">
                  <c:v>6.02062</c:v>
                </c:pt>
                <c:pt idx="1">
                  <c:v>5.79751</c:v>
                </c:pt>
                <c:pt idx="2">
                  <c:v>6.18093</c:v>
                </c:pt>
                <c:pt idx="3">
                  <c:v>6.47535</c:v>
                </c:pt>
              </c:numCache>
            </c:numRef>
          </c:val>
        </c:ser>
        <c:ser>
          <c:idx val="2"/>
          <c:order val="2"/>
          <c:tx>
            <c:strRef>
              <c:f>Totals!A9</c:f>
              <c:strCache>
                <c:ptCount val="1"/>
                <c:pt idx="0">
                  <c:v>store read</c:v>
                </c:pt>
              </c:strCache>
            </c:strRef>
          </c:tx>
          <c:spPr>
            <a:solidFill>
              <a:srgbClr val="9bbb59"/>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Totals!$B$6:$E$6</c:f>
              <c:strCache>
                <c:ptCount val="4"/>
                <c:pt idx="0">
                  <c:v>256 KB</c:v>
                </c:pt>
                <c:pt idx="1">
                  <c:v>1024 KB</c:v>
                </c:pt>
                <c:pt idx="2">
                  <c:v>4096 KB</c:v>
                </c:pt>
                <c:pt idx="3">
                  <c:v>16384 KB</c:v>
                </c:pt>
              </c:strCache>
            </c:strRef>
          </c:cat>
          <c:val>
            <c:numRef>
              <c:f>Totals!$B$9:$E$9</c:f>
              <c:numCache>
                <c:formatCode>General</c:formatCode>
                <c:ptCount val="4"/>
                <c:pt idx="0">
                  <c:v>3.64248</c:v>
                </c:pt>
                <c:pt idx="1">
                  <c:v>3.55094</c:v>
                </c:pt>
                <c:pt idx="2">
                  <c:v>4.10058</c:v>
                </c:pt>
                <c:pt idx="3">
                  <c:v>4.33874</c:v>
                </c:pt>
              </c:numCache>
            </c:numRef>
          </c:val>
        </c:ser>
        <c:gapWidth val="60"/>
        <c:overlap val="0"/>
        <c:axId val="92124424"/>
        <c:axId val="36107804"/>
      </c:barChart>
      <c:catAx>
        <c:axId val="92124424"/>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group size (KB)</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36107804"/>
        <c:crosses val="autoZero"/>
        <c:auto val="1"/>
        <c:lblAlgn val="ctr"/>
        <c:lblOffset val="100"/>
        <c:noMultiLvlLbl val="0"/>
      </c:catAx>
      <c:valAx>
        <c:axId val="36107804"/>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seconds</a:t>
                </a:r>
              </a:p>
            </c:rich>
          </c:tx>
          <c:overlay val="0"/>
          <c:spPr>
            <a:noFill/>
            <a:ln w="0">
              <a:noFill/>
            </a:ln>
          </c:spPr>
        </c:title>
        <c:numFmt formatCode="0.0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2124424"/>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7.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Store throughput, bound 1%</a:t>
            </a:r>
          </a:p>
        </c:rich>
      </c:tx>
      <c:overlay val="0"/>
      <c:spPr>
        <a:noFill/>
        <a:ln w="0">
          <a:noFill/>
        </a:ln>
      </c:spPr>
    </c:title>
    <c:autoTitleDeleted val="0"/>
    <c:plotArea>
      <c:barChart>
        <c:barDir val="col"/>
        <c:grouping val="clustered"/>
        <c:varyColors val="0"/>
        <c:ser>
          <c:idx val="0"/>
          <c:order val="0"/>
          <c:tx>
            <c:strRef>
              <c:f>Totals!A41</c:f>
              <c:strCache>
                <c:ptCount val="1"/>
                <c:pt idx="0">
                  <c:v>CSV parse — NOT the store</c:v>
                </c:pt>
              </c:strCache>
            </c:strRef>
          </c:tx>
          <c:spPr>
            <a:solidFill>
              <a:srgbClr val="4f81b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Totals!$B$40:$E$40</c:f>
              <c:strCache>
                <c:ptCount val="4"/>
                <c:pt idx="0">
                  <c:v>256 KB</c:v>
                </c:pt>
                <c:pt idx="1">
                  <c:v>1024 KB</c:v>
                </c:pt>
                <c:pt idx="2">
                  <c:v>4096 KB</c:v>
                </c:pt>
                <c:pt idx="3">
                  <c:v>16384 KB</c:v>
                </c:pt>
              </c:strCache>
            </c:strRef>
          </c:cat>
          <c:val>
            <c:numRef>
              <c:f>Totals!$B$41:$E$41</c:f>
              <c:numCache>
                <c:formatCode>General</c:formatCode>
                <c:ptCount val="4"/>
                <c:pt idx="0">
                  <c:v>159.020869826601</c:v>
                </c:pt>
                <c:pt idx="1">
                  <c:v>161.386770766263</c:v>
                </c:pt>
                <c:pt idx="2">
                  <c:v>159.562684005563</c:v>
                </c:pt>
                <c:pt idx="3">
                  <c:v>156.814396075705</c:v>
                </c:pt>
              </c:numCache>
            </c:numRef>
          </c:val>
        </c:ser>
        <c:ser>
          <c:idx val="1"/>
          <c:order val="1"/>
          <c:tx>
            <c:strRef>
              <c:f>Totals!A42</c:f>
              <c:strCache>
                <c:ptCount val="1"/>
                <c:pt idx="0">
                  <c:v>store write</c:v>
                </c:pt>
              </c:strCache>
            </c:strRef>
          </c:tx>
          <c:spPr>
            <a:solidFill>
              <a:srgbClr val="c0504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Totals!$B$40:$E$40</c:f>
              <c:strCache>
                <c:ptCount val="4"/>
                <c:pt idx="0">
                  <c:v>256 KB</c:v>
                </c:pt>
                <c:pt idx="1">
                  <c:v>1024 KB</c:v>
                </c:pt>
                <c:pt idx="2">
                  <c:v>4096 KB</c:v>
                </c:pt>
                <c:pt idx="3">
                  <c:v>16384 KB</c:v>
                </c:pt>
              </c:strCache>
            </c:strRef>
          </c:cat>
          <c:val>
            <c:numRef>
              <c:f>Totals!$B$42:$E$42</c:f>
              <c:numCache>
                <c:formatCode>General</c:formatCode>
                <c:ptCount val="4"/>
                <c:pt idx="0">
                  <c:v>198.584198969541</c:v>
                </c:pt>
                <c:pt idx="1">
                  <c:v>206.226466189795</c:v>
                </c:pt>
                <c:pt idx="2">
                  <c:v>193.433674220546</c:v>
                </c:pt>
                <c:pt idx="3">
                  <c:v>184.638668180098</c:v>
                </c:pt>
              </c:numCache>
            </c:numRef>
          </c:val>
        </c:ser>
        <c:ser>
          <c:idx val="2"/>
          <c:order val="2"/>
          <c:tx>
            <c:strRef>
              <c:f>Totals!A43</c:f>
              <c:strCache>
                <c:ptCount val="1"/>
                <c:pt idx="0">
                  <c:v>store read</c:v>
                </c:pt>
              </c:strCache>
            </c:strRef>
          </c:tx>
          <c:spPr>
            <a:solidFill>
              <a:srgbClr val="9bbb59"/>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Totals!$B$40:$E$40</c:f>
              <c:strCache>
                <c:ptCount val="4"/>
                <c:pt idx="0">
                  <c:v>256 KB</c:v>
                </c:pt>
                <c:pt idx="1">
                  <c:v>1024 KB</c:v>
                </c:pt>
                <c:pt idx="2">
                  <c:v>4096 KB</c:v>
                </c:pt>
                <c:pt idx="3">
                  <c:v>16384 KB</c:v>
                </c:pt>
              </c:strCache>
            </c:strRef>
          </c:cat>
          <c:val>
            <c:numRef>
              <c:f>Totals!$B$43:$E$43</c:f>
              <c:numCache>
                <c:formatCode>General</c:formatCode>
                <c:ptCount val="4"/>
                <c:pt idx="0">
                  <c:v>328.237903845732</c:v>
                </c:pt>
                <c:pt idx="1">
                  <c:v>336.699578139873</c:v>
                </c:pt>
                <c:pt idx="2">
                  <c:v>291.568509820562</c:v>
                </c:pt>
                <c:pt idx="3">
                  <c:v>275.563873382595</c:v>
                </c:pt>
              </c:numCache>
            </c:numRef>
          </c:val>
        </c:ser>
        <c:gapWidth val="60"/>
        <c:overlap val="0"/>
        <c:axId val="90396201"/>
        <c:axId val="15137819"/>
      </c:barChart>
      <c:catAx>
        <c:axId val="90396201"/>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group size (KB)</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5137819"/>
        <c:crosses val="autoZero"/>
        <c:auto val="1"/>
        <c:lblAlgn val="ctr"/>
        <c:lblOffset val="100"/>
        <c:noMultiLvlLbl val="0"/>
      </c:catAx>
      <c:valAx>
        <c:axId val="15137819"/>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MB/s</a:t>
                </a:r>
              </a:p>
            </c:rich>
          </c:tx>
          <c:overlay val="0"/>
          <c:spPr>
            <a:noFill/>
            <a:ln w="0">
              <a:noFill/>
            </a:ln>
          </c:spPr>
        </c:title>
        <c:numFmt formatCode="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0396201"/>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8.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Store cost by accuracy bound, group 256 KB</a:t>
            </a:r>
          </a:p>
        </c:rich>
      </c:tx>
      <c:overlay val="0"/>
      <c:spPr>
        <a:noFill/>
        <a:ln w="0">
          <a:noFill/>
        </a:ln>
      </c:spPr>
    </c:title>
    <c:autoTitleDeleted val="0"/>
    <c:plotArea>
      <c:barChart>
        <c:barDir val="col"/>
        <c:grouping val="clustered"/>
        <c:varyColors val="0"/>
        <c:ser>
          <c:idx val="0"/>
          <c:order val="0"/>
          <c:tx>
            <c:strRef>
              <c:f>Totals!A75</c:f>
              <c:strCache>
                <c:ptCount val="1"/>
                <c:pt idx="0">
                  <c:v>store write</c:v>
                </c:pt>
              </c:strCache>
            </c:strRef>
          </c:tx>
          <c:spPr>
            <a:solidFill>
              <a:srgbClr val="4f81b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Totals!$B$74:$E$74</c:f>
              <c:strCache>
                <c:ptCount val="4"/>
                <c:pt idx="0">
                  <c:v>0.1%</c:v>
                </c:pt>
                <c:pt idx="1">
                  <c:v>1%</c:v>
                </c:pt>
                <c:pt idx="2">
                  <c:v>5%</c:v>
                </c:pt>
                <c:pt idx="3">
                  <c:v/>
                </c:pt>
              </c:strCache>
            </c:strRef>
          </c:cat>
          <c:val>
            <c:numRef>
              <c:f>Totals!$B$75:$E$75</c:f>
              <c:numCache>
                <c:formatCode>General</c:formatCode>
                <c:ptCount val="4"/>
                <c:pt idx="0">
                  <c:v>6.06841</c:v>
                </c:pt>
                <c:pt idx="1">
                  <c:v>6.02062</c:v>
                </c:pt>
                <c:pt idx="2">
                  <c:v>5.92365</c:v>
                </c:pt>
              </c:numCache>
            </c:numRef>
          </c:val>
        </c:ser>
        <c:ser>
          <c:idx val="1"/>
          <c:order val="1"/>
          <c:tx>
            <c:strRef>
              <c:f>Totals!A76</c:f>
              <c:strCache>
                <c:ptCount val="1"/>
                <c:pt idx="0">
                  <c:v>store read</c:v>
                </c:pt>
              </c:strCache>
            </c:strRef>
          </c:tx>
          <c:spPr>
            <a:solidFill>
              <a:srgbClr val="c0504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Totals!$B$74:$E$74</c:f>
              <c:strCache>
                <c:ptCount val="4"/>
                <c:pt idx="0">
                  <c:v>0.1%</c:v>
                </c:pt>
                <c:pt idx="1">
                  <c:v>1%</c:v>
                </c:pt>
                <c:pt idx="2">
                  <c:v>5%</c:v>
                </c:pt>
                <c:pt idx="3">
                  <c:v/>
                </c:pt>
              </c:strCache>
            </c:strRef>
          </c:cat>
          <c:val>
            <c:numRef>
              <c:f>Totals!$B$76:$E$76</c:f>
              <c:numCache>
                <c:formatCode>General</c:formatCode>
                <c:ptCount val="4"/>
                <c:pt idx="0">
                  <c:v>3.66914</c:v>
                </c:pt>
                <c:pt idx="1">
                  <c:v>3.64248</c:v>
                </c:pt>
                <c:pt idx="2">
                  <c:v>3.56509</c:v>
                </c:pt>
              </c:numCache>
            </c:numRef>
          </c:val>
        </c:ser>
        <c:gapWidth val="60"/>
        <c:overlap val="0"/>
        <c:axId val="3921469"/>
        <c:axId val="98938518"/>
      </c:barChart>
      <c:catAx>
        <c:axId val="3921469"/>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group size (KB)</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8938518"/>
        <c:crosses val="autoZero"/>
        <c:auto val="1"/>
        <c:lblAlgn val="ctr"/>
        <c:lblOffset val="100"/>
        <c:noMultiLvlLbl val="0"/>
      </c:catAx>
      <c:valAx>
        <c:axId val="98938518"/>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seconds</a:t>
                </a:r>
              </a:p>
            </c:rich>
          </c:tx>
          <c:overlay val="0"/>
          <c:spPr>
            <a:noFill/>
            <a:ln w="0">
              <a:noFill/>
            </a:ln>
          </c:spPr>
        </c:title>
        <c:numFmt formatCode="0.0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3921469"/>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9.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Write path composition, bound 1%</a:t>
            </a:r>
          </a:p>
        </c:rich>
      </c:tx>
      <c:overlay val="0"/>
      <c:spPr>
        <a:noFill/>
        <a:ln w="0">
          <a:noFill/>
        </a:ln>
      </c:spPr>
    </c:title>
    <c:autoTitleDeleted val="0"/>
    <c:plotArea>
      <c:barChart>
        <c:barDir val="col"/>
        <c:grouping val="stacked"/>
        <c:varyColors val="0"/>
        <c:ser>
          <c:idx val="0"/>
          <c:order val="0"/>
          <c:tx>
            <c:strRef>
              <c:f>'Write Path'!A6</c:f>
              <c:strCache>
                <c:ptCount val="1"/>
                <c:pt idx="0">
                  <c:v>writeRecord overhead</c:v>
                </c:pt>
              </c:strCache>
            </c:strRef>
          </c:tx>
          <c:spPr>
            <a:solidFill>
              <a:srgbClr val="4672a8"/>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'Write Path'!$B$5:$E$5</c:f>
              <c:strCache>
                <c:ptCount val="4"/>
                <c:pt idx="0">
                  <c:v>256 KB</c:v>
                </c:pt>
                <c:pt idx="1">
                  <c:v>1024 KB</c:v>
                </c:pt>
                <c:pt idx="2">
                  <c:v>4096 KB</c:v>
                </c:pt>
                <c:pt idx="3">
                  <c:v>16384 KB</c:v>
                </c:pt>
              </c:strCache>
            </c:strRef>
          </c:cat>
          <c:val>
            <c:numRef>
              <c:f>'Write Path'!$B$6:$E$6</c:f>
              <c:numCache>
                <c:formatCode>General</c:formatCode>
                <c:ptCount val="4"/>
                <c:pt idx="0">
                  <c:v>0.948878</c:v>
                </c:pt>
                <c:pt idx="1">
                  <c:v>0.926175</c:v>
                </c:pt>
                <c:pt idx="2">
                  <c:v>0.976294</c:v>
                </c:pt>
                <c:pt idx="3">
                  <c:v>0.954946</c:v>
                </c:pt>
              </c:numCache>
            </c:numRef>
          </c:val>
        </c:ser>
        <c:ser>
          <c:idx val="1"/>
          <c:order val="1"/>
          <c:tx>
            <c:strRef>
              <c:f>'Write Path'!A7</c:f>
              <c:strCache>
                <c:ptCount val="1"/>
                <c:pt idx="0">
                  <c:v>row -&gt; column</c:v>
                </c:pt>
              </c:strCache>
            </c:strRef>
          </c:tx>
          <c:spPr>
            <a:solidFill>
              <a:srgbClr val="ab4744"/>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'Write Path'!$B$5:$E$5</c:f>
              <c:strCache>
                <c:ptCount val="4"/>
                <c:pt idx="0">
                  <c:v>256 KB</c:v>
                </c:pt>
                <c:pt idx="1">
                  <c:v>1024 KB</c:v>
                </c:pt>
                <c:pt idx="2">
                  <c:v>4096 KB</c:v>
                </c:pt>
                <c:pt idx="3">
                  <c:v>16384 KB</c:v>
                </c:pt>
              </c:strCache>
            </c:strRef>
          </c:cat>
          <c:val>
            <c:numRef>
              <c:f>'Write Path'!$B$7:$E$7</c:f>
              <c:numCache>
                <c:formatCode>General</c:formatCode>
                <c:ptCount val="4"/>
                <c:pt idx="0">
                  <c:v>0.641167</c:v>
                </c:pt>
                <c:pt idx="1">
                  <c:v>0.598639</c:v>
                </c:pt>
                <c:pt idx="2">
                  <c:v>0.69376</c:v>
                </c:pt>
                <c:pt idx="3">
                  <c:v>0.619168</c:v>
                </c:pt>
              </c:numCache>
            </c:numRef>
          </c:val>
        </c:ser>
        <c:ser>
          <c:idx val="2"/>
          <c:order val="2"/>
          <c:tx>
            <c:strRef>
              <c:f>'Write Path'!A8</c:f>
              <c:strCache>
                <c:ptCount val="1"/>
                <c:pt idx="0">
                  <c:v>quantization</c:v>
                </c:pt>
              </c:strCache>
            </c:strRef>
          </c:tx>
          <c:spPr>
            <a:solidFill>
              <a:srgbClr val="8aa64f"/>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'Write Path'!$B$5:$E$5</c:f>
              <c:strCache>
                <c:ptCount val="4"/>
                <c:pt idx="0">
                  <c:v>256 KB</c:v>
                </c:pt>
                <c:pt idx="1">
                  <c:v>1024 KB</c:v>
                </c:pt>
                <c:pt idx="2">
                  <c:v>4096 KB</c:v>
                </c:pt>
                <c:pt idx="3">
                  <c:v>16384 KB</c:v>
                </c:pt>
              </c:strCache>
            </c:strRef>
          </c:cat>
          <c:val>
            <c:numRef>
              <c:f>'Write Path'!$B$8:$E$8</c:f>
              <c:numCache>
                <c:formatCode>General</c:formatCode>
                <c:ptCount val="4"/>
                <c:pt idx="0">
                  <c:v>1.22852</c:v>
                </c:pt>
                <c:pt idx="1">
                  <c:v>1.2014</c:v>
                </c:pt>
                <c:pt idx="2">
                  <c:v>1.2841</c:v>
                </c:pt>
                <c:pt idx="3">
                  <c:v>1.29334</c:v>
                </c:pt>
              </c:numCache>
            </c:numRef>
          </c:val>
        </c:ser>
        <c:ser>
          <c:idx val="3"/>
          <c:order val="3"/>
          <c:tx>
            <c:strRef>
              <c:f>'Write Path'!A9</c:f>
              <c:strCache>
                <c:ptCount val="1"/>
                <c:pt idx="0">
                  <c:v>bitpacking</c:v>
                </c:pt>
              </c:strCache>
            </c:strRef>
          </c:tx>
          <c:spPr>
            <a:solidFill>
              <a:srgbClr val="725990"/>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'Write Path'!$B$5:$E$5</c:f>
              <c:strCache>
                <c:ptCount val="4"/>
                <c:pt idx="0">
                  <c:v>256 KB</c:v>
                </c:pt>
                <c:pt idx="1">
                  <c:v>1024 KB</c:v>
                </c:pt>
                <c:pt idx="2">
                  <c:v>4096 KB</c:v>
                </c:pt>
                <c:pt idx="3">
                  <c:v>16384 KB</c:v>
                </c:pt>
              </c:strCache>
            </c:strRef>
          </c:cat>
          <c:val>
            <c:numRef>
              <c:f>'Write Path'!$B$9:$E$9</c:f>
              <c:numCache>
                <c:formatCode>General</c:formatCode>
                <c:ptCount val="4"/>
                <c:pt idx="0">
                  <c:v>0.16133</c:v>
                </c:pt>
                <c:pt idx="1">
                  <c:v>0.159474</c:v>
                </c:pt>
                <c:pt idx="2">
                  <c:v>0.168748</c:v>
                </c:pt>
                <c:pt idx="3">
                  <c:v>0.164432</c:v>
                </c:pt>
              </c:numCache>
            </c:numRef>
          </c:val>
        </c:ser>
        <c:ser>
          <c:idx val="4"/>
          <c:order val="4"/>
          <c:tx>
            <c:strRef>
              <c:f>'Write Path'!A10</c:f>
              <c:strCache>
                <c:ptCount val="1"/>
                <c:pt idx="0">
                  <c:v>compression</c:v>
                </c:pt>
              </c:strCache>
            </c:strRef>
          </c:tx>
          <c:spPr>
            <a:solidFill>
              <a:srgbClr val="4299b0"/>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'Write Path'!$B$5:$E$5</c:f>
              <c:strCache>
                <c:ptCount val="4"/>
                <c:pt idx="0">
                  <c:v>256 KB</c:v>
                </c:pt>
                <c:pt idx="1">
                  <c:v>1024 KB</c:v>
                </c:pt>
                <c:pt idx="2">
                  <c:v>4096 KB</c:v>
                </c:pt>
                <c:pt idx="3">
                  <c:v>16384 KB</c:v>
                </c:pt>
              </c:strCache>
            </c:strRef>
          </c:cat>
          <c:val>
            <c:numRef>
              <c:f>'Write Path'!$B$10:$E$10</c:f>
              <c:numCache>
                <c:formatCode>General</c:formatCode>
                <c:ptCount val="4"/>
                <c:pt idx="0">
                  <c:v>0.425254</c:v>
                </c:pt>
                <c:pt idx="1">
                  <c:v>0.320366</c:v>
                </c:pt>
                <c:pt idx="2">
                  <c:v>0.283518</c:v>
                </c:pt>
                <c:pt idx="3">
                  <c:v>0.617215</c:v>
                </c:pt>
              </c:numCache>
            </c:numRef>
          </c:val>
        </c:ser>
        <c:ser>
          <c:idx val="5"/>
          <c:order val="5"/>
          <c:tx>
            <c:strRef>
              <c:f>'Write Path'!A11</c:f>
              <c:strCache>
                <c:ptCount val="1"/>
                <c:pt idx="0">
                  <c:v>header / serialize / index</c:v>
                </c:pt>
              </c:strCache>
            </c:strRef>
          </c:tx>
          <c:spPr>
            <a:solidFill>
              <a:srgbClr val="dc853e"/>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'Write Path'!$B$5:$E$5</c:f>
              <c:strCache>
                <c:ptCount val="4"/>
                <c:pt idx="0">
                  <c:v>256 KB</c:v>
                </c:pt>
                <c:pt idx="1">
                  <c:v>1024 KB</c:v>
                </c:pt>
                <c:pt idx="2">
                  <c:v>4096 KB</c:v>
                </c:pt>
                <c:pt idx="3">
                  <c:v>16384 KB</c:v>
                </c:pt>
              </c:strCache>
            </c:strRef>
          </c:cat>
          <c:val>
            <c:numRef>
              <c:f>'Write Path'!$B$11:$E$11</c:f>
              <c:numCache>
                <c:formatCode>General</c:formatCode>
                <c:ptCount val="4"/>
                <c:pt idx="0">
                  <c:v>2.35128</c:v>
                </c:pt>
                <c:pt idx="1">
                  <c:v>2.33991</c:v>
                </c:pt>
                <c:pt idx="2">
                  <c:v>2.49403</c:v>
                </c:pt>
                <c:pt idx="3">
                  <c:v>2.57645</c:v>
                </c:pt>
              </c:numCache>
            </c:numRef>
          </c:val>
        </c:ser>
        <c:ser>
          <c:idx val="6"/>
          <c:order val="6"/>
          <c:tx>
            <c:strRef>
              <c:f>'Write Path'!A12</c:f>
              <c:strCache>
                <c:ptCount val="1"/>
                <c:pt idx="0">
                  <c:v>I/O: group to disk</c:v>
                </c:pt>
              </c:strCache>
            </c:strRef>
          </c:tx>
          <c:spPr>
            <a:solidFill>
              <a:srgbClr val="93a9ce"/>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'Write Path'!$B$5:$E$5</c:f>
              <c:strCache>
                <c:ptCount val="4"/>
                <c:pt idx="0">
                  <c:v>256 KB</c:v>
                </c:pt>
                <c:pt idx="1">
                  <c:v>1024 KB</c:v>
                </c:pt>
                <c:pt idx="2">
                  <c:v>4096 KB</c:v>
                </c:pt>
                <c:pt idx="3">
                  <c:v>16384 KB</c:v>
                </c:pt>
              </c:strCache>
            </c:strRef>
          </c:cat>
          <c:val>
            <c:numRef>
              <c:f>'Write Path'!$B$12:$E$12</c:f>
              <c:numCache>
                <c:formatCode>General</c:formatCode>
                <c:ptCount val="4"/>
                <c:pt idx="0">
                  <c:v>0.264191</c:v>
                </c:pt>
                <c:pt idx="1">
                  <c:v>0.251556</c:v>
                </c:pt>
                <c:pt idx="2">
                  <c:v>0.28047</c:v>
                </c:pt>
                <c:pt idx="3">
                  <c:v>0.2498</c:v>
                </c:pt>
              </c:numCache>
            </c:numRef>
          </c:val>
        </c:ser>
        <c:gapWidth val="60"/>
        <c:overlap val="100"/>
        <c:axId val="29409172"/>
        <c:axId val="31441368"/>
      </c:barChart>
      <c:catAx>
        <c:axId val="29409172"/>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group size (KB)</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31441368"/>
        <c:crosses val="autoZero"/>
        <c:auto val="1"/>
        <c:lblAlgn val="ctr"/>
        <c:lblOffset val="100"/>
        <c:noMultiLvlLbl val="0"/>
      </c:catAx>
      <c:valAx>
        <c:axId val="31441368"/>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seconds</a:t>
                </a:r>
              </a:p>
            </c:rich>
          </c:tx>
          <c:overlay val="0"/>
          <c:spPr>
            <a:noFill/>
            <a:ln w="0">
              <a:noFill/>
            </a:ln>
          </c:spPr>
        </c:title>
        <c:numFmt formatCode="0.0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9409172"/>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10.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Write stage shares, bound 1%</a:t>
            </a:r>
          </a:p>
        </c:rich>
      </c:tx>
      <c:overlay val="0"/>
      <c:spPr>
        <a:noFill/>
        <a:ln w="0">
          <a:noFill/>
        </a:ln>
      </c:spPr>
    </c:title>
    <c:autoTitleDeleted val="0"/>
    <c:plotArea>
      <c:barChart>
        <c:barDir val="col"/>
        <c:grouping val="clustered"/>
        <c:varyColors val="0"/>
        <c:ser>
          <c:idx val="0"/>
          <c:order val="0"/>
          <c:tx>
            <c:strRef>
              <c:f>'Write Path'!A44</c:f>
              <c:strCache>
                <c:ptCount val="1"/>
                <c:pt idx="0">
                  <c:v>writeRecord overhead</c:v>
                </c:pt>
              </c:strCache>
            </c:strRef>
          </c:tx>
          <c:spPr>
            <a:solidFill>
              <a:srgbClr val="4672a8"/>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'Write Path'!$B$43:$E$43</c:f>
              <c:strCache>
                <c:ptCount val="4"/>
                <c:pt idx="0">
                  <c:v>256 KB</c:v>
                </c:pt>
                <c:pt idx="1">
                  <c:v>1024 KB</c:v>
                </c:pt>
                <c:pt idx="2">
                  <c:v>4096 KB</c:v>
                </c:pt>
                <c:pt idx="3">
                  <c:v>16384 KB</c:v>
                </c:pt>
              </c:strCache>
            </c:strRef>
          </c:cat>
          <c:val>
            <c:numRef>
              <c:f>'Write Path'!$B$44:$E$44</c:f>
              <c:numCache>
                <c:formatCode>General</c:formatCode>
                <c:ptCount val="4"/>
                <c:pt idx="0">
                  <c:v>15.7604698519422</c:v>
                </c:pt>
                <c:pt idx="1">
                  <c:v>15.9753928841865</c:v>
                </c:pt>
                <c:pt idx="2">
                  <c:v>15.7952605837633</c:v>
                </c:pt>
                <c:pt idx="3">
                  <c:v>14.7474036152486</c:v>
                </c:pt>
              </c:numCache>
            </c:numRef>
          </c:val>
        </c:ser>
        <c:ser>
          <c:idx val="1"/>
          <c:order val="1"/>
          <c:tx>
            <c:strRef>
              <c:f>'Write Path'!A45</c:f>
              <c:strCache>
                <c:ptCount val="1"/>
                <c:pt idx="0">
                  <c:v>row -&gt; column</c:v>
                </c:pt>
              </c:strCache>
            </c:strRef>
          </c:tx>
          <c:spPr>
            <a:solidFill>
              <a:srgbClr val="ab4744"/>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'Write Path'!$B$43:$E$43</c:f>
              <c:strCache>
                <c:ptCount val="4"/>
                <c:pt idx="0">
                  <c:v>256 KB</c:v>
                </c:pt>
                <c:pt idx="1">
                  <c:v>1024 KB</c:v>
                </c:pt>
                <c:pt idx="2">
                  <c:v>4096 KB</c:v>
                </c:pt>
                <c:pt idx="3">
                  <c:v>16384 KB</c:v>
                </c:pt>
              </c:strCache>
            </c:strRef>
          </c:cat>
          <c:val>
            <c:numRef>
              <c:f>'Write Path'!$B$45:$E$45</c:f>
              <c:numCache>
                <c:formatCode>General</c:formatCode>
                <c:ptCount val="4"/>
                <c:pt idx="0">
                  <c:v>10.6495178237457</c:v>
                </c:pt>
                <c:pt idx="1">
                  <c:v>10.3257950395946</c:v>
                </c:pt>
                <c:pt idx="2">
                  <c:v>11.224200888863</c:v>
                </c:pt>
                <c:pt idx="3">
                  <c:v>9.56192329372158</c:v>
                </c:pt>
              </c:numCache>
            </c:numRef>
          </c:val>
        </c:ser>
        <c:ser>
          <c:idx val="2"/>
          <c:order val="2"/>
          <c:tx>
            <c:strRef>
              <c:f>'Write Path'!A46</c:f>
              <c:strCache>
                <c:ptCount val="1"/>
                <c:pt idx="0">
                  <c:v>quantization</c:v>
                </c:pt>
              </c:strCache>
            </c:strRef>
          </c:tx>
          <c:spPr>
            <a:solidFill>
              <a:srgbClr val="8aa64f"/>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'Write Path'!$B$43:$E$43</c:f>
              <c:strCache>
                <c:ptCount val="4"/>
                <c:pt idx="0">
                  <c:v>256 KB</c:v>
                </c:pt>
                <c:pt idx="1">
                  <c:v>1024 KB</c:v>
                </c:pt>
                <c:pt idx="2">
                  <c:v>4096 KB</c:v>
                </c:pt>
                <c:pt idx="3">
                  <c:v>16384 KB</c:v>
                </c:pt>
              </c:strCache>
            </c:strRef>
          </c:cat>
          <c:val>
            <c:numRef>
              <c:f>'Write Path'!$B$46:$E$46</c:f>
              <c:numCache>
                <c:formatCode>General</c:formatCode>
                <c:ptCount val="4"/>
                <c:pt idx="0">
                  <c:v>20.4052074371078</c:v>
                </c:pt>
                <c:pt idx="1">
                  <c:v>20.7226895684527</c:v>
                </c:pt>
                <c:pt idx="2">
                  <c:v>20.7751907884412</c:v>
                </c:pt>
                <c:pt idx="3">
                  <c:v>19.9732832974279</c:v>
                </c:pt>
              </c:numCache>
            </c:numRef>
          </c:val>
        </c:ser>
        <c:ser>
          <c:idx val="3"/>
          <c:order val="3"/>
          <c:tx>
            <c:strRef>
              <c:f>'Write Path'!A47</c:f>
              <c:strCache>
                <c:ptCount val="1"/>
                <c:pt idx="0">
                  <c:v>bitpacking</c:v>
                </c:pt>
              </c:strCache>
            </c:strRef>
          </c:tx>
          <c:spPr>
            <a:solidFill>
              <a:srgbClr val="725990"/>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'Write Path'!$B$43:$E$43</c:f>
              <c:strCache>
                <c:ptCount val="4"/>
                <c:pt idx="0">
                  <c:v>256 KB</c:v>
                </c:pt>
                <c:pt idx="1">
                  <c:v>1024 KB</c:v>
                </c:pt>
                <c:pt idx="2">
                  <c:v>4096 KB</c:v>
                </c:pt>
                <c:pt idx="3">
                  <c:v>16384 KB</c:v>
                </c:pt>
              </c:strCache>
            </c:strRef>
          </c:cat>
          <c:val>
            <c:numRef>
              <c:f>'Write Path'!$B$47:$E$47</c:f>
              <c:numCache>
                <c:formatCode>General</c:formatCode>
                <c:ptCount val="4"/>
                <c:pt idx="0">
                  <c:v>2.6796243576243</c:v>
                </c:pt>
                <c:pt idx="1">
                  <c:v>2.75073264211705</c:v>
                </c:pt>
                <c:pt idx="2">
                  <c:v>2.73013931560461</c:v>
                </c:pt>
                <c:pt idx="3">
                  <c:v>2.53935308516142</c:v>
                </c:pt>
              </c:numCache>
            </c:numRef>
          </c:val>
        </c:ser>
        <c:ser>
          <c:idx val="4"/>
          <c:order val="4"/>
          <c:tx>
            <c:strRef>
              <c:f>'Write Path'!A48</c:f>
              <c:strCache>
                <c:ptCount val="1"/>
                <c:pt idx="0">
                  <c:v>compression</c:v>
                </c:pt>
              </c:strCache>
            </c:strRef>
          </c:tx>
          <c:spPr>
            <a:solidFill>
              <a:srgbClr val="4299b0"/>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'Write Path'!$B$43:$E$43</c:f>
              <c:strCache>
                <c:ptCount val="4"/>
                <c:pt idx="0">
                  <c:v>256 KB</c:v>
                </c:pt>
                <c:pt idx="1">
                  <c:v>1024 KB</c:v>
                </c:pt>
                <c:pt idx="2">
                  <c:v>4096 KB</c:v>
                </c:pt>
                <c:pt idx="3">
                  <c:v>16384 KB</c:v>
                </c:pt>
              </c:strCache>
            </c:strRef>
          </c:cat>
          <c:val>
            <c:numRef>
              <c:f>'Write Path'!$B$48:$E$48</c:f>
              <c:numCache>
                <c:formatCode>General</c:formatCode>
                <c:ptCount val="4"/>
                <c:pt idx="0">
                  <c:v>7.06329248482714</c:v>
                </c:pt>
                <c:pt idx="1">
                  <c:v>5.52592406050184</c:v>
                </c:pt>
                <c:pt idx="2">
                  <c:v>4.58697962927909</c:v>
                </c:pt>
                <c:pt idx="3">
                  <c:v>9.53176276185843</c:v>
                </c:pt>
              </c:numCache>
            </c:numRef>
          </c:val>
        </c:ser>
        <c:ser>
          <c:idx val="5"/>
          <c:order val="5"/>
          <c:tx>
            <c:strRef>
              <c:f>'Write Path'!A49</c:f>
              <c:strCache>
                <c:ptCount val="1"/>
                <c:pt idx="0">
                  <c:v>header / serialize / index</c:v>
                </c:pt>
              </c:strCache>
            </c:strRef>
          </c:tx>
          <c:spPr>
            <a:solidFill>
              <a:srgbClr val="dc853e"/>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'Write Path'!$B$43:$E$43</c:f>
              <c:strCache>
                <c:ptCount val="4"/>
                <c:pt idx="0">
                  <c:v>256 KB</c:v>
                </c:pt>
                <c:pt idx="1">
                  <c:v>1024 KB</c:v>
                </c:pt>
                <c:pt idx="2">
                  <c:v>4096 KB</c:v>
                </c:pt>
                <c:pt idx="3">
                  <c:v>16384 KB</c:v>
                </c:pt>
              </c:strCache>
            </c:strRef>
          </c:cat>
          <c:val>
            <c:numRef>
              <c:f>'Write Path'!$B$49:$E$49</c:f>
              <c:numCache>
                <c:formatCode>General</c:formatCode>
                <c:ptCount val="4"/>
                <c:pt idx="0">
                  <c:v>39.0537851583392</c:v>
                </c:pt>
                <c:pt idx="1">
                  <c:v>40.3606030864975</c:v>
                </c:pt>
                <c:pt idx="2">
                  <c:v>40.3504003442848</c:v>
                </c:pt>
                <c:pt idx="3">
                  <c:v>39.7885828565251</c:v>
                </c:pt>
              </c:numCache>
            </c:numRef>
          </c:val>
        </c:ser>
        <c:ser>
          <c:idx val="6"/>
          <c:order val="6"/>
          <c:tx>
            <c:strRef>
              <c:f>'Write Path'!A50</c:f>
              <c:strCache>
                <c:ptCount val="1"/>
                <c:pt idx="0">
                  <c:v>I/O: group to disk</c:v>
                </c:pt>
              </c:strCache>
            </c:strRef>
          </c:tx>
          <c:spPr>
            <a:solidFill>
              <a:srgbClr val="93a9ce"/>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'Write Path'!$B$43:$E$43</c:f>
              <c:strCache>
                <c:ptCount val="4"/>
                <c:pt idx="0">
                  <c:v>256 KB</c:v>
                </c:pt>
                <c:pt idx="1">
                  <c:v>1024 KB</c:v>
                </c:pt>
                <c:pt idx="2">
                  <c:v>4096 KB</c:v>
                </c:pt>
                <c:pt idx="3">
                  <c:v>16384 KB</c:v>
                </c:pt>
              </c:strCache>
            </c:strRef>
          </c:cat>
          <c:val>
            <c:numRef>
              <c:f>'Write Path'!$B$50:$E$50</c:f>
              <c:numCache>
                <c:formatCode>General</c:formatCode>
                <c:ptCount val="4"/>
                <c:pt idx="0">
                  <c:v>4.38810288641369</c:v>
                </c:pt>
                <c:pt idx="1">
                  <c:v>4.33903520649382</c:v>
                </c:pt>
                <c:pt idx="2">
                  <c:v>4.53766666181303</c:v>
                </c:pt>
                <c:pt idx="3">
                  <c:v>3.85770653323759</c:v>
                </c:pt>
              </c:numCache>
            </c:numRef>
          </c:val>
        </c:ser>
        <c:gapWidth val="60"/>
        <c:overlap val="0"/>
        <c:axId val="80819130"/>
        <c:axId val="2642461"/>
      </c:barChart>
      <c:catAx>
        <c:axId val="80819130"/>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group size (KB)</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642461"/>
        <c:crosses val="autoZero"/>
        <c:auto val="1"/>
        <c:lblAlgn val="ctr"/>
        <c:lblOffset val="100"/>
        <c:noMultiLvlLbl val="0"/>
      </c:catAx>
      <c:valAx>
        <c:axId val="2642461"/>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 of write</a:t>
                </a:r>
              </a:p>
            </c:rich>
          </c:tx>
          <c:overlay val="0"/>
          <c:spPr>
            <a:noFill/>
            <a:ln w="0">
              <a:noFill/>
            </a:ln>
          </c:spPr>
        </c:title>
        <c:numFmt formatCode="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80819130"/>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1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Read path composition, bound 1%</a:t>
            </a:r>
          </a:p>
        </c:rich>
      </c:tx>
      <c:overlay val="0"/>
      <c:spPr>
        <a:noFill/>
        <a:ln w="0">
          <a:noFill/>
        </a:ln>
      </c:spPr>
    </c:title>
    <c:autoTitleDeleted val="0"/>
    <c:plotArea>
      <c:barChart>
        <c:barDir val="col"/>
        <c:grouping val="stacked"/>
        <c:varyColors val="0"/>
        <c:ser>
          <c:idx val="0"/>
          <c:order val="0"/>
          <c:tx>
            <c:strRef>
              <c:f>'Read Path'!A6</c:f>
              <c:strCache>
                <c:ptCount val="1"/>
                <c:pt idx="0">
                  <c:v>file I/O</c:v>
                </c:pt>
              </c:strCache>
            </c:strRef>
          </c:tx>
          <c:spPr>
            <a:solidFill>
              <a:srgbClr val="4f81b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'Read Path'!$B$5:$E$5</c:f>
              <c:strCache>
                <c:ptCount val="4"/>
                <c:pt idx="0">
                  <c:v>256 KB</c:v>
                </c:pt>
                <c:pt idx="1">
                  <c:v>1024 KB</c:v>
                </c:pt>
                <c:pt idx="2">
                  <c:v>4096 KB</c:v>
                </c:pt>
                <c:pt idx="3">
                  <c:v>16384 KB</c:v>
                </c:pt>
              </c:strCache>
            </c:strRef>
          </c:cat>
          <c:val>
            <c:numRef>
              <c:f>'Read Path'!$B$6:$E$6</c:f>
              <c:numCache>
                <c:formatCode>General</c:formatCode>
                <c:ptCount val="4"/>
                <c:pt idx="0">
                  <c:v>0.0425326</c:v>
                </c:pt>
                <c:pt idx="1">
                  <c:v>0.0366151</c:v>
                </c:pt>
                <c:pt idx="2">
                  <c:v>0.0410518</c:v>
                </c:pt>
                <c:pt idx="3">
                  <c:v>0.0685541</c:v>
                </c:pt>
              </c:numCache>
            </c:numRef>
          </c:val>
        </c:ser>
        <c:ser>
          <c:idx val="1"/>
          <c:order val="1"/>
          <c:tx>
            <c:strRef>
              <c:f>'Read Path'!A7</c:f>
              <c:strCache>
                <c:ptCount val="1"/>
                <c:pt idx="0">
                  <c:v>decompression</c:v>
                </c:pt>
              </c:strCache>
            </c:strRef>
          </c:tx>
          <c:spPr>
            <a:solidFill>
              <a:srgbClr val="c0504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'Read Path'!$B$5:$E$5</c:f>
              <c:strCache>
                <c:ptCount val="4"/>
                <c:pt idx="0">
                  <c:v>256 KB</c:v>
                </c:pt>
                <c:pt idx="1">
                  <c:v>1024 KB</c:v>
                </c:pt>
                <c:pt idx="2">
                  <c:v>4096 KB</c:v>
                </c:pt>
                <c:pt idx="3">
                  <c:v>16384 KB</c:v>
                </c:pt>
              </c:strCache>
            </c:strRef>
          </c:cat>
          <c:val>
            <c:numRef>
              <c:f>'Read Path'!$B$7:$E$7</c:f>
              <c:numCache>
                <c:formatCode>General</c:formatCode>
                <c:ptCount val="4"/>
                <c:pt idx="0">
                  <c:v>0.0503619</c:v>
                </c:pt>
                <c:pt idx="1">
                  <c:v>0.0521807</c:v>
                </c:pt>
                <c:pt idx="2">
                  <c:v>0.0606564</c:v>
                </c:pt>
                <c:pt idx="3">
                  <c:v>0.278391</c:v>
                </c:pt>
              </c:numCache>
            </c:numRef>
          </c:val>
        </c:ser>
        <c:ser>
          <c:idx val="2"/>
          <c:order val="2"/>
          <c:tx>
            <c:strRef>
              <c:f>'Read Path'!A8</c:f>
              <c:strCache>
                <c:ptCount val="1"/>
                <c:pt idx="0">
                  <c:v>decoding</c:v>
                </c:pt>
              </c:strCache>
            </c:strRef>
          </c:tx>
          <c:spPr>
            <a:solidFill>
              <a:srgbClr val="9bbb59"/>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'Read Path'!$B$5:$E$5</c:f>
              <c:strCache>
                <c:ptCount val="4"/>
                <c:pt idx="0">
                  <c:v>256 KB</c:v>
                </c:pt>
                <c:pt idx="1">
                  <c:v>1024 KB</c:v>
                </c:pt>
                <c:pt idx="2">
                  <c:v>4096 KB</c:v>
                </c:pt>
                <c:pt idx="3">
                  <c:v>16384 KB</c:v>
                </c:pt>
              </c:strCache>
            </c:strRef>
          </c:cat>
          <c:val>
            <c:numRef>
              <c:f>'Read Path'!$B$8:$E$8</c:f>
              <c:numCache>
                <c:formatCode>General</c:formatCode>
                <c:ptCount val="4"/>
                <c:pt idx="0">
                  <c:v>1.83643</c:v>
                </c:pt>
                <c:pt idx="1">
                  <c:v>1.80201</c:v>
                </c:pt>
                <c:pt idx="2">
                  <c:v>1.97269</c:v>
                </c:pt>
                <c:pt idx="3">
                  <c:v>1.98123</c:v>
                </c:pt>
              </c:numCache>
            </c:numRef>
          </c:val>
        </c:ser>
        <c:ser>
          <c:idx val="3"/>
          <c:order val="3"/>
          <c:tx>
            <c:strRef>
              <c:f>'Read Path'!A9</c:f>
              <c:strCache>
                <c:ptCount val="1"/>
                <c:pt idx="0">
                  <c:v>column -&gt; row</c:v>
                </c:pt>
              </c:strCache>
            </c:strRef>
          </c:tx>
          <c:spPr>
            <a:solidFill>
              <a:srgbClr val="8064a2"/>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'Read Path'!$B$5:$E$5</c:f>
              <c:strCache>
                <c:ptCount val="4"/>
                <c:pt idx="0">
                  <c:v>256 KB</c:v>
                </c:pt>
                <c:pt idx="1">
                  <c:v>1024 KB</c:v>
                </c:pt>
                <c:pt idx="2">
                  <c:v>4096 KB</c:v>
                </c:pt>
                <c:pt idx="3">
                  <c:v>16384 KB</c:v>
                </c:pt>
              </c:strCache>
            </c:strRef>
          </c:cat>
          <c:val>
            <c:numRef>
              <c:f>'Read Path'!$B$9:$E$9</c:f>
              <c:numCache>
                <c:formatCode>General</c:formatCode>
                <c:ptCount val="4"/>
                <c:pt idx="0">
                  <c:v>0.591834</c:v>
                </c:pt>
                <c:pt idx="1">
                  <c:v>0.556759</c:v>
                </c:pt>
                <c:pt idx="2">
                  <c:v>0.695804</c:v>
                </c:pt>
                <c:pt idx="3">
                  <c:v>0.673944</c:v>
                </c:pt>
              </c:numCache>
            </c:numRef>
          </c:val>
        </c:ser>
        <c:ser>
          <c:idx val="4"/>
          <c:order val="4"/>
          <c:tx>
            <c:strRef>
              <c:f>'Read Path'!A10</c:f>
              <c:strCache>
                <c:ptCount val="1"/>
                <c:pt idx="0">
                  <c:v>cursor/buffer management</c:v>
                </c:pt>
              </c:strCache>
            </c:strRef>
          </c:tx>
          <c:spPr>
            <a:solidFill>
              <a:srgbClr val="4bacc6"/>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'Read Path'!$B$5:$E$5</c:f>
              <c:strCache>
                <c:ptCount val="4"/>
                <c:pt idx="0">
                  <c:v>256 KB</c:v>
                </c:pt>
                <c:pt idx="1">
                  <c:v>1024 KB</c:v>
                </c:pt>
                <c:pt idx="2">
                  <c:v>4096 KB</c:v>
                </c:pt>
                <c:pt idx="3">
                  <c:v>16384 KB</c:v>
                </c:pt>
              </c:strCache>
            </c:strRef>
          </c:cat>
          <c:val>
            <c:numRef>
              <c:f>'Read Path'!$B$10:$E$10</c:f>
              <c:numCache>
                <c:formatCode>General</c:formatCode>
                <c:ptCount val="4"/>
                <c:pt idx="0">
                  <c:v>1.12132</c:v>
                </c:pt>
                <c:pt idx="1">
                  <c:v>1.10338</c:v>
                </c:pt>
                <c:pt idx="2">
                  <c:v>1.33038</c:v>
                </c:pt>
                <c:pt idx="3">
                  <c:v>1.33662</c:v>
                </c:pt>
              </c:numCache>
            </c:numRef>
          </c:val>
        </c:ser>
        <c:gapWidth val="60"/>
        <c:overlap val="100"/>
        <c:axId val="65578334"/>
        <c:axId val="28104"/>
      </c:barChart>
      <c:catAx>
        <c:axId val="65578334"/>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group size (KB)</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8104"/>
        <c:crosses val="autoZero"/>
        <c:auto val="1"/>
        <c:lblAlgn val="ctr"/>
        <c:lblOffset val="100"/>
        <c:noMultiLvlLbl val="0"/>
      </c:catAx>
      <c:valAx>
        <c:axId val="28104"/>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seconds</a:t>
                </a:r>
              </a:p>
            </c:rich>
          </c:tx>
          <c:overlay val="0"/>
          <c:spPr>
            <a:noFill/>
            <a:ln w="0">
              <a:noFill/>
            </a:ln>
          </c:spPr>
        </c:title>
        <c:numFmt formatCode="0.0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5578334"/>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1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Read stage shares, bound 1%</a:t>
            </a:r>
          </a:p>
        </c:rich>
      </c:tx>
      <c:overlay val="0"/>
      <c:spPr>
        <a:noFill/>
        <a:ln w="0">
          <a:noFill/>
        </a:ln>
      </c:spPr>
    </c:title>
    <c:autoTitleDeleted val="0"/>
    <c:plotArea>
      <c:barChart>
        <c:barDir val="col"/>
        <c:grouping val="clustered"/>
        <c:varyColors val="0"/>
        <c:ser>
          <c:idx val="0"/>
          <c:order val="0"/>
          <c:tx>
            <c:strRef>
              <c:f>'Read Path'!A41</c:f>
              <c:strCache>
                <c:ptCount val="1"/>
                <c:pt idx="0">
                  <c:v>file I/O</c:v>
                </c:pt>
              </c:strCache>
            </c:strRef>
          </c:tx>
          <c:spPr>
            <a:solidFill>
              <a:srgbClr val="4f81b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'Read Path'!$B$40:$E$40</c:f>
              <c:strCache>
                <c:ptCount val="4"/>
                <c:pt idx="0">
                  <c:v>256 KB</c:v>
                </c:pt>
                <c:pt idx="1">
                  <c:v>1024 KB</c:v>
                </c:pt>
                <c:pt idx="2">
                  <c:v>4096 KB</c:v>
                </c:pt>
                <c:pt idx="3">
                  <c:v>16384 KB</c:v>
                </c:pt>
              </c:strCache>
            </c:strRef>
          </c:cat>
          <c:val>
            <c:numRef>
              <c:f>'Read Path'!$B$41:$E$41</c:f>
              <c:numCache>
                <c:formatCode>General</c:formatCode>
                <c:ptCount val="4"/>
                <c:pt idx="0">
                  <c:v>1.16768245810547</c:v>
                </c:pt>
                <c:pt idx="1">
                  <c:v>1.03113823381978</c:v>
                </c:pt>
                <c:pt idx="2">
                  <c:v>1.00112179252691</c:v>
                </c:pt>
                <c:pt idx="3">
                  <c:v>1.58004628071744</c:v>
                </c:pt>
              </c:numCache>
            </c:numRef>
          </c:val>
        </c:ser>
        <c:ser>
          <c:idx val="1"/>
          <c:order val="1"/>
          <c:tx>
            <c:strRef>
              <c:f>'Read Path'!A42</c:f>
              <c:strCache>
                <c:ptCount val="1"/>
                <c:pt idx="0">
                  <c:v>decompression</c:v>
                </c:pt>
              </c:strCache>
            </c:strRef>
          </c:tx>
          <c:spPr>
            <a:solidFill>
              <a:srgbClr val="c0504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'Read Path'!$B$40:$E$40</c:f>
              <c:strCache>
                <c:ptCount val="4"/>
                <c:pt idx="0">
                  <c:v>256 KB</c:v>
                </c:pt>
                <c:pt idx="1">
                  <c:v>1024 KB</c:v>
                </c:pt>
                <c:pt idx="2">
                  <c:v>4096 KB</c:v>
                </c:pt>
                <c:pt idx="3">
                  <c:v>16384 KB</c:v>
                </c:pt>
              </c:strCache>
            </c:strRef>
          </c:cat>
          <c:val>
            <c:numRef>
              <c:f>'Read Path'!$B$42:$E$42</c:f>
              <c:numCache>
                <c:formatCode>General</c:formatCode>
                <c:ptCount val="4"/>
                <c:pt idx="0">
                  <c:v>1.3826266719378</c:v>
                </c:pt>
                <c:pt idx="1">
                  <c:v>1.46948976890626</c:v>
                </c:pt>
                <c:pt idx="2">
                  <c:v>1.47921513541987</c:v>
                </c:pt>
                <c:pt idx="3">
                  <c:v>6.41640199689311</c:v>
                </c:pt>
              </c:numCache>
            </c:numRef>
          </c:val>
        </c:ser>
        <c:ser>
          <c:idx val="2"/>
          <c:order val="2"/>
          <c:tx>
            <c:strRef>
              <c:f>'Read Path'!A43</c:f>
              <c:strCache>
                <c:ptCount val="1"/>
                <c:pt idx="0">
                  <c:v>decoding</c:v>
                </c:pt>
              </c:strCache>
            </c:strRef>
          </c:tx>
          <c:spPr>
            <a:solidFill>
              <a:srgbClr val="9bbb59"/>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'Read Path'!$B$40:$E$40</c:f>
              <c:strCache>
                <c:ptCount val="4"/>
                <c:pt idx="0">
                  <c:v>256 KB</c:v>
                </c:pt>
                <c:pt idx="1">
                  <c:v>1024 KB</c:v>
                </c:pt>
                <c:pt idx="2">
                  <c:v>4096 KB</c:v>
                </c:pt>
                <c:pt idx="3">
                  <c:v>16384 KB</c:v>
                </c:pt>
              </c:strCache>
            </c:strRef>
          </c:cat>
          <c:val>
            <c:numRef>
              <c:f>'Read Path'!$B$43:$E$43</c:f>
              <c:numCache>
                <c:formatCode>General</c:formatCode>
                <c:ptCount val="4"/>
                <c:pt idx="0">
                  <c:v>50.4170235663614</c:v>
                </c:pt>
                <c:pt idx="1">
                  <c:v>50.7474077286578</c:v>
                </c:pt>
                <c:pt idx="2">
                  <c:v>48.1075847806896</c:v>
                </c:pt>
                <c:pt idx="3">
                  <c:v>45.6637180379557</c:v>
                </c:pt>
              </c:numCache>
            </c:numRef>
          </c:val>
        </c:ser>
        <c:ser>
          <c:idx val="3"/>
          <c:order val="3"/>
          <c:tx>
            <c:strRef>
              <c:f>'Read Path'!A44</c:f>
              <c:strCache>
                <c:ptCount val="1"/>
                <c:pt idx="0">
                  <c:v>column -&gt; row</c:v>
                </c:pt>
              </c:strCache>
            </c:strRef>
          </c:tx>
          <c:spPr>
            <a:solidFill>
              <a:srgbClr val="8064a2"/>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'Read Path'!$B$40:$E$40</c:f>
              <c:strCache>
                <c:ptCount val="4"/>
                <c:pt idx="0">
                  <c:v>256 KB</c:v>
                </c:pt>
                <c:pt idx="1">
                  <c:v>1024 KB</c:v>
                </c:pt>
                <c:pt idx="2">
                  <c:v>4096 KB</c:v>
                </c:pt>
                <c:pt idx="3">
                  <c:v>16384 KB</c:v>
                </c:pt>
              </c:strCache>
            </c:strRef>
          </c:cat>
          <c:val>
            <c:numRef>
              <c:f>'Read Path'!$B$44:$E$44</c:f>
              <c:numCache>
                <c:formatCode>General</c:formatCode>
                <c:ptCount val="4"/>
                <c:pt idx="0">
                  <c:v>16.2481056862358</c:v>
                </c:pt>
                <c:pt idx="1">
                  <c:v>15.6792004370674</c:v>
                </c:pt>
                <c:pt idx="2">
                  <c:v>16.9684288564057</c:v>
                </c:pt>
                <c:pt idx="3">
                  <c:v>15.5331732254065</c:v>
                </c:pt>
              </c:numCache>
            </c:numRef>
          </c:val>
        </c:ser>
        <c:ser>
          <c:idx val="4"/>
          <c:order val="4"/>
          <c:tx>
            <c:strRef>
              <c:f>'Read Path'!A45</c:f>
              <c:strCache>
                <c:ptCount val="1"/>
                <c:pt idx="0">
                  <c:v>cursor/buffer management</c:v>
                </c:pt>
              </c:strCache>
            </c:strRef>
          </c:tx>
          <c:spPr>
            <a:solidFill>
              <a:srgbClr val="4bacc6"/>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'Read Path'!$B$40:$E$40</c:f>
              <c:strCache>
                <c:ptCount val="4"/>
                <c:pt idx="0">
                  <c:v>256 KB</c:v>
                </c:pt>
                <c:pt idx="1">
                  <c:v>1024 KB</c:v>
                </c:pt>
                <c:pt idx="2">
                  <c:v>4096 KB</c:v>
                </c:pt>
                <c:pt idx="3">
                  <c:v>16384 KB</c:v>
                </c:pt>
              </c:strCache>
            </c:strRef>
          </c:cat>
          <c:val>
            <c:numRef>
              <c:f>'Read Path'!$B$45:$E$45</c:f>
              <c:numCache>
                <c:formatCode>General</c:formatCode>
                <c:ptCount val="4"/>
                <c:pt idx="0">
                  <c:v>30.7845204366256</c:v>
                </c:pt>
                <c:pt idx="1">
                  <c:v>31.0728990070235</c:v>
                </c:pt>
                <c:pt idx="2">
                  <c:v>32.4437030859049</c:v>
                </c:pt>
                <c:pt idx="3">
                  <c:v>30.8066397156778</c:v>
                </c:pt>
              </c:numCache>
            </c:numRef>
          </c:val>
        </c:ser>
        <c:gapWidth val="60"/>
        <c:overlap val="0"/>
        <c:axId val="16257457"/>
        <c:axId val="87360722"/>
      </c:barChart>
      <c:catAx>
        <c:axId val="16257457"/>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group size (KB)</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87360722"/>
        <c:crosses val="autoZero"/>
        <c:auto val="1"/>
        <c:lblAlgn val="ctr"/>
        <c:lblOffset val="100"/>
        <c:noMultiLvlLbl val="0"/>
      </c:catAx>
      <c:valAx>
        <c:axId val="87360722"/>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 of read</a:t>
                </a:r>
              </a:p>
            </c:rich>
          </c:tx>
          <c:overlay val="0"/>
          <c:spPr>
            <a:noFill/>
            <a:ln w="0">
              <a:noFill/>
            </a:ln>
          </c:spPr>
        </c:title>
        <c:numFmt formatCode="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6257457"/>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1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Throughput, bound 1%</a:t>
            </a:r>
          </a:p>
        </c:rich>
      </c:tx>
      <c:overlay val="0"/>
      <c:spPr>
        <a:noFill/>
        <a:ln w="0">
          <a:noFill/>
        </a:ln>
      </c:spPr>
    </c:title>
    <c:autoTitleDeleted val="0"/>
    <c:plotArea>
      <c:barChart>
        <c:barDir val="col"/>
        <c:grouping val="clustered"/>
        <c:varyColors val="0"/>
        <c:ser>
          <c:idx val="0"/>
          <c:order val="0"/>
          <c:tx>
            <c:strRef>
              <c:f>Throughput!A6</c:f>
              <c:strCache>
                <c:ptCount val="1"/>
                <c:pt idx="0">
                  <c:v>CSV parse (not the store)</c:v>
                </c:pt>
              </c:strCache>
            </c:strRef>
          </c:tx>
          <c:spPr>
            <a:solidFill>
              <a:srgbClr val="4672a8"/>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Throughput!$B$5:$E$5</c:f>
              <c:strCache>
                <c:ptCount val="4"/>
                <c:pt idx="0">
                  <c:v>256 KB</c:v>
                </c:pt>
                <c:pt idx="1">
                  <c:v>1024 KB</c:v>
                </c:pt>
                <c:pt idx="2">
                  <c:v>4096 KB</c:v>
                </c:pt>
                <c:pt idx="3">
                  <c:v>16384 KB</c:v>
                </c:pt>
              </c:strCache>
            </c:strRef>
          </c:cat>
          <c:val>
            <c:numRef>
              <c:f>Throughput!$B$6:$E$6</c:f>
              <c:numCache>
                <c:formatCode>General</c:formatCode>
                <c:ptCount val="4"/>
                <c:pt idx="0">
                  <c:v>159.020869826601</c:v>
                </c:pt>
                <c:pt idx="1">
                  <c:v>161.386770766263</c:v>
                </c:pt>
                <c:pt idx="2">
                  <c:v>159.562684005563</c:v>
                </c:pt>
                <c:pt idx="3">
                  <c:v>156.814396075705</c:v>
                </c:pt>
              </c:numCache>
            </c:numRef>
          </c:val>
        </c:ser>
        <c:ser>
          <c:idx val="1"/>
          <c:order val="1"/>
          <c:tx>
            <c:strRef>
              <c:f>Throughput!A7</c:f>
              <c:strCache>
                <c:ptCount val="1"/>
                <c:pt idx="0">
                  <c:v>store write</c:v>
                </c:pt>
              </c:strCache>
            </c:strRef>
          </c:tx>
          <c:spPr>
            <a:solidFill>
              <a:srgbClr val="ab4744"/>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Throughput!$B$5:$E$5</c:f>
              <c:strCache>
                <c:ptCount val="4"/>
                <c:pt idx="0">
                  <c:v>256 KB</c:v>
                </c:pt>
                <c:pt idx="1">
                  <c:v>1024 KB</c:v>
                </c:pt>
                <c:pt idx="2">
                  <c:v>4096 KB</c:v>
                </c:pt>
                <c:pt idx="3">
                  <c:v>16384 KB</c:v>
                </c:pt>
              </c:strCache>
            </c:strRef>
          </c:cat>
          <c:val>
            <c:numRef>
              <c:f>Throughput!$B$7:$E$7</c:f>
              <c:numCache>
                <c:formatCode>General</c:formatCode>
                <c:ptCount val="4"/>
                <c:pt idx="0">
                  <c:v>198.584198969541</c:v>
                </c:pt>
                <c:pt idx="1">
                  <c:v>206.226466189795</c:v>
                </c:pt>
                <c:pt idx="2">
                  <c:v>193.433674220546</c:v>
                </c:pt>
                <c:pt idx="3">
                  <c:v>184.638668180098</c:v>
                </c:pt>
              </c:numCache>
            </c:numRef>
          </c:val>
        </c:ser>
        <c:ser>
          <c:idx val="2"/>
          <c:order val="2"/>
          <c:tx>
            <c:strRef>
              <c:f>Throughput!A8</c:f>
              <c:strCache>
                <c:ptCount val="1"/>
                <c:pt idx="0">
                  <c:v>store read</c:v>
                </c:pt>
              </c:strCache>
            </c:strRef>
          </c:tx>
          <c:spPr>
            <a:solidFill>
              <a:srgbClr val="8aa64f"/>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Throughput!$B$5:$E$5</c:f>
              <c:strCache>
                <c:ptCount val="4"/>
                <c:pt idx="0">
                  <c:v>256 KB</c:v>
                </c:pt>
                <c:pt idx="1">
                  <c:v>1024 KB</c:v>
                </c:pt>
                <c:pt idx="2">
                  <c:v>4096 KB</c:v>
                </c:pt>
                <c:pt idx="3">
                  <c:v>16384 KB</c:v>
                </c:pt>
              </c:strCache>
            </c:strRef>
          </c:cat>
          <c:val>
            <c:numRef>
              <c:f>Throughput!$B$8:$E$8</c:f>
              <c:numCache>
                <c:formatCode>General</c:formatCode>
                <c:ptCount val="4"/>
                <c:pt idx="0">
                  <c:v>328.237903845732</c:v>
                </c:pt>
                <c:pt idx="1">
                  <c:v>336.699578139873</c:v>
                </c:pt>
                <c:pt idx="2">
                  <c:v>291.568509820562</c:v>
                </c:pt>
                <c:pt idx="3">
                  <c:v>275.563873382595</c:v>
                </c:pt>
              </c:numCache>
            </c:numRef>
          </c:val>
        </c:ser>
        <c:ser>
          <c:idx val="3"/>
          <c:order val="3"/>
          <c:tx>
            <c:strRef>
              <c:f>Throughput!A9</c:f>
              <c:strCache>
                <c:ptCount val="1"/>
                <c:pt idx="0">
                  <c:v>row -&gt; column</c:v>
                </c:pt>
              </c:strCache>
            </c:strRef>
          </c:tx>
          <c:spPr>
            <a:solidFill>
              <a:srgbClr val="725990"/>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Throughput!$B$5:$E$5</c:f>
              <c:strCache>
                <c:ptCount val="4"/>
                <c:pt idx="0">
                  <c:v>256 KB</c:v>
                </c:pt>
                <c:pt idx="1">
                  <c:v>1024 KB</c:v>
                </c:pt>
                <c:pt idx="2">
                  <c:v>4096 KB</c:v>
                </c:pt>
                <c:pt idx="3">
                  <c:v>16384 KB</c:v>
                </c:pt>
              </c:strCache>
            </c:strRef>
          </c:cat>
          <c:val>
            <c:numRef>
              <c:f>Throughput!$B$9:$E$9</c:f>
              <c:numCache>
                <c:formatCode>General</c:formatCode>
                <c:ptCount val="4"/>
                <c:pt idx="0">
                  <c:v>1864.72479088911</c:v>
                </c:pt>
                <c:pt idx="1">
                  <c:v>1997.19697513861</c:v>
                </c:pt>
                <c:pt idx="2">
                  <c:v>1723.36254612546</c:v>
                </c:pt>
                <c:pt idx="3">
                  <c:v>1930.97834513412</c:v>
                </c:pt>
              </c:numCache>
            </c:numRef>
          </c:val>
        </c:ser>
        <c:ser>
          <c:idx val="4"/>
          <c:order val="4"/>
          <c:tx>
            <c:strRef>
              <c:f>Throughput!A10</c:f>
              <c:strCache>
                <c:ptCount val="1"/>
                <c:pt idx="0">
                  <c:v>column -&gt; row</c:v>
                </c:pt>
              </c:strCache>
            </c:strRef>
          </c:tx>
          <c:spPr>
            <a:solidFill>
              <a:srgbClr val="4299b0"/>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Throughput!$B$5:$E$5</c:f>
              <c:strCache>
                <c:ptCount val="4"/>
                <c:pt idx="0">
                  <c:v>256 KB</c:v>
                </c:pt>
                <c:pt idx="1">
                  <c:v>1024 KB</c:v>
                </c:pt>
                <c:pt idx="2">
                  <c:v>4096 KB</c:v>
                </c:pt>
                <c:pt idx="3">
                  <c:v>16384 KB</c:v>
                </c:pt>
              </c:strCache>
            </c:strRef>
          </c:cat>
          <c:val>
            <c:numRef>
              <c:f>Throughput!$B$10:$E$10</c:f>
              <c:numCache>
                <c:formatCode>General</c:formatCode>
                <c:ptCount val="4"/>
                <c:pt idx="0">
                  <c:v>2020.16105867524</c:v>
                </c:pt>
                <c:pt idx="1">
                  <c:v>2147.42824094447</c:v>
                </c:pt>
                <c:pt idx="2">
                  <c:v>1718.29998102914</c:v>
                </c:pt>
                <c:pt idx="3">
                  <c:v>1774.03463789276</c:v>
                </c:pt>
              </c:numCache>
            </c:numRef>
          </c:val>
        </c:ser>
        <c:ser>
          <c:idx val="5"/>
          <c:order val="5"/>
          <c:tx>
            <c:strRef>
              <c:f>Throughput!A11</c:f>
              <c:strCache>
                <c:ptCount val="1"/>
                <c:pt idx="0">
                  <c:v>write I/O</c:v>
                </c:pt>
              </c:strCache>
            </c:strRef>
          </c:tx>
          <c:spPr>
            <a:solidFill>
              <a:srgbClr val="dc853e"/>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Throughput!$B$5:$E$5</c:f>
              <c:strCache>
                <c:ptCount val="4"/>
                <c:pt idx="0">
                  <c:v>256 KB</c:v>
                </c:pt>
                <c:pt idx="1">
                  <c:v>1024 KB</c:v>
                </c:pt>
                <c:pt idx="2">
                  <c:v>4096 KB</c:v>
                </c:pt>
                <c:pt idx="3">
                  <c:v>16384 KB</c:v>
                </c:pt>
              </c:strCache>
            </c:strRef>
          </c:cat>
          <c:val>
            <c:numRef>
              <c:f>Throughput!$B$11:$E$11</c:f>
              <c:numCache>
                <c:formatCode>General</c:formatCode>
                <c:ptCount val="4"/>
                <c:pt idx="0">
                  <c:v>4525.51373816671</c:v>
                </c:pt>
                <c:pt idx="1">
                  <c:v>4752.81845791792</c:v>
                </c:pt>
                <c:pt idx="2">
                  <c:v>4262.84451099939</c:v>
                </c:pt>
                <c:pt idx="3">
                  <c:v>4786.22898318655</c:v>
                </c:pt>
              </c:numCache>
            </c:numRef>
          </c:val>
        </c:ser>
        <c:ser>
          <c:idx val="6"/>
          <c:order val="6"/>
          <c:tx>
            <c:strRef>
              <c:f>Throughput!A12</c:f>
              <c:strCache>
                <c:ptCount val="1"/>
                <c:pt idx="0">
                  <c:v>read I/O</c:v>
                </c:pt>
              </c:strCache>
            </c:strRef>
          </c:tx>
          <c:spPr>
            <a:solidFill>
              <a:srgbClr val="93a9ce"/>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Throughput!$B$5:$E$5</c:f>
              <c:strCache>
                <c:ptCount val="4"/>
                <c:pt idx="0">
                  <c:v>256 KB</c:v>
                </c:pt>
                <c:pt idx="1">
                  <c:v>1024 KB</c:v>
                </c:pt>
                <c:pt idx="2">
                  <c:v>4096 KB</c:v>
                </c:pt>
                <c:pt idx="3">
                  <c:v>16384 KB</c:v>
                </c:pt>
              </c:strCache>
            </c:strRef>
          </c:cat>
          <c:val>
            <c:numRef>
              <c:f>Throughput!$B$12:$E$12</c:f>
              <c:numCache>
                <c:formatCode>General</c:formatCode>
                <c:ptCount val="4"/>
                <c:pt idx="0">
                  <c:v>28110.2025270028</c:v>
                </c:pt>
                <c:pt idx="1">
                  <c:v>32653.1949933224</c:v>
                </c:pt>
                <c:pt idx="2">
                  <c:v>29124.179694922</c:v>
                </c:pt>
                <c:pt idx="3">
                  <c:v>17440.2406274752</c:v>
                </c:pt>
              </c:numCache>
            </c:numRef>
          </c:val>
        </c:ser>
        <c:gapWidth val="60"/>
        <c:overlap val="0"/>
        <c:axId val="22723205"/>
        <c:axId val="29527335"/>
      </c:barChart>
      <c:catAx>
        <c:axId val="22723205"/>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group size (KB)</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9527335"/>
        <c:crosses val="autoZero"/>
        <c:auto val="1"/>
        <c:lblAlgn val="ctr"/>
        <c:lblOffset val="100"/>
        <c:noMultiLvlLbl val="0"/>
      </c:catAx>
      <c:valAx>
        <c:axId val="29527335"/>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MB/s</a:t>
                </a:r>
              </a:p>
            </c:rich>
          </c:tx>
          <c:overlay val="0"/>
          <c:spPr>
            <a:noFill/>
            <a:ln w="0">
              <a:noFill/>
            </a:ln>
          </c:spPr>
        </c:title>
        <c:numFmt formatCode="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2723205"/>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 Id="rId5" Type="http://schemas.openxmlformats.org/officeDocument/2006/relationships/chart" Target="../charts/chart5.xml"/>
</Relationships>
</file>

<file path=xl/drawings/_rels/drawing2.xml.rels><?xml version="1.0" encoding="UTF-8"?>
<Relationships xmlns="http://schemas.openxmlformats.org/package/2006/relationships"><Relationship Id="rId1" Type="http://schemas.openxmlformats.org/officeDocument/2006/relationships/chart" Target="../charts/chart6.xml"/><Relationship Id="rId2" Type="http://schemas.openxmlformats.org/officeDocument/2006/relationships/chart" Target="../charts/chart7.xml"/><Relationship Id="rId3" Type="http://schemas.openxmlformats.org/officeDocument/2006/relationships/chart" Target="../charts/chart8.xml"/>
</Relationships>
</file>

<file path=xl/drawings/_rels/drawing3.xml.rels><?xml version="1.0" encoding="UTF-8"?>
<Relationships xmlns="http://schemas.openxmlformats.org/package/2006/relationships"><Relationship Id="rId1" Type="http://schemas.openxmlformats.org/officeDocument/2006/relationships/chart" Target="../charts/chart9.xml"/><Relationship Id="rId2" Type="http://schemas.openxmlformats.org/officeDocument/2006/relationships/chart" Target="../charts/chart10.xml"/>
</Relationships>
</file>

<file path=xl/drawings/_rels/drawing4.xml.rels><?xml version="1.0" encoding="UTF-8"?>
<Relationships xmlns="http://schemas.openxmlformats.org/package/2006/relationships"><Relationship Id="rId1" Type="http://schemas.openxmlformats.org/officeDocument/2006/relationships/chart" Target="../charts/chart11.xml"/><Relationship Id="rId2" Type="http://schemas.openxmlformats.org/officeDocument/2006/relationships/chart" Target="../charts/chart12.xml"/>
</Relationships>
</file>

<file path=xl/drawings/_rels/drawing5.xml.rels><?xml version="1.0" encoding="UTF-8"?>
<Relationships xmlns="http://schemas.openxmlformats.org/package/2006/relationships"><Relationship Id="rId1" Type="http://schemas.openxmlformats.org/officeDocument/2006/relationships/chart" Target="../charts/chart13.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9</xdr:row>
      <xdr:rowOff>0</xdr:rowOff>
    </xdr:from>
    <xdr:to>
      <xdr:col>5</xdr:col>
      <xdr:colOff>274320</xdr:colOff>
      <xdr:row>29</xdr:row>
      <xdr:rowOff>149760</xdr:rowOff>
    </xdr:to>
    <xdr:graphicFrame>
      <xdr:nvGraphicFramePr>
        <xdr:cNvPr id="0" name="Chart 1"/>
        <xdr:cNvGraphicFramePr/>
      </xdr:nvGraphicFramePr>
      <xdr:xfrm>
        <a:off x="0" y="1714680"/>
        <a:ext cx="7919640" cy="395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46</xdr:row>
      <xdr:rowOff>0</xdr:rowOff>
    </xdr:from>
    <xdr:to>
      <xdr:col>5</xdr:col>
      <xdr:colOff>274320</xdr:colOff>
      <xdr:row>66</xdr:row>
      <xdr:rowOff>149760</xdr:rowOff>
    </xdr:to>
    <xdr:graphicFrame>
      <xdr:nvGraphicFramePr>
        <xdr:cNvPr id="1" name="Chart 2"/>
        <xdr:cNvGraphicFramePr/>
      </xdr:nvGraphicFramePr>
      <xdr:xfrm>
        <a:off x="0" y="8763120"/>
        <a:ext cx="7919640" cy="395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0</xdr:colOff>
      <xdr:row>81</xdr:row>
      <xdr:rowOff>0</xdr:rowOff>
    </xdr:from>
    <xdr:to>
      <xdr:col>5</xdr:col>
      <xdr:colOff>274320</xdr:colOff>
      <xdr:row>101</xdr:row>
      <xdr:rowOff>149760</xdr:rowOff>
    </xdr:to>
    <xdr:graphicFrame>
      <xdr:nvGraphicFramePr>
        <xdr:cNvPr id="2" name="Chart 3"/>
        <xdr:cNvGraphicFramePr/>
      </xdr:nvGraphicFramePr>
      <xdr:xfrm>
        <a:off x="0" y="15430680"/>
        <a:ext cx="7919640" cy="395964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118</xdr:row>
      <xdr:rowOff>0</xdr:rowOff>
    </xdr:from>
    <xdr:to>
      <xdr:col>5</xdr:col>
      <xdr:colOff>274320</xdr:colOff>
      <xdr:row>138</xdr:row>
      <xdr:rowOff>149760</xdr:rowOff>
    </xdr:to>
    <xdr:graphicFrame>
      <xdr:nvGraphicFramePr>
        <xdr:cNvPr id="3" name="Chart 4"/>
        <xdr:cNvGraphicFramePr/>
      </xdr:nvGraphicFramePr>
      <xdr:xfrm>
        <a:off x="0" y="22479120"/>
        <a:ext cx="7919640" cy="395964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0</xdr:colOff>
      <xdr:row>153</xdr:row>
      <xdr:rowOff>0</xdr:rowOff>
    </xdr:from>
    <xdr:to>
      <xdr:col>5</xdr:col>
      <xdr:colOff>274320</xdr:colOff>
      <xdr:row>173</xdr:row>
      <xdr:rowOff>149760</xdr:rowOff>
    </xdr:to>
    <xdr:graphicFrame>
      <xdr:nvGraphicFramePr>
        <xdr:cNvPr id="4" name="Chart 5"/>
        <xdr:cNvGraphicFramePr/>
      </xdr:nvGraphicFramePr>
      <xdr:xfrm>
        <a:off x="0" y="29146680"/>
        <a:ext cx="7919640" cy="395964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10</xdr:row>
      <xdr:rowOff>0</xdr:rowOff>
    </xdr:from>
    <xdr:to>
      <xdr:col>5</xdr:col>
      <xdr:colOff>96480</xdr:colOff>
      <xdr:row>30</xdr:row>
      <xdr:rowOff>149760</xdr:rowOff>
    </xdr:to>
    <xdr:graphicFrame>
      <xdr:nvGraphicFramePr>
        <xdr:cNvPr id="5" name="Chart 1"/>
        <xdr:cNvGraphicFramePr/>
      </xdr:nvGraphicFramePr>
      <xdr:xfrm>
        <a:off x="0" y="1905120"/>
        <a:ext cx="7919640" cy="395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44</xdr:row>
      <xdr:rowOff>0</xdr:rowOff>
    </xdr:from>
    <xdr:to>
      <xdr:col>5</xdr:col>
      <xdr:colOff>96480</xdr:colOff>
      <xdr:row>64</xdr:row>
      <xdr:rowOff>149400</xdr:rowOff>
    </xdr:to>
    <xdr:graphicFrame>
      <xdr:nvGraphicFramePr>
        <xdr:cNvPr id="6" name="Chart 2"/>
        <xdr:cNvGraphicFramePr/>
      </xdr:nvGraphicFramePr>
      <xdr:xfrm>
        <a:off x="0" y="8381880"/>
        <a:ext cx="7919640" cy="395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0</xdr:colOff>
      <xdr:row>77</xdr:row>
      <xdr:rowOff>0</xdr:rowOff>
    </xdr:from>
    <xdr:to>
      <xdr:col>5</xdr:col>
      <xdr:colOff>96480</xdr:colOff>
      <xdr:row>97</xdr:row>
      <xdr:rowOff>149760</xdr:rowOff>
    </xdr:to>
    <xdr:graphicFrame>
      <xdr:nvGraphicFramePr>
        <xdr:cNvPr id="7" name="Chart 3"/>
        <xdr:cNvGraphicFramePr/>
      </xdr:nvGraphicFramePr>
      <xdr:xfrm>
        <a:off x="0" y="14668560"/>
        <a:ext cx="7919640" cy="395964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13</xdr:row>
      <xdr:rowOff>0</xdr:rowOff>
    </xdr:from>
    <xdr:to>
      <xdr:col>5</xdr:col>
      <xdr:colOff>274320</xdr:colOff>
      <xdr:row>33</xdr:row>
      <xdr:rowOff>149400</xdr:rowOff>
    </xdr:to>
    <xdr:graphicFrame>
      <xdr:nvGraphicFramePr>
        <xdr:cNvPr id="8" name="Chart 1"/>
        <xdr:cNvGraphicFramePr/>
      </xdr:nvGraphicFramePr>
      <xdr:xfrm>
        <a:off x="0" y="2476440"/>
        <a:ext cx="7919640" cy="395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51</xdr:row>
      <xdr:rowOff>0</xdr:rowOff>
    </xdr:from>
    <xdr:to>
      <xdr:col>5</xdr:col>
      <xdr:colOff>274320</xdr:colOff>
      <xdr:row>71</xdr:row>
      <xdr:rowOff>149760</xdr:rowOff>
    </xdr:to>
    <xdr:graphicFrame>
      <xdr:nvGraphicFramePr>
        <xdr:cNvPr id="9" name="Chart 2"/>
        <xdr:cNvGraphicFramePr/>
      </xdr:nvGraphicFramePr>
      <xdr:xfrm>
        <a:off x="0" y="9715680"/>
        <a:ext cx="7919640" cy="395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11</xdr:row>
      <xdr:rowOff>0</xdr:rowOff>
    </xdr:from>
    <xdr:to>
      <xdr:col>5</xdr:col>
      <xdr:colOff>274320</xdr:colOff>
      <xdr:row>31</xdr:row>
      <xdr:rowOff>149760</xdr:rowOff>
    </xdr:to>
    <xdr:graphicFrame>
      <xdr:nvGraphicFramePr>
        <xdr:cNvPr id="10" name="Chart 1"/>
        <xdr:cNvGraphicFramePr/>
      </xdr:nvGraphicFramePr>
      <xdr:xfrm>
        <a:off x="0" y="2095560"/>
        <a:ext cx="7919640" cy="395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46</xdr:row>
      <xdr:rowOff>0</xdr:rowOff>
    </xdr:from>
    <xdr:to>
      <xdr:col>5</xdr:col>
      <xdr:colOff>274320</xdr:colOff>
      <xdr:row>66</xdr:row>
      <xdr:rowOff>149760</xdr:rowOff>
    </xdr:to>
    <xdr:graphicFrame>
      <xdr:nvGraphicFramePr>
        <xdr:cNvPr id="11" name="Chart 2"/>
        <xdr:cNvGraphicFramePr/>
      </xdr:nvGraphicFramePr>
      <xdr:xfrm>
        <a:off x="0" y="8763120"/>
        <a:ext cx="7919640" cy="395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13</xdr:row>
      <xdr:rowOff>0</xdr:rowOff>
    </xdr:from>
    <xdr:to>
      <xdr:col>5</xdr:col>
      <xdr:colOff>274320</xdr:colOff>
      <xdr:row>33</xdr:row>
      <xdr:rowOff>149400</xdr:rowOff>
    </xdr:to>
    <xdr:graphicFrame>
      <xdr:nvGraphicFramePr>
        <xdr:cNvPr id="12" name="Chart 1"/>
        <xdr:cNvGraphicFramePr/>
      </xdr:nvGraphicFramePr>
      <xdr:xfrm>
        <a:off x="0" y="2476440"/>
        <a:ext cx="7919640" cy="395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drawing" Target="../drawings/drawing2.xml"/>
</Relationships>
</file>

<file path=xl/worksheets/_rels/sheet5.xml.rels><?xml version="1.0" encoding="UTF-8"?>
<Relationships xmlns="http://schemas.openxmlformats.org/package/2006/relationships"><Relationship Id="rId1" Type="http://schemas.openxmlformats.org/officeDocument/2006/relationships/drawing" Target="../drawings/drawing3.xml"/>
</Relationships>
</file>

<file path=xl/worksheets/_rels/sheet6.xml.rels><?xml version="1.0" encoding="UTF-8"?>
<Relationships xmlns="http://schemas.openxmlformats.org/package/2006/relationships"><Relationship Id="rId1" Type="http://schemas.openxmlformats.org/officeDocument/2006/relationships/drawing" Target="../drawings/drawing4.xml"/>
</Relationships>
</file>

<file path=xl/worksheets/_rels/sheet7.xml.rels><?xml version="1.0" encoding="UTF-8"?>
<Relationships xmlns="http://schemas.openxmlformats.org/package/2006/relationships"><Relationship Id="rId1" Type="http://schemas.openxmlformats.org/officeDocument/2006/relationships/drawing" Target="../drawings/drawing5.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26"/>
    <col collapsed="false" customWidth="true" hidden="false" outlineLevel="0" max="2" min="2" style="0" width="116"/>
  </cols>
  <sheetData>
    <row r="1" customFormat="false" ht="15"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t="s">
        <v>2</v>
      </c>
      <c r="B4" s="4" t="s">
        <v>3</v>
      </c>
    </row>
    <row r="5" customFormat="false" ht="15" hidden="false" customHeight="false" outlineLevel="0" collapsed="false">
      <c r="A5" s="3" t="s">
        <v>4</v>
      </c>
      <c r="B5" s="4" t="s">
        <v>5</v>
      </c>
    </row>
    <row r="6" customFormat="false" ht="15" hidden="false" customHeight="false" outlineLevel="0" collapsed="false">
      <c r="A6" s="3" t="s">
        <v>6</v>
      </c>
      <c r="B6" s="4" t="s">
        <v>7</v>
      </c>
    </row>
    <row r="7" customFormat="false" ht="15" hidden="false" customHeight="false" outlineLevel="0" collapsed="false">
      <c r="A7" s="3" t="s">
        <v>8</v>
      </c>
      <c r="B7" s="4" t="s">
        <v>9</v>
      </c>
    </row>
    <row r="8" customFormat="false" ht="15" hidden="false" customHeight="false" outlineLevel="0" collapsed="false">
      <c r="A8" s="3" t="s">
        <v>10</v>
      </c>
      <c r="B8" s="4" t="s">
        <v>11</v>
      </c>
    </row>
    <row r="9" customFormat="false" ht="15" hidden="false" customHeight="false" outlineLevel="0" collapsed="false">
      <c r="A9" s="3" t="s">
        <v>12</v>
      </c>
      <c r="B9" s="4" t="s">
        <v>13</v>
      </c>
    </row>
    <row r="10" customFormat="false" ht="15" hidden="false" customHeight="false" outlineLevel="0" collapsed="false">
      <c r="A10" s="3" t="s">
        <v>14</v>
      </c>
      <c r="B10" s="4" t="s">
        <v>15</v>
      </c>
    </row>
    <row r="12" customFormat="false" ht="15" hidden="false" customHeight="false" outlineLevel="0" collapsed="false">
      <c r="A12" s="5" t="s">
        <v>16</v>
      </c>
      <c r="B12" s="6"/>
    </row>
    <row r="13" customFormat="false" ht="15" hidden="false" customHeight="false" outlineLevel="0" collapsed="false">
      <c r="A13" s="3" t="s">
        <v>17</v>
      </c>
      <c r="B13" s="4" t="s">
        <v>18</v>
      </c>
    </row>
    <row r="14" customFormat="false" ht="15" hidden="false" customHeight="false" outlineLevel="0" collapsed="false">
      <c r="A14" s="3" t="s">
        <v>19</v>
      </c>
      <c r="B14" s="4" t="s">
        <v>20</v>
      </c>
    </row>
    <row r="15" customFormat="false" ht="15" hidden="false" customHeight="false" outlineLevel="0" collapsed="false">
      <c r="A15" s="3" t="s">
        <v>21</v>
      </c>
      <c r="B15" s="4" t="s">
        <v>22</v>
      </c>
    </row>
    <row r="17" customFormat="false" ht="15" hidden="false" customHeight="false" outlineLevel="0" collapsed="false">
      <c r="A17" s="5" t="s">
        <v>23</v>
      </c>
      <c r="B17" s="6"/>
    </row>
    <row r="18" customFormat="false" ht="15" hidden="false" customHeight="false" outlineLevel="0" collapsed="false">
      <c r="B18" s="4" t="s">
        <v>24</v>
      </c>
    </row>
    <row r="20" customFormat="false" ht="15" hidden="false" customHeight="false" outlineLevel="0" collapsed="false">
      <c r="A20" s="7" t="s">
        <v>14</v>
      </c>
      <c r="B20" s="8" t="s">
        <v>25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7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30"/>
    <col collapsed="false" customWidth="true" hidden="false" outlineLevel="0" max="5" min="2" style="0" width="14"/>
  </cols>
  <sheetData>
    <row r="1" customFormat="false" ht="15" hidden="false" customHeight="false" outlineLevel="0" collapsed="false">
      <c r="A1" s="1" t="s">
        <v>26</v>
      </c>
    </row>
    <row r="2" customFormat="false" ht="15" hidden="false" customHeight="false" outlineLevel="0" collapsed="false">
      <c r="A2" s="2" t="s">
        <v>27</v>
      </c>
    </row>
    <row r="4" customFormat="false" ht="15" hidden="false" customHeight="false" outlineLevel="0" collapsed="false">
      <c r="A4" s="5" t="s">
        <v>28</v>
      </c>
      <c r="B4" s="6"/>
      <c r="C4" s="6"/>
      <c r="D4" s="6"/>
      <c r="E4" s="6"/>
    </row>
    <row r="5" customFormat="false" ht="15" hidden="false" customHeight="false" outlineLevel="0" collapsed="false">
      <c r="A5" s="9" t="s">
        <v>29</v>
      </c>
      <c r="B5" s="9" t="s">
        <v>30</v>
      </c>
      <c r="C5" s="9" t="s">
        <v>31</v>
      </c>
      <c r="D5" s="9" t="s">
        <v>32</v>
      </c>
      <c r="E5" s="9" t="s">
        <v>33</v>
      </c>
    </row>
    <row r="6" customFormat="false" ht="15" hidden="false" customHeight="false" outlineLevel="0" collapsed="false">
      <c r="A6" s="10" t="s">
        <v>34</v>
      </c>
      <c r="B6" s="11" t="n">
        <f aca="false">SUMIFS(Data!$H:$H,Data!$E:$E,256,Data!$F:$F,1)</f>
        <v>7.51851</v>
      </c>
      <c r="C6" s="11" t="n">
        <f aca="false">SUMIFS(Data!$H:$H,Data!$E:$E,1024,Data!$F:$F,1)</f>
        <v>7.40829</v>
      </c>
      <c r="D6" s="11" t="n">
        <f aca="false">SUMIFS(Data!$H:$H,Data!$E:$E,4096,Data!$F:$F,1)</f>
        <v>7.49298</v>
      </c>
      <c r="E6" s="11" t="n">
        <f aca="false">SUMIFS(Data!$H:$H,Data!$E:$E,16384,Data!$F:$F,1)</f>
        <v>7.6243</v>
      </c>
    </row>
    <row r="7" customFormat="false" ht="15" hidden="false" customHeight="false" outlineLevel="0" collapsed="false">
      <c r="A7" s="10" t="s">
        <v>35</v>
      </c>
      <c r="B7" s="11" t="n">
        <f aca="false">SUMIFS(Data!$I:$I,Data!$E:$E,256,Data!$F:$F,1)</f>
        <v>6.02062</v>
      </c>
      <c r="C7" s="11" t="n">
        <f aca="false">SUMIFS(Data!$I:$I,Data!$E:$E,1024,Data!$F:$F,1)</f>
        <v>5.79751</v>
      </c>
      <c r="D7" s="11" t="n">
        <f aca="false">SUMIFS(Data!$I:$I,Data!$E:$E,4096,Data!$F:$F,1)</f>
        <v>6.18093</v>
      </c>
      <c r="E7" s="11" t="n">
        <f aca="false">SUMIFS(Data!$I:$I,Data!$E:$E,16384,Data!$F:$F,1)</f>
        <v>6.47535</v>
      </c>
    </row>
    <row r="8" customFormat="false" ht="15" hidden="false" customHeight="false" outlineLevel="0" collapsed="false">
      <c r="A8" s="10" t="s">
        <v>36</v>
      </c>
      <c r="B8" s="11" t="n">
        <f aca="false">SUMIFS(Data!$J:$J,Data!$E:$E,256,Data!$F:$F,1)</f>
        <v>3.64248</v>
      </c>
      <c r="C8" s="11" t="n">
        <f aca="false">SUMIFS(Data!$J:$J,Data!$E:$E,1024,Data!$F:$F,1)</f>
        <v>3.55094</v>
      </c>
      <c r="D8" s="11" t="n">
        <f aca="false">SUMIFS(Data!$J:$J,Data!$E:$E,4096,Data!$F:$F,1)</f>
        <v>4.10058</v>
      </c>
      <c r="E8" s="11" t="n">
        <f aca="false">SUMIFS(Data!$J:$J,Data!$E:$E,16384,Data!$F:$F,1)</f>
        <v>4.33874</v>
      </c>
    </row>
    <row r="34" customFormat="false" ht="15" hidden="false" customHeight="false" outlineLevel="0" collapsed="false">
      <c r="A34" s="12" t="s">
        <v>37</v>
      </c>
      <c r="B34" s="2" t="s">
        <v>38</v>
      </c>
    </row>
    <row r="35" customFormat="false" ht="15" hidden="false" customHeight="false" outlineLevel="0" collapsed="false">
      <c r="A35" s="12" t="s">
        <v>39</v>
      </c>
      <c r="B35" s="2" t="s">
        <v>40</v>
      </c>
    </row>
    <row r="37" customFormat="false" ht="15" hidden="false" customHeight="false" outlineLevel="0" collapsed="false">
      <c r="A37" s="5" t="s">
        <v>41</v>
      </c>
      <c r="B37" s="6"/>
      <c r="C37" s="6"/>
      <c r="D37" s="6"/>
      <c r="E37" s="6"/>
    </row>
    <row r="38" customFormat="false" ht="15" hidden="false" customHeight="false" outlineLevel="0" collapsed="false">
      <c r="A38" s="9" t="s">
        <v>42</v>
      </c>
      <c r="B38" s="9" t="s">
        <v>30</v>
      </c>
      <c r="C38" s="9" t="s">
        <v>31</v>
      </c>
      <c r="D38" s="9" t="s">
        <v>32</v>
      </c>
      <c r="E38" s="9" t="s">
        <v>33</v>
      </c>
    </row>
    <row r="39" customFormat="false" ht="15" hidden="false" customHeight="false" outlineLevel="0" collapsed="false">
      <c r="A39" s="10" t="s">
        <v>43</v>
      </c>
      <c r="B39" s="11" t="n">
        <f aca="false">SUMIFS(Data!$K:$K,Data!$E:$E,256,Data!$F:$F,1)</f>
        <v>0.948878</v>
      </c>
      <c r="C39" s="11" t="n">
        <f aca="false">SUMIFS(Data!$K:$K,Data!$E:$E,1024,Data!$F:$F,1)</f>
        <v>0.926175</v>
      </c>
      <c r="D39" s="11" t="n">
        <f aca="false">SUMIFS(Data!$K:$K,Data!$E:$E,4096,Data!$F:$F,1)</f>
        <v>0.976294</v>
      </c>
      <c r="E39" s="11" t="n">
        <f aca="false">SUMIFS(Data!$K:$K,Data!$E:$E,16384,Data!$F:$F,1)</f>
        <v>0.954946</v>
      </c>
    </row>
    <row r="40" customFormat="false" ht="15" hidden="false" customHeight="false" outlineLevel="0" collapsed="false">
      <c r="A40" s="10" t="s">
        <v>44</v>
      </c>
      <c r="B40" s="11" t="n">
        <f aca="false">SUMIFS(Data!$M:$M,Data!$E:$E,256,Data!$F:$F,1)</f>
        <v>0.641167</v>
      </c>
      <c r="C40" s="11" t="n">
        <f aca="false">SUMIFS(Data!$M:$M,Data!$E:$E,1024,Data!$F:$F,1)</f>
        <v>0.598639</v>
      </c>
      <c r="D40" s="11" t="n">
        <f aca="false">SUMIFS(Data!$M:$M,Data!$E:$E,4096,Data!$F:$F,1)</f>
        <v>0.69376</v>
      </c>
      <c r="E40" s="11" t="n">
        <f aca="false">SUMIFS(Data!$M:$M,Data!$E:$E,16384,Data!$F:$F,1)</f>
        <v>0.619168</v>
      </c>
    </row>
    <row r="41" customFormat="false" ht="15" hidden="false" customHeight="false" outlineLevel="0" collapsed="false">
      <c r="A41" s="10" t="s">
        <v>45</v>
      </c>
      <c r="B41" s="11" t="n">
        <f aca="false">SUMIFS(Data!$N:$N,Data!$E:$E,256,Data!$F:$F,1)</f>
        <v>1.22852</v>
      </c>
      <c r="C41" s="11" t="n">
        <f aca="false">SUMIFS(Data!$N:$N,Data!$E:$E,1024,Data!$F:$F,1)</f>
        <v>1.2014</v>
      </c>
      <c r="D41" s="11" t="n">
        <f aca="false">SUMIFS(Data!$N:$N,Data!$E:$E,4096,Data!$F:$F,1)</f>
        <v>1.2841</v>
      </c>
      <c r="E41" s="11" t="n">
        <f aca="false">SUMIFS(Data!$N:$N,Data!$E:$E,16384,Data!$F:$F,1)</f>
        <v>1.29334</v>
      </c>
    </row>
    <row r="42" customFormat="false" ht="15" hidden="false" customHeight="false" outlineLevel="0" collapsed="false">
      <c r="A42" s="10" t="s">
        <v>46</v>
      </c>
      <c r="B42" s="11" t="n">
        <f aca="false">SUMIFS(Data!$O:$O,Data!$E:$E,256,Data!$F:$F,1)</f>
        <v>0.16133</v>
      </c>
      <c r="C42" s="11" t="n">
        <f aca="false">SUMIFS(Data!$O:$O,Data!$E:$E,1024,Data!$F:$F,1)</f>
        <v>0.159474</v>
      </c>
      <c r="D42" s="11" t="n">
        <f aca="false">SUMIFS(Data!$O:$O,Data!$E:$E,4096,Data!$F:$F,1)</f>
        <v>0.168748</v>
      </c>
      <c r="E42" s="11" t="n">
        <f aca="false">SUMIFS(Data!$O:$O,Data!$E:$E,16384,Data!$F:$F,1)</f>
        <v>0.164432</v>
      </c>
    </row>
    <row r="43" customFormat="false" ht="15" hidden="false" customHeight="false" outlineLevel="0" collapsed="false">
      <c r="A43" s="10" t="s">
        <v>47</v>
      </c>
      <c r="B43" s="11" t="n">
        <f aca="false">SUMIFS(Data!$P:$P,Data!$E:$E,256,Data!$F:$F,1)</f>
        <v>0.425254</v>
      </c>
      <c r="C43" s="11" t="n">
        <f aca="false">SUMIFS(Data!$P:$P,Data!$E:$E,1024,Data!$F:$F,1)</f>
        <v>0.320366</v>
      </c>
      <c r="D43" s="11" t="n">
        <f aca="false">SUMIFS(Data!$P:$P,Data!$E:$E,4096,Data!$F:$F,1)</f>
        <v>0.283518</v>
      </c>
      <c r="E43" s="11" t="n">
        <f aca="false">SUMIFS(Data!$P:$P,Data!$E:$E,16384,Data!$F:$F,1)</f>
        <v>0.617215</v>
      </c>
    </row>
    <row r="44" customFormat="false" ht="15" hidden="false" customHeight="false" outlineLevel="0" collapsed="false">
      <c r="A44" s="10" t="s">
        <v>48</v>
      </c>
      <c r="B44" s="11" t="n">
        <f aca="false">SUMIFS(Data!$Q:$Q,Data!$E:$E,256,Data!$F:$F,1)</f>
        <v>2.35128</v>
      </c>
      <c r="C44" s="11" t="n">
        <f aca="false">SUMIFS(Data!$Q:$Q,Data!$E:$E,1024,Data!$F:$F,1)</f>
        <v>2.33991</v>
      </c>
      <c r="D44" s="11" t="n">
        <f aca="false">SUMIFS(Data!$Q:$Q,Data!$E:$E,4096,Data!$F:$F,1)</f>
        <v>2.49403</v>
      </c>
      <c r="E44" s="11" t="n">
        <f aca="false">SUMIFS(Data!$Q:$Q,Data!$E:$E,16384,Data!$F:$F,1)</f>
        <v>2.57645</v>
      </c>
    </row>
    <row r="45" customFormat="false" ht="15" hidden="false" customHeight="false" outlineLevel="0" collapsed="false">
      <c r="A45" s="10" t="s">
        <v>49</v>
      </c>
      <c r="B45" s="11" t="n">
        <f aca="false">SUMIFS(Data!$R:$R,Data!$E:$E,256,Data!$F:$F,1)</f>
        <v>0.264191</v>
      </c>
      <c r="C45" s="11" t="n">
        <f aca="false">SUMIFS(Data!$R:$R,Data!$E:$E,1024,Data!$F:$F,1)</f>
        <v>0.251556</v>
      </c>
      <c r="D45" s="11" t="n">
        <f aca="false">SUMIFS(Data!$R:$R,Data!$E:$E,4096,Data!$F:$F,1)</f>
        <v>0.28047</v>
      </c>
      <c r="E45" s="11" t="n">
        <f aca="false">SUMIFS(Data!$R:$R,Data!$E:$E,16384,Data!$F:$F,1)</f>
        <v>0.2498</v>
      </c>
    </row>
    <row r="71" customFormat="false" ht="15" hidden="false" customHeight="false" outlineLevel="0" collapsed="false">
      <c r="A71" s="12" t="s">
        <v>37</v>
      </c>
      <c r="B71" s="2" t="s">
        <v>50</v>
      </c>
    </row>
    <row r="72" customFormat="false" ht="15" hidden="false" customHeight="false" outlineLevel="0" collapsed="false">
      <c r="A72" s="12" t="s">
        <v>39</v>
      </c>
      <c r="B72" s="2" t="s">
        <v>51</v>
      </c>
    </row>
    <row r="74" customFormat="false" ht="15" hidden="false" customHeight="false" outlineLevel="0" collapsed="false">
      <c r="A74" s="5" t="s">
        <v>52</v>
      </c>
      <c r="B74" s="6"/>
      <c r="C74" s="6"/>
      <c r="D74" s="6"/>
      <c r="E74" s="6"/>
    </row>
    <row r="75" customFormat="false" ht="15" hidden="false" customHeight="false" outlineLevel="0" collapsed="false">
      <c r="A75" s="9" t="s">
        <v>42</v>
      </c>
      <c r="B75" s="9" t="s">
        <v>30</v>
      </c>
      <c r="C75" s="9" t="s">
        <v>31</v>
      </c>
      <c r="D75" s="9" t="s">
        <v>32</v>
      </c>
      <c r="E75" s="9" t="s">
        <v>33</v>
      </c>
    </row>
    <row r="76" customFormat="false" ht="15" hidden="false" customHeight="false" outlineLevel="0" collapsed="false">
      <c r="A76" s="10" t="s">
        <v>53</v>
      </c>
      <c r="B76" s="11" t="n">
        <f aca="false">SUMIFS(Data!$S:$S,Data!$E:$E,256,Data!$F:$F,1)</f>
        <v>0.0425326</v>
      </c>
      <c r="C76" s="11" t="n">
        <f aca="false">SUMIFS(Data!$S:$S,Data!$E:$E,1024,Data!$F:$F,1)</f>
        <v>0.0366151</v>
      </c>
      <c r="D76" s="11" t="n">
        <f aca="false">SUMIFS(Data!$S:$S,Data!$E:$E,4096,Data!$F:$F,1)</f>
        <v>0.0410518</v>
      </c>
      <c r="E76" s="11" t="n">
        <f aca="false">SUMIFS(Data!$S:$S,Data!$E:$E,16384,Data!$F:$F,1)</f>
        <v>0.0685541</v>
      </c>
    </row>
    <row r="77" customFormat="false" ht="15" hidden="false" customHeight="false" outlineLevel="0" collapsed="false">
      <c r="A77" s="10" t="s">
        <v>54</v>
      </c>
      <c r="B77" s="11" t="n">
        <f aca="false">SUMIFS(Data!$T:$T,Data!$E:$E,256,Data!$F:$F,1)</f>
        <v>0.0503619</v>
      </c>
      <c r="C77" s="11" t="n">
        <f aca="false">SUMIFS(Data!$T:$T,Data!$E:$E,1024,Data!$F:$F,1)</f>
        <v>0.0521807</v>
      </c>
      <c r="D77" s="11" t="n">
        <f aca="false">SUMIFS(Data!$T:$T,Data!$E:$E,4096,Data!$F:$F,1)</f>
        <v>0.0606564</v>
      </c>
      <c r="E77" s="11" t="n">
        <f aca="false">SUMIFS(Data!$T:$T,Data!$E:$E,16384,Data!$F:$F,1)</f>
        <v>0.278391</v>
      </c>
    </row>
    <row r="78" customFormat="false" ht="15" hidden="false" customHeight="false" outlineLevel="0" collapsed="false">
      <c r="A78" s="10" t="s">
        <v>55</v>
      </c>
      <c r="B78" s="11" t="n">
        <f aca="false">SUMIFS(Data!$U:$U,Data!$E:$E,256,Data!$F:$F,1)</f>
        <v>1.83643</v>
      </c>
      <c r="C78" s="11" t="n">
        <f aca="false">SUMIFS(Data!$U:$U,Data!$E:$E,1024,Data!$F:$F,1)</f>
        <v>1.80201</v>
      </c>
      <c r="D78" s="11" t="n">
        <f aca="false">SUMIFS(Data!$U:$U,Data!$E:$E,4096,Data!$F:$F,1)</f>
        <v>1.97269</v>
      </c>
      <c r="E78" s="11" t="n">
        <f aca="false">SUMIFS(Data!$U:$U,Data!$E:$E,16384,Data!$F:$F,1)</f>
        <v>1.98123</v>
      </c>
    </row>
    <row r="79" customFormat="false" ht="15" hidden="false" customHeight="false" outlineLevel="0" collapsed="false">
      <c r="A79" s="10" t="s">
        <v>56</v>
      </c>
      <c r="B79" s="11" t="n">
        <f aca="false">SUMIFS(Data!$V:$V,Data!$E:$E,256,Data!$F:$F,1)</f>
        <v>0.591834</v>
      </c>
      <c r="C79" s="11" t="n">
        <f aca="false">SUMIFS(Data!$V:$V,Data!$E:$E,1024,Data!$F:$F,1)</f>
        <v>0.556759</v>
      </c>
      <c r="D79" s="11" t="n">
        <f aca="false">SUMIFS(Data!$V:$V,Data!$E:$E,4096,Data!$F:$F,1)</f>
        <v>0.695804</v>
      </c>
      <c r="E79" s="11" t="n">
        <f aca="false">SUMIFS(Data!$V:$V,Data!$E:$E,16384,Data!$F:$F,1)</f>
        <v>0.673944</v>
      </c>
    </row>
    <row r="80" customFormat="false" ht="15" hidden="false" customHeight="false" outlineLevel="0" collapsed="false">
      <c r="A80" s="10" t="s">
        <v>57</v>
      </c>
      <c r="B80" s="11" t="n">
        <f aca="false">SUMIFS(Data!$W:$W,Data!$E:$E,256,Data!$F:$F,1)</f>
        <v>1.12132</v>
      </c>
      <c r="C80" s="11" t="n">
        <f aca="false">SUMIFS(Data!$W:$W,Data!$E:$E,1024,Data!$F:$F,1)</f>
        <v>1.10338</v>
      </c>
      <c r="D80" s="11" t="n">
        <f aca="false">SUMIFS(Data!$W:$W,Data!$E:$E,4096,Data!$F:$F,1)</f>
        <v>1.33038</v>
      </c>
      <c r="E80" s="11" t="n">
        <f aca="false">SUMIFS(Data!$W:$W,Data!$E:$E,16384,Data!$F:$F,1)</f>
        <v>1.33662</v>
      </c>
    </row>
    <row r="106" customFormat="false" ht="15" hidden="false" customHeight="false" outlineLevel="0" collapsed="false">
      <c r="A106" s="12" t="s">
        <v>37</v>
      </c>
      <c r="B106" s="2" t="s">
        <v>58</v>
      </c>
    </row>
    <row r="107" customFormat="false" ht="15" hidden="false" customHeight="false" outlineLevel="0" collapsed="false">
      <c r="A107" s="12" t="s">
        <v>39</v>
      </c>
      <c r="B107" s="2" t="s">
        <v>59</v>
      </c>
    </row>
    <row r="109" customFormat="false" ht="15" hidden="false" customHeight="false" outlineLevel="0" collapsed="false">
      <c r="A109" s="5" t="s">
        <v>60</v>
      </c>
      <c r="B109" s="6"/>
      <c r="C109" s="6"/>
      <c r="D109" s="6"/>
      <c r="E109" s="6"/>
    </row>
    <row r="110" customFormat="false" ht="15" hidden="false" customHeight="false" outlineLevel="0" collapsed="false">
      <c r="A110" s="9" t="s">
        <v>42</v>
      </c>
      <c r="B110" s="9" t="s">
        <v>30</v>
      </c>
      <c r="C110" s="9" t="s">
        <v>31</v>
      </c>
      <c r="D110" s="9" t="s">
        <v>32</v>
      </c>
      <c r="E110" s="9" t="s">
        <v>33</v>
      </c>
    </row>
    <row r="111" customFormat="false" ht="15" hidden="false" customHeight="false" outlineLevel="0" collapsed="false">
      <c r="A111" s="10" t="s">
        <v>43</v>
      </c>
      <c r="B111" s="13" t="n">
        <f aca="false">100*SUMIFS(Data!$K:$K,Data!$E:$E,256,Data!$F:$F,1)/MAX(0.000001,SUMIFS(Data!$I:$I,Data!$E:$E,256,Data!$F:$F,1))</f>
        <v>15.7604698519422</v>
      </c>
      <c r="C111" s="13" t="n">
        <f aca="false">100*SUMIFS(Data!$K:$K,Data!$E:$E,1024,Data!$F:$F,1)/MAX(0.000001,SUMIFS(Data!$I:$I,Data!$E:$E,1024,Data!$F:$F,1))</f>
        <v>15.9753928841865</v>
      </c>
      <c r="D111" s="13" t="n">
        <f aca="false">100*SUMIFS(Data!$K:$K,Data!$E:$E,4096,Data!$F:$F,1)/MAX(0.000001,SUMIFS(Data!$I:$I,Data!$E:$E,4096,Data!$F:$F,1))</f>
        <v>15.7952605837633</v>
      </c>
      <c r="E111" s="13" t="n">
        <f aca="false">100*SUMIFS(Data!$K:$K,Data!$E:$E,16384,Data!$F:$F,1)/MAX(0.000001,SUMIFS(Data!$I:$I,Data!$E:$E,16384,Data!$F:$F,1))</f>
        <v>14.7474036152486</v>
      </c>
    </row>
    <row r="112" customFormat="false" ht="15" hidden="false" customHeight="false" outlineLevel="0" collapsed="false">
      <c r="A112" s="10" t="s">
        <v>44</v>
      </c>
      <c r="B112" s="13" t="n">
        <f aca="false">100*SUMIFS(Data!$M:$M,Data!$E:$E,256,Data!$F:$F,1)/MAX(0.000001,SUMIFS(Data!$I:$I,Data!$E:$E,256,Data!$F:$F,1))</f>
        <v>10.6495178237457</v>
      </c>
      <c r="C112" s="13" t="n">
        <f aca="false">100*SUMIFS(Data!$M:$M,Data!$E:$E,1024,Data!$F:$F,1)/MAX(0.000001,SUMIFS(Data!$I:$I,Data!$E:$E,1024,Data!$F:$F,1))</f>
        <v>10.3257950395946</v>
      </c>
      <c r="D112" s="13" t="n">
        <f aca="false">100*SUMIFS(Data!$M:$M,Data!$E:$E,4096,Data!$F:$F,1)/MAX(0.000001,SUMIFS(Data!$I:$I,Data!$E:$E,4096,Data!$F:$F,1))</f>
        <v>11.224200888863</v>
      </c>
      <c r="E112" s="13" t="n">
        <f aca="false">100*SUMIFS(Data!$M:$M,Data!$E:$E,16384,Data!$F:$F,1)/MAX(0.000001,SUMIFS(Data!$I:$I,Data!$E:$E,16384,Data!$F:$F,1))</f>
        <v>9.56192329372158</v>
      </c>
    </row>
    <row r="113" customFormat="false" ht="15" hidden="false" customHeight="false" outlineLevel="0" collapsed="false">
      <c r="A113" s="10" t="s">
        <v>45</v>
      </c>
      <c r="B113" s="13" t="n">
        <f aca="false">100*SUMIFS(Data!$N:$N,Data!$E:$E,256,Data!$F:$F,1)/MAX(0.000001,SUMIFS(Data!$I:$I,Data!$E:$E,256,Data!$F:$F,1))</f>
        <v>20.4052074371078</v>
      </c>
      <c r="C113" s="13" t="n">
        <f aca="false">100*SUMIFS(Data!$N:$N,Data!$E:$E,1024,Data!$F:$F,1)/MAX(0.000001,SUMIFS(Data!$I:$I,Data!$E:$E,1024,Data!$F:$F,1))</f>
        <v>20.7226895684527</v>
      </c>
      <c r="D113" s="13" t="n">
        <f aca="false">100*SUMIFS(Data!$N:$N,Data!$E:$E,4096,Data!$F:$F,1)/MAX(0.000001,SUMIFS(Data!$I:$I,Data!$E:$E,4096,Data!$F:$F,1))</f>
        <v>20.7751907884412</v>
      </c>
      <c r="E113" s="13" t="n">
        <f aca="false">100*SUMIFS(Data!$N:$N,Data!$E:$E,16384,Data!$F:$F,1)/MAX(0.000001,SUMIFS(Data!$I:$I,Data!$E:$E,16384,Data!$F:$F,1))</f>
        <v>19.9732832974279</v>
      </c>
    </row>
    <row r="114" customFormat="false" ht="15" hidden="false" customHeight="false" outlineLevel="0" collapsed="false">
      <c r="A114" s="10" t="s">
        <v>46</v>
      </c>
      <c r="B114" s="13" t="n">
        <f aca="false">100*SUMIFS(Data!$O:$O,Data!$E:$E,256,Data!$F:$F,1)/MAX(0.000001,SUMIFS(Data!$I:$I,Data!$E:$E,256,Data!$F:$F,1))</f>
        <v>2.6796243576243</v>
      </c>
      <c r="C114" s="13" t="n">
        <f aca="false">100*SUMIFS(Data!$O:$O,Data!$E:$E,1024,Data!$F:$F,1)/MAX(0.000001,SUMIFS(Data!$I:$I,Data!$E:$E,1024,Data!$F:$F,1))</f>
        <v>2.75073264211705</v>
      </c>
      <c r="D114" s="13" t="n">
        <f aca="false">100*SUMIFS(Data!$O:$O,Data!$E:$E,4096,Data!$F:$F,1)/MAX(0.000001,SUMIFS(Data!$I:$I,Data!$E:$E,4096,Data!$F:$F,1))</f>
        <v>2.73013931560461</v>
      </c>
      <c r="E114" s="13" t="n">
        <f aca="false">100*SUMIFS(Data!$O:$O,Data!$E:$E,16384,Data!$F:$F,1)/MAX(0.000001,SUMIFS(Data!$I:$I,Data!$E:$E,16384,Data!$F:$F,1))</f>
        <v>2.53935308516142</v>
      </c>
    </row>
    <row r="115" customFormat="false" ht="15" hidden="false" customHeight="false" outlineLevel="0" collapsed="false">
      <c r="A115" s="10" t="s">
        <v>47</v>
      </c>
      <c r="B115" s="13" t="n">
        <f aca="false">100*SUMIFS(Data!$P:$P,Data!$E:$E,256,Data!$F:$F,1)/MAX(0.000001,SUMIFS(Data!$I:$I,Data!$E:$E,256,Data!$F:$F,1))</f>
        <v>7.06329248482714</v>
      </c>
      <c r="C115" s="13" t="n">
        <f aca="false">100*SUMIFS(Data!$P:$P,Data!$E:$E,1024,Data!$F:$F,1)/MAX(0.000001,SUMIFS(Data!$I:$I,Data!$E:$E,1024,Data!$F:$F,1))</f>
        <v>5.52592406050184</v>
      </c>
      <c r="D115" s="13" t="n">
        <f aca="false">100*SUMIFS(Data!$P:$P,Data!$E:$E,4096,Data!$F:$F,1)/MAX(0.000001,SUMIFS(Data!$I:$I,Data!$E:$E,4096,Data!$F:$F,1))</f>
        <v>4.58697962927909</v>
      </c>
      <c r="E115" s="13" t="n">
        <f aca="false">100*SUMIFS(Data!$P:$P,Data!$E:$E,16384,Data!$F:$F,1)/MAX(0.000001,SUMIFS(Data!$I:$I,Data!$E:$E,16384,Data!$F:$F,1))</f>
        <v>9.53176276185843</v>
      </c>
    </row>
    <row r="116" customFormat="false" ht="15" hidden="false" customHeight="false" outlineLevel="0" collapsed="false">
      <c r="A116" s="10" t="s">
        <v>48</v>
      </c>
      <c r="B116" s="13" t="n">
        <f aca="false">100*SUMIFS(Data!$Q:$Q,Data!$E:$E,256,Data!$F:$F,1)/MAX(0.000001,SUMIFS(Data!$I:$I,Data!$E:$E,256,Data!$F:$F,1))</f>
        <v>39.0537851583392</v>
      </c>
      <c r="C116" s="13" t="n">
        <f aca="false">100*SUMIFS(Data!$Q:$Q,Data!$E:$E,1024,Data!$F:$F,1)/MAX(0.000001,SUMIFS(Data!$I:$I,Data!$E:$E,1024,Data!$F:$F,1))</f>
        <v>40.3606030864975</v>
      </c>
      <c r="D116" s="13" t="n">
        <f aca="false">100*SUMIFS(Data!$Q:$Q,Data!$E:$E,4096,Data!$F:$F,1)/MAX(0.000001,SUMIFS(Data!$I:$I,Data!$E:$E,4096,Data!$F:$F,1))</f>
        <v>40.3504003442848</v>
      </c>
      <c r="E116" s="13" t="n">
        <f aca="false">100*SUMIFS(Data!$Q:$Q,Data!$E:$E,16384,Data!$F:$F,1)/MAX(0.000001,SUMIFS(Data!$I:$I,Data!$E:$E,16384,Data!$F:$F,1))</f>
        <v>39.7885828565251</v>
      </c>
    </row>
    <row r="117" customFormat="false" ht="15" hidden="false" customHeight="false" outlineLevel="0" collapsed="false">
      <c r="A117" s="10" t="s">
        <v>49</v>
      </c>
      <c r="B117" s="13" t="n">
        <f aca="false">100*SUMIFS(Data!$R:$R,Data!$E:$E,256,Data!$F:$F,1)/MAX(0.000001,SUMIFS(Data!$I:$I,Data!$E:$E,256,Data!$F:$F,1))</f>
        <v>4.38810288641369</v>
      </c>
      <c r="C117" s="13" t="n">
        <f aca="false">100*SUMIFS(Data!$R:$R,Data!$E:$E,1024,Data!$F:$F,1)/MAX(0.000001,SUMIFS(Data!$I:$I,Data!$E:$E,1024,Data!$F:$F,1))</f>
        <v>4.33903520649382</v>
      </c>
      <c r="D117" s="13" t="n">
        <f aca="false">100*SUMIFS(Data!$R:$R,Data!$E:$E,4096,Data!$F:$F,1)/MAX(0.000001,SUMIFS(Data!$I:$I,Data!$E:$E,4096,Data!$F:$F,1))</f>
        <v>4.53766666181303</v>
      </c>
      <c r="E117" s="13" t="n">
        <f aca="false">100*SUMIFS(Data!$R:$R,Data!$E:$E,16384,Data!$F:$F,1)/MAX(0.000001,SUMIFS(Data!$I:$I,Data!$E:$E,16384,Data!$F:$F,1))</f>
        <v>3.85770653323759</v>
      </c>
    </row>
    <row r="143" customFormat="false" ht="15" hidden="false" customHeight="false" outlineLevel="0" collapsed="false">
      <c r="A143" s="12" t="s">
        <v>37</v>
      </c>
      <c r="B143" s="2" t="s">
        <v>61</v>
      </c>
    </row>
    <row r="144" customFormat="false" ht="15" hidden="false" customHeight="false" outlineLevel="0" collapsed="false">
      <c r="A144" s="12" t="s">
        <v>39</v>
      </c>
      <c r="B144" s="2" t="s">
        <v>62</v>
      </c>
    </row>
    <row r="146" customFormat="false" ht="15" hidden="false" customHeight="false" outlineLevel="0" collapsed="false">
      <c r="A146" s="5" t="s">
        <v>63</v>
      </c>
      <c r="B146" s="6"/>
      <c r="C146" s="6"/>
      <c r="D146" s="6"/>
      <c r="E146" s="6"/>
    </row>
    <row r="147" customFormat="false" ht="15" hidden="false" customHeight="false" outlineLevel="0" collapsed="false">
      <c r="A147" s="9" t="s">
        <v>42</v>
      </c>
      <c r="B147" s="9" t="s">
        <v>30</v>
      </c>
      <c r="C147" s="9" t="s">
        <v>31</v>
      </c>
      <c r="D147" s="9" t="s">
        <v>32</v>
      </c>
      <c r="E147" s="9" t="s">
        <v>33</v>
      </c>
    </row>
    <row r="148" customFormat="false" ht="15" hidden="false" customHeight="false" outlineLevel="0" collapsed="false">
      <c r="A148" s="10" t="s">
        <v>53</v>
      </c>
      <c r="B148" s="13" t="n">
        <f aca="false">100*SUMIFS(Data!$S:$S,Data!$E:$E,256,Data!$F:$F,1)/MAX(0.000001,SUMIFS(Data!$J:$J,Data!$E:$E,256,Data!$F:$F,1))</f>
        <v>1.16768245810547</v>
      </c>
      <c r="C148" s="13" t="n">
        <f aca="false">100*SUMIFS(Data!$S:$S,Data!$E:$E,1024,Data!$F:$F,1)/MAX(0.000001,SUMIFS(Data!$J:$J,Data!$E:$E,1024,Data!$F:$F,1))</f>
        <v>1.03113823381978</v>
      </c>
      <c r="D148" s="13" t="n">
        <f aca="false">100*SUMIFS(Data!$S:$S,Data!$E:$E,4096,Data!$F:$F,1)/MAX(0.000001,SUMIFS(Data!$J:$J,Data!$E:$E,4096,Data!$F:$F,1))</f>
        <v>1.00112179252691</v>
      </c>
      <c r="E148" s="13" t="n">
        <f aca="false">100*SUMIFS(Data!$S:$S,Data!$E:$E,16384,Data!$F:$F,1)/MAX(0.000001,SUMIFS(Data!$J:$J,Data!$E:$E,16384,Data!$F:$F,1))</f>
        <v>1.58004628071744</v>
      </c>
    </row>
    <row r="149" customFormat="false" ht="15" hidden="false" customHeight="false" outlineLevel="0" collapsed="false">
      <c r="A149" s="10" t="s">
        <v>54</v>
      </c>
      <c r="B149" s="13" t="n">
        <f aca="false">100*SUMIFS(Data!$T:$T,Data!$E:$E,256,Data!$F:$F,1)/MAX(0.000001,SUMIFS(Data!$J:$J,Data!$E:$E,256,Data!$F:$F,1))</f>
        <v>1.3826266719378</v>
      </c>
      <c r="C149" s="13" t="n">
        <f aca="false">100*SUMIFS(Data!$T:$T,Data!$E:$E,1024,Data!$F:$F,1)/MAX(0.000001,SUMIFS(Data!$J:$J,Data!$E:$E,1024,Data!$F:$F,1))</f>
        <v>1.46948976890626</v>
      </c>
      <c r="D149" s="13" t="n">
        <f aca="false">100*SUMIFS(Data!$T:$T,Data!$E:$E,4096,Data!$F:$F,1)/MAX(0.000001,SUMIFS(Data!$J:$J,Data!$E:$E,4096,Data!$F:$F,1))</f>
        <v>1.47921513541987</v>
      </c>
      <c r="E149" s="13" t="n">
        <f aca="false">100*SUMIFS(Data!$T:$T,Data!$E:$E,16384,Data!$F:$F,1)/MAX(0.000001,SUMIFS(Data!$J:$J,Data!$E:$E,16384,Data!$F:$F,1))</f>
        <v>6.41640199689311</v>
      </c>
    </row>
    <row r="150" customFormat="false" ht="15" hidden="false" customHeight="false" outlineLevel="0" collapsed="false">
      <c r="A150" s="10" t="s">
        <v>55</v>
      </c>
      <c r="B150" s="13" t="n">
        <f aca="false">100*SUMIFS(Data!$U:$U,Data!$E:$E,256,Data!$F:$F,1)/MAX(0.000001,SUMIFS(Data!$J:$J,Data!$E:$E,256,Data!$F:$F,1))</f>
        <v>50.4170235663614</v>
      </c>
      <c r="C150" s="13" t="n">
        <f aca="false">100*SUMIFS(Data!$U:$U,Data!$E:$E,1024,Data!$F:$F,1)/MAX(0.000001,SUMIFS(Data!$J:$J,Data!$E:$E,1024,Data!$F:$F,1))</f>
        <v>50.7474077286578</v>
      </c>
      <c r="D150" s="13" t="n">
        <f aca="false">100*SUMIFS(Data!$U:$U,Data!$E:$E,4096,Data!$F:$F,1)/MAX(0.000001,SUMIFS(Data!$J:$J,Data!$E:$E,4096,Data!$F:$F,1))</f>
        <v>48.1075847806896</v>
      </c>
      <c r="E150" s="13" t="n">
        <f aca="false">100*SUMIFS(Data!$U:$U,Data!$E:$E,16384,Data!$F:$F,1)/MAX(0.000001,SUMIFS(Data!$J:$J,Data!$E:$E,16384,Data!$F:$F,1))</f>
        <v>45.6637180379557</v>
      </c>
    </row>
    <row r="151" customFormat="false" ht="15" hidden="false" customHeight="false" outlineLevel="0" collapsed="false">
      <c r="A151" s="10" t="s">
        <v>56</v>
      </c>
      <c r="B151" s="13" t="n">
        <f aca="false">100*SUMIFS(Data!$V:$V,Data!$E:$E,256,Data!$F:$F,1)/MAX(0.000001,SUMIFS(Data!$J:$J,Data!$E:$E,256,Data!$F:$F,1))</f>
        <v>16.2481056862358</v>
      </c>
      <c r="C151" s="13" t="n">
        <f aca="false">100*SUMIFS(Data!$V:$V,Data!$E:$E,1024,Data!$F:$F,1)/MAX(0.000001,SUMIFS(Data!$J:$J,Data!$E:$E,1024,Data!$F:$F,1))</f>
        <v>15.6792004370674</v>
      </c>
      <c r="D151" s="13" t="n">
        <f aca="false">100*SUMIFS(Data!$V:$V,Data!$E:$E,4096,Data!$F:$F,1)/MAX(0.000001,SUMIFS(Data!$J:$J,Data!$E:$E,4096,Data!$F:$F,1))</f>
        <v>16.9684288564057</v>
      </c>
      <c r="E151" s="13" t="n">
        <f aca="false">100*SUMIFS(Data!$V:$V,Data!$E:$E,16384,Data!$F:$F,1)/MAX(0.000001,SUMIFS(Data!$J:$J,Data!$E:$E,16384,Data!$F:$F,1))</f>
        <v>15.5331732254065</v>
      </c>
    </row>
    <row r="152" customFormat="false" ht="15" hidden="false" customHeight="false" outlineLevel="0" collapsed="false">
      <c r="A152" s="10" t="s">
        <v>57</v>
      </c>
      <c r="B152" s="13" t="n">
        <f aca="false">100*SUMIFS(Data!$W:$W,Data!$E:$E,256,Data!$F:$F,1)/MAX(0.000001,SUMIFS(Data!$J:$J,Data!$E:$E,256,Data!$F:$F,1))</f>
        <v>30.7845204366256</v>
      </c>
      <c r="C152" s="13" t="n">
        <f aca="false">100*SUMIFS(Data!$W:$W,Data!$E:$E,1024,Data!$F:$F,1)/MAX(0.000001,SUMIFS(Data!$J:$J,Data!$E:$E,1024,Data!$F:$F,1))</f>
        <v>31.0728990070235</v>
      </c>
      <c r="D152" s="13" t="n">
        <f aca="false">100*SUMIFS(Data!$W:$W,Data!$E:$E,4096,Data!$F:$F,1)/MAX(0.000001,SUMIFS(Data!$J:$J,Data!$E:$E,4096,Data!$F:$F,1))</f>
        <v>32.4437030859049</v>
      </c>
      <c r="E152" s="13" t="n">
        <f aca="false">100*SUMIFS(Data!$W:$W,Data!$E:$E,16384,Data!$F:$F,1)/MAX(0.000001,SUMIFS(Data!$J:$J,Data!$E:$E,16384,Data!$F:$F,1))</f>
        <v>30.8066397156778</v>
      </c>
    </row>
    <row r="178" customFormat="false" ht="15" hidden="false" customHeight="false" outlineLevel="0" collapsed="false">
      <c r="A178" s="12" t="s">
        <v>37</v>
      </c>
      <c r="B178" s="2" t="s">
        <v>64</v>
      </c>
    </row>
    <row r="179" customFormat="false" ht="15" hidden="false" customHeight="false" outlineLevel="0" collapsed="false">
      <c r="A179" s="12" t="s">
        <v>39</v>
      </c>
      <c r="B179" s="2" t="s">
        <v>65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D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5390625" defaultRowHeight="15" zeroHeight="false" outlineLevelRow="0" outlineLevelCol="0"/>
  <cols>
    <col collapsed="false" customWidth="true" hidden="false" outlineLevel="0" max="1" min="1" style="0" width="20"/>
    <col collapsed="false" customWidth="true" hidden="false" outlineLevel="0" max="30" min="2" style="0" width="15"/>
  </cols>
  <sheetData>
    <row r="1" customFormat="false" ht="15" hidden="false" customHeight="false" outlineLevel="0" collapsed="false">
      <c r="A1" s="9" t="s">
        <v>2</v>
      </c>
      <c r="B1" s="9" t="s">
        <v>66</v>
      </c>
      <c r="C1" s="9" t="s">
        <v>67</v>
      </c>
      <c r="D1" s="9" t="s">
        <v>68</v>
      </c>
      <c r="E1" s="9" t="s">
        <v>69</v>
      </c>
      <c r="F1" s="9" t="s">
        <v>70</v>
      </c>
      <c r="G1" s="9" t="s">
        <v>14</v>
      </c>
      <c r="H1" s="9" t="s">
        <v>71</v>
      </c>
      <c r="I1" s="9" t="s">
        <v>72</v>
      </c>
      <c r="J1" s="9" t="s">
        <v>73</v>
      </c>
      <c r="K1" s="9" t="s">
        <v>74</v>
      </c>
      <c r="L1" s="9" t="s">
        <v>75</v>
      </c>
      <c r="M1" s="9" t="s">
        <v>76</v>
      </c>
      <c r="N1" s="9" t="s">
        <v>77</v>
      </c>
      <c r="O1" s="9" t="s">
        <v>78</v>
      </c>
      <c r="P1" s="9" t="s">
        <v>79</v>
      </c>
      <c r="Q1" s="9" t="s">
        <v>80</v>
      </c>
      <c r="R1" s="9" t="s">
        <v>81</v>
      </c>
      <c r="S1" s="9" t="s">
        <v>82</v>
      </c>
      <c r="T1" s="9" t="s">
        <v>83</v>
      </c>
      <c r="U1" s="9" t="s">
        <v>84</v>
      </c>
      <c r="V1" s="9" t="s">
        <v>85</v>
      </c>
      <c r="W1" s="9" t="s">
        <v>86</v>
      </c>
      <c r="X1" s="9" t="s">
        <v>87</v>
      </c>
      <c r="Y1" s="9" t="s">
        <v>88</v>
      </c>
      <c r="Z1" s="9" t="s">
        <v>89</v>
      </c>
      <c r="AA1" s="9" t="s">
        <v>90</v>
      </c>
      <c r="AB1" s="9" t="s">
        <v>91</v>
      </c>
      <c r="AC1" s="9" t="s">
        <v>92</v>
      </c>
      <c r="AD1" s="9" t="s">
        <v>93</v>
      </c>
    </row>
    <row r="2" customFormat="false" ht="15" hidden="false" customHeight="false" outlineLevel="0" collapsed="false">
      <c r="A2" s="10" t="s">
        <v>94</v>
      </c>
      <c r="B2" s="10" t="n">
        <v>42700000</v>
      </c>
      <c r="C2" s="10" t="n">
        <v>28</v>
      </c>
      <c r="D2" s="10" t="n">
        <v>1195600000</v>
      </c>
      <c r="E2" s="10" t="n">
        <v>256</v>
      </c>
      <c r="F2" s="10" t="n">
        <v>0.1</v>
      </c>
      <c r="G2" s="10" t="n">
        <v>3</v>
      </c>
      <c r="H2" s="10" t="n">
        <v>7.47975</v>
      </c>
      <c r="I2" s="10" t="n">
        <v>6.06841</v>
      </c>
      <c r="J2" s="10" t="n">
        <v>3.66914</v>
      </c>
      <c r="K2" s="10" t="n">
        <v>0.946867</v>
      </c>
      <c r="L2" s="10" t="n">
        <v>4.83869</v>
      </c>
      <c r="M2" s="10" t="n">
        <v>0.646867</v>
      </c>
      <c r="N2" s="10" t="n">
        <v>1.23057</v>
      </c>
      <c r="O2" s="10" t="n">
        <v>0.186013</v>
      </c>
      <c r="P2" s="10" t="n">
        <v>0.41879</v>
      </c>
      <c r="Q2" s="10" t="n">
        <v>2.35645</v>
      </c>
      <c r="R2" s="10" t="n">
        <v>0.282851</v>
      </c>
      <c r="S2" s="10" t="n">
        <v>0.0475123</v>
      </c>
      <c r="T2" s="10" t="n">
        <v>0.0120418</v>
      </c>
      <c r="U2" s="10" t="n">
        <v>1.88475</v>
      </c>
      <c r="V2" s="10" t="n">
        <v>0.605831</v>
      </c>
      <c r="W2" s="10" t="n">
        <v>1.119</v>
      </c>
      <c r="X2" s="10" t="n">
        <v>4561</v>
      </c>
      <c r="Y2" s="10" t="n">
        <v>292467</v>
      </c>
      <c r="Z2" s="10" t="n">
        <v>395580701</v>
      </c>
      <c r="AA2" s="10" t="n">
        <v>3.02239</v>
      </c>
      <c r="AB2" s="10" t="n">
        <v>0</v>
      </c>
      <c r="AC2" s="10" t="n">
        <v>0</v>
      </c>
      <c r="AD2" s="10" t="n">
        <v>0</v>
      </c>
    </row>
    <row r="3" customFormat="false" ht="15" hidden="false" customHeight="false" outlineLevel="0" collapsed="false">
      <c r="A3" s="10" t="s">
        <v>94</v>
      </c>
      <c r="B3" s="10" t="n">
        <v>42700000</v>
      </c>
      <c r="C3" s="10" t="n">
        <v>28</v>
      </c>
      <c r="D3" s="10" t="n">
        <v>1195600000</v>
      </c>
      <c r="E3" s="10" t="n">
        <v>256</v>
      </c>
      <c r="F3" s="10" t="n">
        <v>1</v>
      </c>
      <c r="G3" s="10" t="n">
        <v>3</v>
      </c>
      <c r="H3" s="10" t="n">
        <v>7.51851</v>
      </c>
      <c r="I3" s="10" t="n">
        <v>6.02062</v>
      </c>
      <c r="J3" s="10" t="n">
        <v>3.64248</v>
      </c>
      <c r="K3" s="10" t="n">
        <v>0.948878</v>
      </c>
      <c r="L3" s="10" t="n">
        <v>4.80755</v>
      </c>
      <c r="M3" s="10" t="n">
        <v>0.641167</v>
      </c>
      <c r="N3" s="10" t="n">
        <v>1.22852</v>
      </c>
      <c r="O3" s="10" t="n">
        <v>0.16133</v>
      </c>
      <c r="P3" s="10" t="n">
        <v>0.425254</v>
      </c>
      <c r="Q3" s="10" t="n">
        <v>2.35128</v>
      </c>
      <c r="R3" s="10" t="n">
        <v>0.264191</v>
      </c>
      <c r="S3" s="10" t="n">
        <v>0.0425326</v>
      </c>
      <c r="T3" s="10" t="n">
        <v>0.0503619</v>
      </c>
      <c r="U3" s="10" t="n">
        <v>1.83643</v>
      </c>
      <c r="V3" s="10" t="n">
        <v>0.591834</v>
      </c>
      <c r="W3" s="10" t="n">
        <v>1.12132</v>
      </c>
      <c r="X3" s="10" t="n">
        <v>4561</v>
      </c>
      <c r="Y3" s="10" t="n">
        <v>292467</v>
      </c>
      <c r="Z3" s="10" t="n">
        <v>374923196</v>
      </c>
      <c r="AA3" s="10" t="n">
        <v>3.18892</v>
      </c>
      <c r="AB3" s="10" t="n">
        <v>6.81107</v>
      </c>
      <c r="AC3" s="10" t="n">
        <v>304368627</v>
      </c>
      <c r="AD3" s="10" t="n">
        <v>256439670</v>
      </c>
    </row>
    <row r="4" customFormat="false" ht="15" hidden="false" customHeight="false" outlineLevel="0" collapsed="false">
      <c r="A4" s="10" t="s">
        <v>94</v>
      </c>
      <c r="B4" s="10" t="n">
        <v>42700000</v>
      </c>
      <c r="C4" s="10" t="n">
        <v>28</v>
      </c>
      <c r="D4" s="10" t="n">
        <v>1195600000</v>
      </c>
      <c r="E4" s="10" t="n">
        <v>256</v>
      </c>
      <c r="F4" s="10" t="n">
        <v>5</v>
      </c>
      <c r="G4" s="10" t="n">
        <v>3</v>
      </c>
      <c r="H4" s="10" t="n">
        <v>7.39782</v>
      </c>
      <c r="I4" s="10" t="n">
        <v>5.92365</v>
      </c>
      <c r="J4" s="10" t="n">
        <v>3.56509</v>
      </c>
      <c r="K4" s="10" t="n">
        <v>0.93896</v>
      </c>
      <c r="L4" s="10" t="n">
        <v>4.73973</v>
      </c>
      <c r="M4" s="10" t="n">
        <v>0.652045</v>
      </c>
      <c r="N4" s="10" t="n">
        <v>1.21719</v>
      </c>
      <c r="O4" s="10" t="n">
        <v>0.143356</v>
      </c>
      <c r="P4" s="10" t="n">
        <v>0.388094</v>
      </c>
      <c r="Q4" s="10" t="n">
        <v>2.33904</v>
      </c>
      <c r="R4" s="10" t="n">
        <v>0.244965</v>
      </c>
      <c r="S4" s="10" t="n">
        <v>0.0409007</v>
      </c>
      <c r="T4" s="10" t="n">
        <v>0.0484412</v>
      </c>
      <c r="U4" s="10" t="n">
        <v>1.78124</v>
      </c>
      <c r="V4" s="10" t="n">
        <v>0.581913</v>
      </c>
      <c r="W4" s="10" t="n">
        <v>1.11259</v>
      </c>
      <c r="X4" s="10" t="n">
        <v>4561</v>
      </c>
      <c r="Y4" s="10" t="n">
        <v>292467</v>
      </c>
      <c r="Z4" s="10" t="n">
        <v>362075191</v>
      </c>
      <c r="AA4" s="10" t="n">
        <v>3.30208</v>
      </c>
      <c r="AB4" s="10" t="n">
        <v>0</v>
      </c>
      <c r="AC4" s="10" t="n">
        <v>0</v>
      </c>
      <c r="AD4" s="10" t="n">
        <v>0</v>
      </c>
    </row>
    <row r="5" customFormat="false" ht="15" hidden="false" customHeight="false" outlineLevel="0" collapsed="false">
      <c r="A5" s="10" t="s">
        <v>94</v>
      </c>
      <c r="B5" s="10" t="n">
        <v>42700000</v>
      </c>
      <c r="C5" s="10" t="n">
        <v>28</v>
      </c>
      <c r="D5" s="10" t="n">
        <v>1195600000</v>
      </c>
      <c r="E5" s="10" t="n">
        <v>1024</v>
      </c>
      <c r="F5" s="10" t="n">
        <v>0.1</v>
      </c>
      <c r="G5" s="10" t="n">
        <v>3</v>
      </c>
      <c r="H5" s="10" t="n">
        <v>7.44292</v>
      </c>
      <c r="I5" s="10" t="n">
        <v>5.82049</v>
      </c>
      <c r="J5" s="10" t="n">
        <v>3.55076</v>
      </c>
      <c r="K5" s="10" t="n">
        <v>0.931747</v>
      </c>
      <c r="L5" s="10" t="n">
        <v>4.62</v>
      </c>
      <c r="M5" s="10" t="n">
        <v>0.621844</v>
      </c>
      <c r="N5" s="10" t="n">
        <v>1.21357</v>
      </c>
      <c r="O5" s="10" t="n">
        <v>0.180962</v>
      </c>
      <c r="P5" s="10" t="n">
        <v>0.287968</v>
      </c>
      <c r="Q5" s="10" t="n">
        <v>2.31565</v>
      </c>
      <c r="R5" s="10" t="n">
        <v>0.268738</v>
      </c>
      <c r="S5" s="10" t="n">
        <v>0.0382647</v>
      </c>
      <c r="T5" s="10" t="n">
        <v>0.0211852</v>
      </c>
      <c r="U5" s="10" t="n">
        <v>1.83464</v>
      </c>
      <c r="V5" s="10" t="n">
        <v>0.555896</v>
      </c>
      <c r="W5" s="10" t="n">
        <v>1.10078</v>
      </c>
      <c r="X5" s="10" t="n">
        <v>1141</v>
      </c>
      <c r="Y5" s="10" t="n">
        <v>292467</v>
      </c>
      <c r="Z5" s="10" t="n">
        <v>405584073</v>
      </c>
      <c r="AA5" s="10" t="n">
        <v>2.94785</v>
      </c>
      <c r="AB5" s="10" t="n">
        <v>0</v>
      </c>
      <c r="AC5" s="10" t="n">
        <v>0</v>
      </c>
      <c r="AD5" s="10" t="n">
        <v>0</v>
      </c>
    </row>
    <row r="6" customFormat="false" ht="15" hidden="false" customHeight="false" outlineLevel="0" collapsed="false">
      <c r="A6" s="10" t="s">
        <v>94</v>
      </c>
      <c r="B6" s="10" t="n">
        <v>42700000</v>
      </c>
      <c r="C6" s="10" t="n">
        <v>28</v>
      </c>
      <c r="D6" s="10" t="n">
        <v>1195600000</v>
      </c>
      <c r="E6" s="10" t="n">
        <v>1024</v>
      </c>
      <c r="F6" s="10" t="n">
        <v>1</v>
      </c>
      <c r="G6" s="10" t="n">
        <v>3</v>
      </c>
      <c r="H6" s="10" t="n">
        <v>7.40829</v>
      </c>
      <c r="I6" s="10" t="n">
        <v>5.79751</v>
      </c>
      <c r="J6" s="10" t="n">
        <v>3.55094</v>
      </c>
      <c r="K6" s="10" t="n">
        <v>0.926175</v>
      </c>
      <c r="L6" s="10" t="n">
        <v>4.61978</v>
      </c>
      <c r="M6" s="10" t="n">
        <v>0.598639</v>
      </c>
      <c r="N6" s="10" t="n">
        <v>1.2014</v>
      </c>
      <c r="O6" s="10" t="n">
        <v>0.159474</v>
      </c>
      <c r="P6" s="10" t="n">
        <v>0.320366</v>
      </c>
      <c r="Q6" s="10" t="n">
        <v>2.33991</v>
      </c>
      <c r="R6" s="10" t="n">
        <v>0.251556</v>
      </c>
      <c r="S6" s="10" t="n">
        <v>0.0366151</v>
      </c>
      <c r="T6" s="10" t="n">
        <v>0.0521807</v>
      </c>
      <c r="U6" s="10" t="n">
        <v>1.80201</v>
      </c>
      <c r="V6" s="10" t="n">
        <v>0.556759</v>
      </c>
      <c r="W6" s="10" t="n">
        <v>1.10338</v>
      </c>
      <c r="X6" s="10" t="n">
        <v>1141</v>
      </c>
      <c r="Y6" s="10" t="n">
        <v>292467</v>
      </c>
      <c r="Z6" s="10" t="n">
        <v>385519266</v>
      </c>
      <c r="AA6" s="10" t="n">
        <v>3.10127</v>
      </c>
      <c r="AB6" s="10" t="n">
        <v>0</v>
      </c>
      <c r="AC6" s="10" t="n">
        <v>0</v>
      </c>
      <c r="AD6" s="10" t="n">
        <v>0</v>
      </c>
    </row>
    <row r="7" customFormat="false" ht="15" hidden="false" customHeight="false" outlineLevel="0" collapsed="false">
      <c r="A7" s="10" t="s">
        <v>94</v>
      </c>
      <c r="B7" s="10" t="n">
        <v>42700000</v>
      </c>
      <c r="C7" s="10" t="n">
        <v>28</v>
      </c>
      <c r="D7" s="10" t="n">
        <v>1195600000</v>
      </c>
      <c r="E7" s="10" t="n">
        <v>1024</v>
      </c>
      <c r="F7" s="10" t="n">
        <v>5</v>
      </c>
      <c r="G7" s="10" t="n">
        <v>3</v>
      </c>
      <c r="H7" s="10" t="n">
        <v>7.66029</v>
      </c>
      <c r="I7" s="10" t="n">
        <v>5.80237</v>
      </c>
      <c r="J7" s="10" t="n">
        <v>3.49444</v>
      </c>
      <c r="K7" s="10" t="n">
        <v>0.937859</v>
      </c>
      <c r="L7" s="10" t="n">
        <v>4.60713</v>
      </c>
      <c r="M7" s="10" t="n">
        <v>0.630755</v>
      </c>
      <c r="N7" s="10" t="n">
        <v>1.22032</v>
      </c>
      <c r="O7" s="10" t="n">
        <v>0.141846</v>
      </c>
      <c r="P7" s="10" t="n">
        <v>0.286774</v>
      </c>
      <c r="Q7" s="10" t="n">
        <v>2.32743</v>
      </c>
      <c r="R7" s="10" t="n">
        <v>0.257384</v>
      </c>
      <c r="S7" s="10" t="n">
        <v>0.0379958</v>
      </c>
      <c r="T7" s="10" t="n">
        <v>0.0396242</v>
      </c>
      <c r="U7" s="10" t="n">
        <v>1.7602</v>
      </c>
      <c r="V7" s="10" t="n">
        <v>0.551921</v>
      </c>
      <c r="W7" s="10" t="n">
        <v>1.1047</v>
      </c>
      <c r="X7" s="10" t="n">
        <v>1141</v>
      </c>
      <c r="Y7" s="10" t="n">
        <v>292467</v>
      </c>
      <c r="Z7" s="10" t="n">
        <v>370423871</v>
      </c>
      <c r="AA7" s="10" t="n">
        <v>3.22765</v>
      </c>
      <c r="AB7" s="10" t="n">
        <v>0</v>
      </c>
      <c r="AC7" s="10" t="n">
        <v>0</v>
      </c>
      <c r="AD7" s="10" t="n">
        <v>0</v>
      </c>
    </row>
    <row r="8" customFormat="false" ht="15" hidden="false" customHeight="false" outlineLevel="0" collapsed="false">
      <c r="A8" s="10" t="s">
        <v>94</v>
      </c>
      <c r="B8" s="10" t="n">
        <v>42700000</v>
      </c>
      <c r="C8" s="10" t="n">
        <v>28</v>
      </c>
      <c r="D8" s="10" t="n">
        <v>1195600000</v>
      </c>
      <c r="E8" s="10" t="n">
        <v>4096</v>
      </c>
      <c r="F8" s="10" t="n">
        <v>0.1</v>
      </c>
      <c r="G8" s="10" t="n">
        <v>3</v>
      </c>
      <c r="H8" s="10" t="n">
        <v>7.6181</v>
      </c>
      <c r="I8" s="10" t="n">
        <v>6.16294</v>
      </c>
      <c r="J8" s="10" t="n">
        <v>4.10132</v>
      </c>
      <c r="K8" s="10" t="n">
        <v>0.965906</v>
      </c>
      <c r="L8" s="10" t="n">
        <v>4.89619</v>
      </c>
      <c r="M8" s="10" t="n">
        <v>0.670157</v>
      </c>
      <c r="N8" s="10" t="n">
        <v>1.28017</v>
      </c>
      <c r="O8" s="10" t="n">
        <v>0.186154</v>
      </c>
      <c r="P8" s="10" t="n">
        <v>0.279127</v>
      </c>
      <c r="Q8" s="10" t="n">
        <v>2.48058</v>
      </c>
      <c r="R8" s="10" t="n">
        <v>0.300847</v>
      </c>
      <c r="S8" s="10" t="n">
        <v>0.0486986</v>
      </c>
      <c r="T8" s="10" t="n">
        <v>0.0390132</v>
      </c>
      <c r="U8" s="10" t="n">
        <v>2.00852</v>
      </c>
      <c r="V8" s="10" t="n">
        <v>0.683328</v>
      </c>
      <c r="W8" s="10" t="n">
        <v>1.32175</v>
      </c>
      <c r="X8" s="10" t="n">
        <v>286</v>
      </c>
      <c r="Y8" s="10" t="n">
        <v>292467</v>
      </c>
      <c r="Z8" s="10" t="n">
        <v>415788287</v>
      </c>
      <c r="AA8" s="10" t="n">
        <v>2.8755</v>
      </c>
      <c r="AB8" s="10" t="n">
        <v>0</v>
      </c>
      <c r="AC8" s="10" t="n">
        <v>0</v>
      </c>
      <c r="AD8" s="10" t="n">
        <v>0</v>
      </c>
    </row>
    <row r="9" customFormat="false" ht="15" hidden="false" customHeight="false" outlineLevel="0" collapsed="false">
      <c r="A9" s="10" t="s">
        <v>94</v>
      </c>
      <c r="B9" s="10" t="n">
        <v>42700000</v>
      </c>
      <c r="C9" s="10" t="n">
        <v>28</v>
      </c>
      <c r="D9" s="10" t="n">
        <v>1195600000</v>
      </c>
      <c r="E9" s="10" t="n">
        <v>4096</v>
      </c>
      <c r="F9" s="10" t="n">
        <v>1</v>
      </c>
      <c r="G9" s="10" t="n">
        <v>3</v>
      </c>
      <c r="H9" s="10" t="n">
        <v>7.49298</v>
      </c>
      <c r="I9" s="10" t="n">
        <v>6.18093</v>
      </c>
      <c r="J9" s="10" t="n">
        <v>4.10058</v>
      </c>
      <c r="K9" s="10" t="n">
        <v>0.976294</v>
      </c>
      <c r="L9" s="10" t="n">
        <v>4.92416</v>
      </c>
      <c r="M9" s="10" t="n">
        <v>0.69376</v>
      </c>
      <c r="N9" s="10" t="n">
        <v>1.2841</v>
      </c>
      <c r="O9" s="10" t="n">
        <v>0.168748</v>
      </c>
      <c r="P9" s="10" t="n">
        <v>0.283518</v>
      </c>
      <c r="Q9" s="10" t="n">
        <v>2.49403</v>
      </c>
      <c r="R9" s="10" t="n">
        <v>0.28047</v>
      </c>
      <c r="S9" s="10" t="n">
        <v>0.0410518</v>
      </c>
      <c r="T9" s="10" t="n">
        <v>0.0606564</v>
      </c>
      <c r="U9" s="10" t="n">
        <v>1.97269</v>
      </c>
      <c r="V9" s="10" t="n">
        <v>0.695804</v>
      </c>
      <c r="W9" s="10" t="n">
        <v>1.33038</v>
      </c>
      <c r="X9" s="10" t="n">
        <v>286</v>
      </c>
      <c r="Y9" s="10" t="n">
        <v>292467</v>
      </c>
      <c r="Z9" s="10" t="n">
        <v>396472715</v>
      </c>
      <c r="AA9" s="10" t="n">
        <v>3.01559</v>
      </c>
      <c r="AB9" s="10" t="n">
        <v>0</v>
      </c>
      <c r="AC9" s="10" t="n">
        <v>0</v>
      </c>
      <c r="AD9" s="10" t="n">
        <v>0</v>
      </c>
    </row>
    <row r="10" customFormat="false" ht="15" hidden="false" customHeight="false" outlineLevel="0" collapsed="false">
      <c r="A10" s="10" t="s">
        <v>94</v>
      </c>
      <c r="B10" s="10" t="n">
        <v>42700000</v>
      </c>
      <c r="C10" s="10" t="n">
        <v>28</v>
      </c>
      <c r="D10" s="10" t="n">
        <v>1195600000</v>
      </c>
      <c r="E10" s="10" t="n">
        <v>4096</v>
      </c>
      <c r="F10" s="10" t="n">
        <v>5</v>
      </c>
      <c r="G10" s="10" t="n">
        <v>3</v>
      </c>
      <c r="H10" s="10" t="n">
        <v>7.75812</v>
      </c>
      <c r="I10" s="10" t="n">
        <v>6.09897</v>
      </c>
      <c r="J10" s="10" t="n">
        <v>4.09761</v>
      </c>
      <c r="K10" s="10" t="n">
        <v>0.952661</v>
      </c>
      <c r="L10" s="10" t="n">
        <v>4.88502</v>
      </c>
      <c r="M10" s="10" t="n">
        <v>0.666782</v>
      </c>
      <c r="N10" s="10" t="n">
        <v>1.26779</v>
      </c>
      <c r="O10" s="10" t="n">
        <v>0.146799</v>
      </c>
      <c r="P10" s="10" t="n">
        <v>0.354481</v>
      </c>
      <c r="Q10" s="10" t="n">
        <v>2.44917</v>
      </c>
      <c r="R10" s="10" t="n">
        <v>0.261293</v>
      </c>
      <c r="S10" s="10" t="n">
        <v>0.0356545</v>
      </c>
      <c r="T10" s="10" t="n">
        <v>0.0493507</v>
      </c>
      <c r="U10" s="10" t="n">
        <v>1.97959</v>
      </c>
      <c r="V10" s="10" t="n">
        <v>0.704865</v>
      </c>
      <c r="W10" s="10" t="n">
        <v>1.32815</v>
      </c>
      <c r="X10" s="10" t="n">
        <v>286</v>
      </c>
      <c r="Y10" s="10" t="n">
        <v>292467</v>
      </c>
      <c r="Z10" s="10" t="n">
        <v>378290457</v>
      </c>
      <c r="AA10" s="10" t="n">
        <v>3.16053</v>
      </c>
      <c r="AB10" s="10" t="n">
        <v>0</v>
      </c>
      <c r="AC10" s="10" t="n">
        <v>0</v>
      </c>
      <c r="AD10" s="10" t="n">
        <v>0</v>
      </c>
    </row>
    <row r="11" customFormat="false" ht="15" hidden="false" customHeight="false" outlineLevel="0" collapsed="false">
      <c r="A11" s="10" t="s">
        <v>94</v>
      </c>
      <c r="B11" s="10" t="n">
        <v>42700000</v>
      </c>
      <c r="C11" s="10" t="n">
        <v>28</v>
      </c>
      <c r="D11" s="10" t="n">
        <v>1195600000</v>
      </c>
      <c r="E11" s="10" t="n">
        <v>16384</v>
      </c>
      <c r="F11" s="10" t="n">
        <v>0.1</v>
      </c>
      <c r="G11" s="10" t="n">
        <v>3</v>
      </c>
      <c r="H11" s="10" t="n">
        <v>7.55344</v>
      </c>
      <c r="I11" s="10" t="n">
        <v>6.77744</v>
      </c>
      <c r="J11" s="10" t="n">
        <v>4.36588</v>
      </c>
      <c r="K11" s="10" t="n">
        <v>0.985251</v>
      </c>
      <c r="L11" s="10" t="n">
        <v>5.50956</v>
      </c>
      <c r="M11" s="10" t="n">
        <v>0.654087</v>
      </c>
      <c r="N11" s="10" t="n">
        <v>1.32877</v>
      </c>
      <c r="O11" s="10" t="n">
        <v>0.190683</v>
      </c>
      <c r="P11" s="10" t="n">
        <v>0.705114</v>
      </c>
      <c r="Q11" s="10" t="n">
        <v>2.6309</v>
      </c>
      <c r="R11" s="10" t="n">
        <v>0.28263</v>
      </c>
      <c r="S11" s="10" t="n">
        <v>0.0758051</v>
      </c>
      <c r="T11" s="10" t="n">
        <v>0.242601</v>
      </c>
      <c r="U11" s="10" t="n">
        <v>2.01829</v>
      </c>
      <c r="V11" s="10" t="n">
        <v>0.68106</v>
      </c>
      <c r="W11" s="10" t="n">
        <v>1.34813</v>
      </c>
      <c r="X11" s="10" t="n">
        <v>72</v>
      </c>
      <c r="Y11" s="10" t="n">
        <v>292467</v>
      </c>
      <c r="Z11" s="10" t="n">
        <v>422751801</v>
      </c>
      <c r="AA11" s="10" t="n">
        <v>2.82814</v>
      </c>
      <c r="AB11" s="10" t="n">
        <v>0</v>
      </c>
      <c r="AC11" s="10" t="n">
        <v>0</v>
      </c>
      <c r="AD11" s="10" t="n">
        <v>0</v>
      </c>
    </row>
    <row r="12" customFormat="false" ht="15" hidden="false" customHeight="false" outlineLevel="0" collapsed="false">
      <c r="A12" s="10" t="s">
        <v>94</v>
      </c>
      <c r="B12" s="10" t="n">
        <v>42700000</v>
      </c>
      <c r="C12" s="10" t="n">
        <v>28</v>
      </c>
      <c r="D12" s="10" t="n">
        <v>1195600000</v>
      </c>
      <c r="E12" s="10" t="n">
        <v>16384</v>
      </c>
      <c r="F12" s="10" t="n">
        <v>1</v>
      </c>
      <c r="G12" s="10" t="n">
        <v>3</v>
      </c>
      <c r="H12" s="10" t="n">
        <v>7.6243</v>
      </c>
      <c r="I12" s="10" t="n">
        <v>6.47535</v>
      </c>
      <c r="J12" s="10" t="n">
        <v>4.33874</v>
      </c>
      <c r="K12" s="10" t="n">
        <v>0.954946</v>
      </c>
      <c r="L12" s="10" t="n">
        <v>5.2706</v>
      </c>
      <c r="M12" s="10" t="n">
        <v>0.619168</v>
      </c>
      <c r="N12" s="10" t="n">
        <v>1.29334</v>
      </c>
      <c r="O12" s="10" t="n">
        <v>0.164432</v>
      </c>
      <c r="P12" s="10" t="n">
        <v>0.617215</v>
      </c>
      <c r="Q12" s="10" t="n">
        <v>2.57645</v>
      </c>
      <c r="R12" s="10" t="n">
        <v>0.2498</v>
      </c>
      <c r="S12" s="10" t="n">
        <v>0.0685541</v>
      </c>
      <c r="T12" s="10" t="n">
        <v>0.278391</v>
      </c>
      <c r="U12" s="10" t="n">
        <v>1.98123</v>
      </c>
      <c r="V12" s="10" t="n">
        <v>0.673944</v>
      </c>
      <c r="W12" s="10" t="n">
        <v>1.33662</v>
      </c>
      <c r="X12" s="10" t="n">
        <v>72</v>
      </c>
      <c r="Y12" s="10" t="n">
        <v>292467</v>
      </c>
      <c r="Z12" s="10" t="n">
        <v>402275652</v>
      </c>
      <c r="AA12" s="10" t="n">
        <v>2.97209</v>
      </c>
      <c r="AB12" s="10" t="n">
        <v>0</v>
      </c>
      <c r="AC12" s="10" t="n">
        <v>0</v>
      </c>
      <c r="AD12" s="10" t="n">
        <v>0</v>
      </c>
    </row>
    <row r="13" customFormat="false" ht="15" hidden="false" customHeight="false" outlineLevel="0" collapsed="false">
      <c r="A13" s="10" t="s">
        <v>94</v>
      </c>
      <c r="B13" s="10" t="n">
        <v>42700000</v>
      </c>
      <c r="C13" s="10" t="n">
        <v>28</v>
      </c>
      <c r="D13" s="10" t="n">
        <v>1195600000</v>
      </c>
      <c r="E13" s="10" t="n">
        <v>16384</v>
      </c>
      <c r="F13" s="10" t="n">
        <v>5</v>
      </c>
      <c r="G13" s="10" t="n">
        <v>3</v>
      </c>
      <c r="H13" s="10" t="n">
        <v>7.66006</v>
      </c>
      <c r="I13" s="10" t="n">
        <v>6.78201</v>
      </c>
      <c r="J13" s="10" t="n">
        <v>4.36478</v>
      </c>
      <c r="K13" s="10" t="n">
        <v>0.98584</v>
      </c>
      <c r="L13" s="10" t="n">
        <v>5.54745</v>
      </c>
      <c r="M13" s="10" t="n">
        <v>0.663794</v>
      </c>
      <c r="N13" s="10" t="n">
        <v>1.3378</v>
      </c>
      <c r="O13" s="10" t="n">
        <v>0.154357</v>
      </c>
      <c r="P13" s="10" t="n">
        <v>0.75681</v>
      </c>
      <c r="Q13" s="10" t="n">
        <v>2.63469</v>
      </c>
      <c r="R13" s="10" t="n">
        <v>0.248728</v>
      </c>
      <c r="S13" s="10" t="n">
        <v>0.0674789</v>
      </c>
      <c r="T13" s="10" t="n">
        <v>0.264793</v>
      </c>
      <c r="U13" s="10" t="n">
        <v>1.97971</v>
      </c>
      <c r="V13" s="10" t="n">
        <v>0.698984</v>
      </c>
      <c r="W13" s="10" t="n">
        <v>1.35382</v>
      </c>
      <c r="X13" s="10" t="n">
        <v>72</v>
      </c>
      <c r="Y13" s="10" t="n">
        <v>292467</v>
      </c>
      <c r="Z13" s="10" t="n">
        <v>380812238</v>
      </c>
      <c r="AA13" s="10" t="n">
        <v>3.1396</v>
      </c>
      <c r="AB13" s="10" t="n">
        <v>0</v>
      </c>
      <c r="AC13" s="10" t="n">
        <v>0</v>
      </c>
      <c r="AD13" s="10" t="n">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32"/>
    <col collapsed="false" customWidth="true" hidden="false" outlineLevel="0" max="5" min="2" style="0" width="14"/>
  </cols>
  <sheetData>
    <row r="1" customFormat="false" ht="15" hidden="false" customHeight="false" outlineLevel="0" collapsed="false">
      <c r="A1" s="14" t="s">
        <v>95</v>
      </c>
    </row>
    <row r="2" customFormat="false" ht="15" hidden="false" customHeight="false" outlineLevel="0" collapsed="false">
      <c r="A2" s="2" t="s">
        <v>96</v>
      </c>
    </row>
    <row r="4" customFormat="false" ht="15" hidden="false" customHeight="false" outlineLevel="0" collapsed="false">
      <c r="A4" s="5" t="s">
        <v>97</v>
      </c>
      <c r="B4" s="6"/>
      <c r="C4" s="6"/>
      <c r="D4" s="6"/>
      <c r="E4" s="6"/>
    </row>
    <row r="5" customFormat="false" ht="15" hidden="false" customHeight="false" outlineLevel="0" collapsed="false">
      <c r="A5" s="2" t="s">
        <v>98</v>
      </c>
    </row>
    <row r="6" customFormat="false" ht="15" hidden="false" customHeight="false" outlineLevel="0" collapsed="false">
      <c r="A6" s="9" t="s">
        <v>29</v>
      </c>
      <c r="B6" s="9" t="s">
        <v>30</v>
      </c>
      <c r="C6" s="9" t="s">
        <v>31</v>
      </c>
      <c r="D6" s="9" t="s">
        <v>32</v>
      </c>
      <c r="E6" s="9" t="s">
        <v>33</v>
      </c>
    </row>
    <row r="7" customFormat="false" ht="15" hidden="false" customHeight="false" outlineLevel="0" collapsed="false">
      <c r="A7" s="10" t="s">
        <v>34</v>
      </c>
      <c r="B7" s="11" t="n">
        <f aca="false">SUMIFS(Data!$H:$H,Data!$E:$E,256,Data!$F:$F,1)</f>
        <v>7.51851</v>
      </c>
      <c r="C7" s="11" t="n">
        <f aca="false">SUMIFS(Data!$H:$H,Data!$E:$E,1024,Data!$F:$F,1)</f>
        <v>7.40829</v>
      </c>
      <c r="D7" s="11" t="n">
        <f aca="false">SUMIFS(Data!$H:$H,Data!$E:$E,4096,Data!$F:$F,1)</f>
        <v>7.49298</v>
      </c>
      <c r="E7" s="11" t="n">
        <f aca="false">SUMIFS(Data!$H:$H,Data!$E:$E,16384,Data!$F:$F,1)</f>
        <v>7.6243</v>
      </c>
    </row>
    <row r="8" customFormat="false" ht="15" hidden="false" customHeight="false" outlineLevel="0" collapsed="false">
      <c r="A8" s="10" t="s">
        <v>35</v>
      </c>
      <c r="B8" s="11" t="n">
        <f aca="false">SUMIFS(Data!$I:$I,Data!$E:$E,256,Data!$F:$F,1)</f>
        <v>6.02062</v>
      </c>
      <c r="C8" s="11" t="n">
        <f aca="false">SUMIFS(Data!$I:$I,Data!$E:$E,1024,Data!$F:$F,1)</f>
        <v>5.79751</v>
      </c>
      <c r="D8" s="11" t="n">
        <f aca="false">SUMIFS(Data!$I:$I,Data!$E:$E,4096,Data!$F:$F,1)</f>
        <v>6.18093</v>
      </c>
      <c r="E8" s="11" t="n">
        <f aca="false">SUMIFS(Data!$I:$I,Data!$E:$E,16384,Data!$F:$F,1)</f>
        <v>6.47535</v>
      </c>
    </row>
    <row r="9" customFormat="false" ht="15" hidden="false" customHeight="false" outlineLevel="0" collapsed="false">
      <c r="A9" s="10" t="s">
        <v>36</v>
      </c>
      <c r="B9" s="11" t="n">
        <f aca="false">SUMIFS(Data!$J:$J,Data!$E:$E,256,Data!$F:$F,1)</f>
        <v>3.64248</v>
      </c>
      <c r="C9" s="11" t="n">
        <f aca="false">SUMIFS(Data!$J:$J,Data!$E:$E,1024,Data!$F:$F,1)</f>
        <v>3.55094</v>
      </c>
      <c r="D9" s="11" t="n">
        <f aca="false">SUMIFS(Data!$J:$J,Data!$E:$E,4096,Data!$F:$F,1)</f>
        <v>4.10058</v>
      </c>
      <c r="E9" s="11" t="n">
        <f aca="false">SUMIFS(Data!$J:$J,Data!$E:$E,16384,Data!$F:$F,1)</f>
        <v>4.33874</v>
      </c>
    </row>
    <row r="35" customFormat="false" ht="15" hidden="false" customHeight="false" outlineLevel="0" collapsed="false">
      <c r="A35" s="12" t="s">
        <v>37</v>
      </c>
      <c r="B35" s="2" t="s">
        <v>99</v>
      </c>
    </row>
    <row r="36" customFormat="false" ht="15" hidden="false" customHeight="false" outlineLevel="0" collapsed="false">
      <c r="A36" s="12" t="s">
        <v>39</v>
      </c>
      <c r="B36" s="2" t="s">
        <v>100</v>
      </c>
    </row>
    <row r="38" customFormat="false" ht="15" hidden="false" customHeight="false" outlineLevel="0" collapsed="false">
      <c r="A38" s="5" t="s">
        <v>101</v>
      </c>
      <c r="B38" s="6"/>
      <c r="C38" s="6"/>
      <c r="D38" s="6"/>
      <c r="E38" s="6"/>
    </row>
    <row r="39" customFormat="false" ht="15" hidden="false" customHeight="false" outlineLevel="0" collapsed="false">
      <c r="A39" s="2" t="s">
        <v>102</v>
      </c>
    </row>
    <row r="40" customFormat="false" ht="15" hidden="false" customHeight="false" outlineLevel="0" collapsed="false">
      <c r="A40" s="9" t="s">
        <v>29</v>
      </c>
      <c r="B40" s="9" t="s">
        <v>30</v>
      </c>
      <c r="C40" s="9" t="s">
        <v>31</v>
      </c>
      <c r="D40" s="9" t="s">
        <v>32</v>
      </c>
      <c r="E40" s="9" t="s">
        <v>33</v>
      </c>
    </row>
    <row r="41" customFormat="false" ht="15" hidden="false" customHeight="false" outlineLevel="0" collapsed="false">
      <c r="A41" s="10" t="s">
        <v>34</v>
      </c>
      <c r="B41" s="13" t="n">
        <f aca="false">1195600000/MAX(0.000001,SUMIFS(Data!$H:$H,Data!$E:$E,256,Data!$F:$F,1))/1000000</f>
        <v>159.020869826601</v>
      </c>
      <c r="C41" s="13" t="n">
        <f aca="false">1195600000/MAX(0.000001,SUMIFS(Data!$H:$H,Data!$E:$E,1024,Data!$F:$F,1))/1000000</f>
        <v>161.386770766263</v>
      </c>
      <c r="D41" s="13" t="n">
        <f aca="false">1195600000/MAX(0.000001,SUMIFS(Data!$H:$H,Data!$E:$E,4096,Data!$F:$F,1))/1000000</f>
        <v>159.562684005563</v>
      </c>
      <c r="E41" s="13" t="n">
        <f aca="false">1195600000/MAX(0.000001,SUMIFS(Data!$H:$H,Data!$E:$E,16384,Data!$F:$F,1))/1000000</f>
        <v>156.814396075705</v>
      </c>
    </row>
    <row r="42" customFormat="false" ht="15" hidden="false" customHeight="false" outlineLevel="0" collapsed="false">
      <c r="A42" s="10" t="s">
        <v>35</v>
      </c>
      <c r="B42" s="13" t="n">
        <f aca="false">1195600000/MAX(0.000001,SUMIFS(Data!$I:$I,Data!$E:$E,256,Data!$F:$F,1))/1000000</f>
        <v>198.584198969541</v>
      </c>
      <c r="C42" s="13" t="n">
        <f aca="false">1195600000/MAX(0.000001,SUMIFS(Data!$I:$I,Data!$E:$E,1024,Data!$F:$F,1))/1000000</f>
        <v>206.226466189795</v>
      </c>
      <c r="D42" s="13" t="n">
        <f aca="false">1195600000/MAX(0.000001,SUMIFS(Data!$I:$I,Data!$E:$E,4096,Data!$F:$F,1))/1000000</f>
        <v>193.433674220546</v>
      </c>
      <c r="E42" s="13" t="n">
        <f aca="false">1195600000/MAX(0.000001,SUMIFS(Data!$I:$I,Data!$E:$E,16384,Data!$F:$F,1))/1000000</f>
        <v>184.638668180098</v>
      </c>
    </row>
    <row r="43" customFormat="false" ht="15" hidden="false" customHeight="false" outlineLevel="0" collapsed="false">
      <c r="A43" s="10" t="s">
        <v>36</v>
      </c>
      <c r="B43" s="13" t="n">
        <f aca="false">1195600000/MAX(0.000001,SUMIFS(Data!$J:$J,Data!$E:$E,256,Data!$F:$F,1))/1000000</f>
        <v>328.237903845732</v>
      </c>
      <c r="C43" s="13" t="n">
        <f aca="false">1195600000/MAX(0.000001,SUMIFS(Data!$J:$J,Data!$E:$E,1024,Data!$F:$F,1))/1000000</f>
        <v>336.699578139873</v>
      </c>
      <c r="D43" s="13" t="n">
        <f aca="false">1195600000/MAX(0.000001,SUMIFS(Data!$J:$J,Data!$E:$E,4096,Data!$F:$F,1))/1000000</f>
        <v>291.568509820562</v>
      </c>
      <c r="E43" s="13" t="n">
        <f aca="false">1195600000/MAX(0.000001,SUMIFS(Data!$J:$J,Data!$E:$E,16384,Data!$F:$F,1))/1000000</f>
        <v>275.563873382595</v>
      </c>
    </row>
    <row r="69" customFormat="false" ht="15" hidden="false" customHeight="false" outlineLevel="0" collapsed="false">
      <c r="A69" s="12" t="s">
        <v>37</v>
      </c>
      <c r="B69" s="2" t="s">
        <v>103</v>
      </c>
    </row>
    <row r="70" customFormat="false" ht="15" hidden="false" customHeight="false" outlineLevel="0" collapsed="false">
      <c r="A70" s="12" t="s">
        <v>39</v>
      </c>
      <c r="B70" s="2" t="s">
        <v>104</v>
      </c>
    </row>
    <row r="72" customFormat="false" ht="15" hidden="false" customHeight="false" outlineLevel="0" collapsed="false">
      <c r="A72" s="5" t="s">
        <v>105</v>
      </c>
      <c r="B72" s="6"/>
      <c r="C72" s="6"/>
      <c r="D72" s="6"/>
    </row>
    <row r="73" customFormat="false" ht="15" hidden="false" customHeight="false" outlineLevel="0" collapsed="false">
      <c r="A73" s="2" t="s">
        <v>106</v>
      </c>
    </row>
    <row r="74" customFormat="false" ht="15" hidden="false" customHeight="false" outlineLevel="0" collapsed="false">
      <c r="A74" s="9" t="s">
        <v>29</v>
      </c>
      <c r="B74" s="9" t="s">
        <v>107</v>
      </c>
      <c r="C74" s="9" t="s">
        <v>108</v>
      </c>
      <c r="D74" s="9" t="s">
        <v>109</v>
      </c>
    </row>
    <row r="75" customFormat="false" ht="15" hidden="false" customHeight="false" outlineLevel="0" collapsed="false">
      <c r="A75" s="10" t="s">
        <v>35</v>
      </c>
      <c r="B75" s="11" t="n">
        <f aca="false">SUMIFS(Data!$I:$I,Data!$F:$F,0.1,Data!$E:$E,256)</f>
        <v>6.06841</v>
      </c>
      <c r="C75" s="11" t="n">
        <f aca="false">SUMIFS(Data!$I:$I,Data!$F:$F,1,Data!$E:$E,256)</f>
        <v>6.02062</v>
      </c>
      <c r="D75" s="11" t="n">
        <f aca="false">SUMIFS(Data!$I:$I,Data!$F:$F,5,Data!$E:$E,256)</f>
        <v>5.92365</v>
      </c>
    </row>
    <row r="76" customFormat="false" ht="15" hidden="false" customHeight="false" outlineLevel="0" collapsed="false">
      <c r="A76" s="10" t="s">
        <v>36</v>
      </c>
      <c r="B76" s="11" t="n">
        <f aca="false">SUMIFS(Data!$J:$J,Data!$F:$F,0.1,Data!$E:$E,256)</f>
        <v>3.66914</v>
      </c>
      <c r="C76" s="11" t="n">
        <f aca="false">SUMIFS(Data!$J:$J,Data!$F:$F,1,Data!$E:$E,256)</f>
        <v>3.64248</v>
      </c>
      <c r="D76" s="11" t="n">
        <f aca="false">SUMIFS(Data!$J:$J,Data!$F:$F,5,Data!$E:$E,256)</f>
        <v>3.56509</v>
      </c>
    </row>
    <row r="102" customFormat="false" ht="15" hidden="false" customHeight="false" outlineLevel="0" collapsed="false">
      <c r="A102" s="12" t="s">
        <v>37</v>
      </c>
      <c r="B102" s="2" t="s">
        <v>110</v>
      </c>
    </row>
    <row r="103" customFormat="false" ht="15" hidden="false" customHeight="false" outlineLevel="0" collapsed="false">
      <c r="A103" s="12" t="s">
        <v>39</v>
      </c>
      <c r="B103" s="2" t="s">
        <v>111</v>
      </c>
    </row>
    <row r="105" customFormat="false" ht="15" hidden="false" customHeight="false" outlineLevel="0" collapsed="false">
      <c r="A105" s="5" t="s">
        <v>112</v>
      </c>
      <c r="B105" s="6"/>
      <c r="C105" s="6"/>
      <c r="D105" s="6"/>
      <c r="E105" s="6"/>
    </row>
    <row r="106" customFormat="false" ht="15" hidden="false" customHeight="false" outlineLevel="0" collapsed="false">
      <c r="A106" s="9" t="s">
        <v>29</v>
      </c>
      <c r="B106" s="9" t="s">
        <v>30</v>
      </c>
      <c r="C106" s="9" t="s">
        <v>31</v>
      </c>
      <c r="D106" s="9" t="s">
        <v>32</v>
      </c>
      <c r="E106" s="9" t="s">
        <v>33</v>
      </c>
    </row>
    <row r="107" customFormat="false" ht="15" hidden="false" customHeight="false" outlineLevel="0" collapsed="false">
      <c r="A107" s="10" t="s">
        <v>113</v>
      </c>
      <c r="B107" s="15" t="n">
        <f aca="false">SUMIFS(Data!$Z:$Z,Data!$E:$E,256,Data!$F:$F,1)</f>
        <v>374923196</v>
      </c>
      <c r="C107" s="15" t="n">
        <f aca="false">SUMIFS(Data!$Z:$Z,Data!$E:$E,1024,Data!$F:$F,1)</f>
        <v>385519266</v>
      </c>
      <c r="D107" s="15" t="n">
        <f aca="false">SUMIFS(Data!$Z:$Z,Data!$E:$E,4096,Data!$F:$F,1)</f>
        <v>396472715</v>
      </c>
      <c r="E107" s="15" t="n">
        <f aca="false">SUMIFS(Data!$Z:$Z,Data!$E:$E,16384,Data!$F:$F,1)</f>
        <v>402275652</v>
      </c>
    </row>
    <row r="108" customFormat="false" ht="15" hidden="false" customHeight="false" outlineLevel="0" collapsed="false">
      <c r="A108" s="10" t="s">
        <v>114</v>
      </c>
      <c r="B108" s="11" t="n">
        <f aca="false">SUMIFS(Data!$AA:$AA,Data!$E:$E,256,Data!$F:$F,1)</f>
        <v>3.18892</v>
      </c>
      <c r="C108" s="11" t="n">
        <f aca="false">SUMIFS(Data!$AA:$AA,Data!$E:$E,1024,Data!$F:$F,1)</f>
        <v>3.10127</v>
      </c>
      <c r="D108" s="11" t="n">
        <f aca="false">SUMIFS(Data!$AA:$AA,Data!$E:$E,4096,Data!$F:$F,1)</f>
        <v>3.01559</v>
      </c>
      <c r="E108" s="11" t="n">
        <f aca="false">SUMIFS(Data!$AA:$AA,Data!$E:$E,16384,Data!$F:$F,1)</f>
        <v>2.97209</v>
      </c>
    </row>
    <row r="109" customFormat="false" ht="15" hidden="false" customHeight="false" outlineLevel="0" collapsed="false">
      <c r="A109" s="10" t="s">
        <v>115</v>
      </c>
      <c r="B109" s="15" t="n">
        <f aca="false">SUMIFS(Data!$X:$X,Data!$E:$E,256,Data!$F:$F,1)</f>
        <v>4561</v>
      </c>
      <c r="C109" s="15" t="n">
        <f aca="false">SUMIFS(Data!$X:$X,Data!$E:$E,1024,Data!$F:$F,1)</f>
        <v>1141</v>
      </c>
      <c r="D109" s="15" t="n">
        <f aca="false">SUMIFS(Data!$X:$X,Data!$E:$E,4096,Data!$F:$F,1)</f>
        <v>286</v>
      </c>
      <c r="E109" s="15" t="n">
        <f aca="false">SUMIFS(Data!$X:$X,Data!$E:$E,16384,Data!$F:$F,1)</f>
        <v>72</v>
      </c>
    </row>
    <row r="110" customFormat="false" ht="15" hidden="false" customHeight="false" outlineLevel="0" collapsed="false">
      <c r="A110" s="10" t="s">
        <v>116</v>
      </c>
      <c r="B110" s="15" t="n">
        <f aca="false">SUMIFS(Data!$Y:$Y,Data!$E:$E,256,Data!$F:$F,1)</f>
        <v>292467</v>
      </c>
      <c r="C110" s="15" t="n">
        <f aca="false">SUMIFS(Data!$Y:$Y,Data!$E:$E,1024,Data!$F:$F,1)</f>
        <v>292467</v>
      </c>
      <c r="D110" s="15" t="n">
        <f aca="false">SUMIFS(Data!$Y:$Y,Data!$E:$E,4096,Data!$F:$F,1)</f>
        <v>292467</v>
      </c>
      <c r="E110" s="15" t="n">
        <f aca="false">SUMIFS(Data!$Y:$Y,Data!$E:$E,16384,Data!$F:$F,1)</f>
        <v>292467</v>
      </c>
    </row>
    <row r="112" customFormat="false" ht="15" hidden="false" customHeight="false" outlineLevel="0" collapsed="false">
      <c r="A112" s="12" t="s">
        <v>37</v>
      </c>
      <c r="B112" s="2" t="s">
        <v>117</v>
      </c>
    </row>
    <row r="113" customFormat="false" ht="15" hidden="false" customHeight="false" outlineLevel="0" collapsed="false">
      <c r="A113" s="12" t="s">
        <v>39</v>
      </c>
      <c r="B113" s="2" t="s">
        <v>118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7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30"/>
    <col collapsed="false" customWidth="true" hidden="false" outlineLevel="0" max="5" min="2" style="0" width="14"/>
  </cols>
  <sheetData>
    <row r="1" customFormat="false" ht="15" hidden="false" customHeight="false" outlineLevel="0" collapsed="false">
      <c r="A1" s="14" t="s">
        <v>119</v>
      </c>
    </row>
    <row r="2" customFormat="false" ht="15" hidden="false" customHeight="false" outlineLevel="0" collapsed="false">
      <c r="A2" s="2" t="s">
        <v>120</v>
      </c>
    </row>
    <row r="4" customFormat="false" ht="15" hidden="false" customHeight="false" outlineLevel="0" collapsed="false">
      <c r="A4" s="5" t="s">
        <v>121</v>
      </c>
      <c r="B4" s="6"/>
      <c r="C4" s="6"/>
      <c r="D4" s="6"/>
      <c r="E4" s="6"/>
    </row>
    <row r="5" customFormat="false" ht="15" hidden="false" customHeight="false" outlineLevel="0" collapsed="false">
      <c r="A5" s="9" t="s">
        <v>42</v>
      </c>
      <c r="B5" s="9" t="s">
        <v>30</v>
      </c>
      <c r="C5" s="9" t="s">
        <v>31</v>
      </c>
      <c r="D5" s="9" t="s">
        <v>32</v>
      </c>
      <c r="E5" s="9" t="s">
        <v>33</v>
      </c>
    </row>
    <row r="6" customFormat="false" ht="15" hidden="false" customHeight="false" outlineLevel="0" collapsed="false">
      <c r="A6" s="10" t="s">
        <v>43</v>
      </c>
      <c r="B6" s="11" t="n">
        <f aca="false">SUMIFS(Data!$K:$K,Data!$E:$E,256,Data!$F:$F,1)</f>
        <v>0.948878</v>
      </c>
      <c r="C6" s="11" t="n">
        <f aca="false">SUMIFS(Data!$K:$K,Data!$E:$E,1024,Data!$F:$F,1)</f>
        <v>0.926175</v>
      </c>
      <c r="D6" s="11" t="n">
        <f aca="false">SUMIFS(Data!$K:$K,Data!$E:$E,4096,Data!$F:$F,1)</f>
        <v>0.976294</v>
      </c>
      <c r="E6" s="11" t="n">
        <f aca="false">SUMIFS(Data!$K:$K,Data!$E:$E,16384,Data!$F:$F,1)</f>
        <v>0.954946</v>
      </c>
    </row>
    <row r="7" customFormat="false" ht="15" hidden="false" customHeight="false" outlineLevel="0" collapsed="false">
      <c r="A7" s="10" t="s">
        <v>44</v>
      </c>
      <c r="B7" s="11" t="n">
        <f aca="false">SUMIFS(Data!$M:$M,Data!$E:$E,256,Data!$F:$F,1)</f>
        <v>0.641167</v>
      </c>
      <c r="C7" s="11" t="n">
        <f aca="false">SUMIFS(Data!$M:$M,Data!$E:$E,1024,Data!$F:$F,1)</f>
        <v>0.598639</v>
      </c>
      <c r="D7" s="11" t="n">
        <f aca="false">SUMIFS(Data!$M:$M,Data!$E:$E,4096,Data!$F:$F,1)</f>
        <v>0.69376</v>
      </c>
      <c r="E7" s="11" t="n">
        <f aca="false">SUMIFS(Data!$M:$M,Data!$E:$E,16384,Data!$F:$F,1)</f>
        <v>0.619168</v>
      </c>
    </row>
    <row r="8" customFormat="false" ht="15" hidden="false" customHeight="false" outlineLevel="0" collapsed="false">
      <c r="A8" s="10" t="s">
        <v>45</v>
      </c>
      <c r="B8" s="11" t="n">
        <f aca="false">SUMIFS(Data!$N:$N,Data!$E:$E,256,Data!$F:$F,1)</f>
        <v>1.22852</v>
      </c>
      <c r="C8" s="11" t="n">
        <f aca="false">SUMIFS(Data!$N:$N,Data!$E:$E,1024,Data!$F:$F,1)</f>
        <v>1.2014</v>
      </c>
      <c r="D8" s="11" t="n">
        <f aca="false">SUMIFS(Data!$N:$N,Data!$E:$E,4096,Data!$F:$F,1)</f>
        <v>1.2841</v>
      </c>
      <c r="E8" s="11" t="n">
        <f aca="false">SUMIFS(Data!$N:$N,Data!$E:$E,16384,Data!$F:$F,1)</f>
        <v>1.29334</v>
      </c>
    </row>
    <row r="9" customFormat="false" ht="15" hidden="false" customHeight="false" outlineLevel="0" collapsed="false">
      <c r="A9" s="10" t="s">
        <v>46</v>
      </c>
      <c r="B9" s="11" t="n">
        <f aca="false">SUMIFS(Data!$O:$O,Data!$E:$E,256,Data!$F:$F,1)</f>
        <v>0.16133</v>
      </c>
      <c r="C9" s="11" t="n">
        <f aca="false">SUMIFS(Data!$O:$O,Data!$E:$E,1024,Data!$F:$F,1)</f>
        <v>0.159474</v>
      </c>
      <c r="D9" s="11" t="n">
        <f aca="false">SUMIFS(Data!$O:$O,Data!$E:$E,4096,Data!$F:$F,1)</f>
        <v>0.168748</v>
      </c>
      <c r="E9" s="11" t="n">
        <f aca="false">SUMIFS(Data!$O:$O,Data!$E:$E,16384,Data!$F:$F,1)</f>
        <v>0.164432</v>
      </c>
    </row>
    <row r="10" customFormat="false" ht="15" hidden="false" customHeight="false" outlineLevel="0" collapsed="false">
      <c r="A10" s="10" t="s">
        <v>47</v>
      </c>
      <c r="B10" s="11" t="n">
        <f aca="false">SUMIFS(Data!$P:$P,Data!$E:$E,256,Data!$F:$F,1)</f>
        <v>0.425254</v>
      </c>
      <c r="C10" s="11" t="n">
        <f aca="false">SUMIFS(Data!$P:$P,Data!$E:$E,1024,Data!$F:$F,1)</f>
        <v>0.320366</v>
      </c>
      <c r="D10" s="11" t="n">
        <f aca="false">SUMIFS(Data!$P:$P,Data!$E:$E,4096,Data!$F:$F,1)</f>
        <v>0.283518</v>
      </c>
      <c r="E10" s="11" t="n">
        <f aca="false">SUMIFS(Data!$P:$P,Data!$E:$E,16384,Data!$F:$F,1)</f>
        <v>0.617215</v>
      </c>
    </row>
    <row r="11" customFormat="false" ht="15" hidden="false" customHeight="false" outlineLevel="0" collapsed="false">
      <c r="A11" s="10" t="s">
        <v>48</v>
      </c>
      <c r="B11" s="11" t="n">
        <f aca="false">SUMIFS(Data!$Q:$Q,Data!$E:$E,256,Data!$F:$F,1)</f>
        <v>2.35128</v>
      </c>
      <c r="C11" s="11" t="n">
        <f aca="false">SUMIFS(Data!$Q:$Q,Data!$E:$E,1024,Data!$F:$F,1)</f>
        <v>2.33991</v>
      </c>
      <c r="D11" s="11" t="n">
        <f aca="false">SUMIFS(Data!$Q:$Q,Data!$E:$E,4096,Data!$F:$F,1)</f>
        <v>2.49403</v>
      </c>
      <c r="E11" s="11" t="n">
        <f aca="false">SUMIFS(Data!$Q:$Q,Data!$E:$E,16384,Data!$F:$F,1)</f>
        <v>2.57645</v>
      </c>
    </row>
    <row r="12" customFormat="false" ht="15" hidden="false" customHeight="false" outlineLevel="0" collapsed="false">
      <c r="A12" s="10" t="s">
        <v>49</v>
      </c>
      <c r="B12" s="11" t="n">
        <f aca="false">SUMIFS(Data!$R:$R,Data!$E:$E,256,Data!$F:$F,1)</f>
        <v>0.264191</v>
      </c>
      <c r="C12" s="11" t="n">
        <f aca="false">SUMIFS(Data!$R:$R,Data!$E:$E,1024,Data!$F:$F,1)</f>
        <v>0.251556</v>
      </c>
      <c r="D12" s="11" t="n">
        <f aca="false">SUMIFS(Data!$R:$R,Data!$E:$E,4096,Data!$F:$F,1)</f>
        <v>0.28047</v>
      </c>
      <c r="E12" s="11" t="n">
        <f aca="false">SUMIFS(Data!$R:$R,Data!$E:$E,16384,Data!$F:$F,1)</f>
        <v>0.2498</v>
      </c>
    </row>
    <row r="38" customFormat="false" ht="15" hidden="false" customHeight="false" outlineLevel="0" collapsed="false">
      <c r="A38" s="12" t="s">
        <v>37</v>
      </c>
      <c r="B38" s="2" t="s">
        <v>122</v>
      </c>
    </row>
    <row r="39" customFormat="false" ht="15" hidden="false" customHeight="false" outlineLevel="0" collapsed="false">
      <c r="A39" s="12" t="s">
        <v>39</v>
      </c>
      <c r="B39" s="2" t="s">
        <v>123</v>
      </c>
    </row>
    <row r="41" customFormat="false" ht="15" hidden="false" customHeight="false" outlineLevel="0" collapsed="false">
      <c r="A41" s="5" t="s">
        <v>124</v>
      </c>
      <c r="B41" s="6"/>
      <c r="C41" s="6"/>
      <c r="D41" s="6"/>
      <c r="E41" s="6"/>
    </row>
    <row r="42" customFormat="false" ht="15" hidden="false" customHeight="false" outlineLevel="0" collapsed="false">
      <c r="A42" s="2" t="s">
        <v>125</v>
      </c>
    </row>
    <row r="43" customFormat="false" ht="15" hidden="false" customHeight="false" outlineLevel="0" collapsed="false">
      <c r="A43" s="9" t="s">
        <v>42</v>
      </c>
      <c r="B43" s="9" t="s">
        <v>30</v>
      </c>
      <c r="C43" s="9" t="s">
        <v>31</v>
      </c>
      <c r="D43" s="9" t="s">
        <v>32</v>
      </c>
      <c r="E43" s="9" t="s">
        <v>33</v>
      </c>
    </row>
    <row r="44" customFormat="false" ht="15" hidden="false" customHeight="false" outlineLevel="0" collapsed="false">
      <c r="A44" s="10" t="s">
        <v>43</v>
      </c>
      <c r="B44" s="13" t="n">
        <f aca="false">100*SUMIFS(Data!$K:$K,Data!$E:$E,256,Data!$F:$F,1)/MAX(0.000001,SUMIFS(Data!$I:$I,Data!$E:$E,256,Data!$F:$F,1))</f>
        <v>15.7604698519422</v>
      </c>
      <c r="C44" s="13" t="n">
        <f aca="false">100*SUMIFS(Data!$K:$K,Data!$E:$E,1024,Data!$F:$F,1)/MAX(0.000001,SUMIFS(Data!$I:$I,Data!$E:$E,1024,Data!$F:$F,1))</f>
        <v>15.9753928841865</v>
      </c>
      <c r="D44" s="13" t="n">
        <f aca="false">100*SUMIFS(Data!$K:$K,Data!$E:$E,4096,Data!$F:$F,1)/MAX(0.000001,SUMIFS(Data!$I:$I,Data!$E:$E,4096,Data!$F:$F,1))</f>
        <v>15.7952605837633</v>
      </c>
      <c r="E44" s="13" t="n">
        <f aca="false">100*SUMIFS(Data!$K:$K,Data!$E:$E,16384,Data!$F:$F,1)/MAX(0.000001,SUMIFS(Data!$I:$I,Data!$E:$E,16384,Data!$F:$F,1))</f>
        <v>14.7474036152486</v>
      </c>
    </row>
    <row r="45" customFormat="false" ht="15" hidden="false" customHeight="false" outlineLevel="0" collapsed="false">
      <c r="A45" s="10" t="s">
        <v>44</v>
      </c>
      <c r="B45" s="13" t="n">
        <f aca="false">100*SUMIFS(Data!$M:$M,Data!$E:$E,256,Data!$F:$F,1)/MAX(0.000001,SUMIFS(Data!$I:$I,Data!$E:$E,256,Data!$F:$F,1))</f>
        <v>10.6495178237457</v>
      </c>
      <c r="C45" s="13" t="n">
        <f aca="false">100*SUMIFS(Data!$M:$M,Data!$E:$E,1024,Data!$F:$F,1)/MAX(0.000001,SUMIFS(Data!$I:$I,Data!$E:$E,1024,Data!$F:$F,1))</f>
        <v>10.3257950395946</v>
      </c>
      <c r="D45" s="13" t="n">
        <f aca="false">100*SUMIFS(Data!$M:$M,Data!$E:$E,4096,Data!$F:$F,1)/MAX(0.000001,SUMIFS(Data!$I:$I,Data!$E:$E,4096,Data!$F:$F,1))</f>
        <v>11.224200888863</v>
      </c>
      <c r="E45" s="13" t="n">
        <f aca="false">100*SUMIFS(Data!$M:$M,Data!$E:$E,16384,Data!$F:$F,1)/MAX(0.000001,SUMIFS(Data!$I:$I,Data!$E:$E,16384,Data!$F:$F,1))</f>
        <v>9.56192329372158</v>
      </c>
    </row>
    <row r="46" customFormat="false" ht="15" hidden="false" customHeight="false" outlineLevel="0" collapsed="false">
      <c r="A46" s="10" t="s">
        <v>45</v>
      </c>
      <c r="B46" s="13" t="n">
        <f aca="false">100*SUMIFS(Data!$N:$N,Data!$E:$E,256,Data!$F:$F,1)/MAX(0.000001,SUMIFS(Data!$I:$I,Data!$E:$E,256,Data!$F:$F,1))</f>
        <v>20.4052074371078</v>
      </c>
      <c r="C46" s="13" t="n">
        <f aca="false">100*SUMIFS(Data!$N:$N,Data!$E:$E,1024,Data!$F:$F,1)/MAX(0.000001,SUMIFS(Data!$I:$I,Data!$E:$E,1024,Data!$F:$F,1))</f>
        <v>20.7226895684527</v>
      </c>
      <c r="D46" s="13" t="n">
        <f aca="false">100*SUMIFS(Data!$N:$N,Data!$E:$E,4096,Data!$F:$F,1)/MAX(0.000001,SUMIFS(Data!$I:$I,Data!$E:$E,4096,Data!$F:$F,1))</f>
        <v>20.7751907884412</v>
      </c>
      <c r="E46" s="13" t="n">
        <f aca="false">100*SUMIFS(Data!$N:$N,Data!$E:$E,16384,Data!$F:$F,1)/MAX(0.000001,SUMIFS(Data!$I:$I,Data!$E:$E,16384,Data!$F:$F,1))</f>
        <v>19.9732832974279</v>
      </c>
    </row>
    <row r="47" customFormat="false" ht="15" hidden="false" customHeight="false" outlineLevel="0" collapsed="false">
      <c r="A47" s="10" t="s">
        <v>46</v>
      </c>
      <c r="B47" s="13" t="n">
        <f aca="false">100*SUMIFS(Data!$O:$O,Data!$E:$E,256,Data!$F:$F,1)/MAX(0.000001,SUMIFS(Data!$I:$I,Data!$E:$E,256,Data!$F:$F,1))</f>
        <v>2.6796243576243</v>
      </c>
      <c r="C47" s="13" t="n">
        <f aca="false">100*SUMIFS(Data!$O:$O,Data!$E:$E,1024,Data!$F:$F,1)/MAX(0.000001,SUMIFS(Data!$I:$I,Data!$E:$E,1024,Data!$F:$F,1))</f>
        <v>2.75073264211705</v>
      </c>
      <c r="D47" s="13" t="n">
        <f aca="false">100*SUMIFS(Data!$O:$O,Data!$E:$E,4096,Data!$F:$F,1)/MAX(0.000001,SUMIFS(Data!$I:$I,Data!$E:$E,4096,Data!$F:$F,1))</f>
        <v>2.73013931560461</v>
      </c>
      <c r="E47" s="13" t="n">
        <f aca="false">100*SUMIFS(Data!$O:$O,Data!$E:$E,16384,Data!$F:$F,1)/MAX(0.000001,SUMIFS(Data!$I:$I,Data!$E:$E,16384,Data!$F:$F,1))</f>
        <v>2.53935308516142</v>
      </c>
    </row>
    <row r="48" customFormat="false" ht="15" hidden="false" customHeight="false" outlineLevel="0" collapsed="false">
      <c r="A48" s="10" t="s">
        <v>47</v>
      </c>
      <c r="B48" s="13" t="n">
        <f aca="false">100*SUMIFS(Data!$P:$P,Data!$E:$E,256,Data!$F:$F,1)/MAX(0.000001,SUMIFS(Data!$I:$I,Data!$E:$E,256,Data!$F:$F,1))</f>
        <v>7.06329248482714</v>
      </c>
      <c r="C48" s="13" t="n">
        <f aca="false">100*SUMIFS(Data!$P:$P,Data!$E:$E,1024,Data!$F:$F,1)/MAX(0.000001,SUMIFS(Data!$I:$I,Data!$E:$E,1024,Data!$F:$F,1))</f>
        <v>5.52592406050184</v>
      </c>
      <c r="D48" s="13" t="n">
        <f aca="false">100*SUMIFS(Data!$P:$P,Data!$E:$E,4096,Data!$F:$F,1)/MAX(0.000001,SUMIFS(Data!$I:$I,Data!$E:$E,4096,Data!$F:$F,1))</f>
        <v>4.58697962927909</v>
      </c>
      <c r="E48" s="13" t="n">
        <f aca="false">100*SUMIFS(Data!$P:$P,Data!$E:$E,16384,Data!$F:$F,1)/MAX(0.000001,SUMIFS(Data!$I:$I,Data!$E:$E,16384,Data!$F:$F,1))</f>
        <v>9.53176276185843</v>
      </c>
    </row>
    <row r="49" customFormat="false" ht="15" hidden="false" customHeight="false" outlineLevel="0" collapsed="false">
      <c r="A49" s="10" t="s">
        <v>48</v>
      </c>
      <c r="B49" s="13" t="n">
        <f aca="false">100*SUMIFS(Data!$Q:$Q,Data!$E:$E,256,Data!$F:$F,1)/MAX(0.000001,SUMIFS(Data!$I:$I,Data!$E:$E,256,Data!$F:$F,1))</f>
        <v>39.0537851583392</v>
      </c>
      <c r="C49" s="13" t="n">
        <f aca="false">100*SUMIFS(Data!$Q:$Q,Data!$E:$E,1024,Data!$F:$F,1)/MAX(0.000001,SUMIFS(Data!$I:$I,Data!$E:$E,1024,Data!$F:$F,1))</f>
        <v>40.3606030864975</v>
      </c>
      <c r="D49" s="13" t="n">
        <f aca="false">100*SUMIFS(Data!$Q:$Q,Data!$E:$E,4096,Data!$F:$F,1)/MAX(0.000001,SUMIFS(Data!$I:$I,Data!$E:$E,4096,Data!$F:$F,1))</f>
        <v>40.3504003442848</v>
      </c>
      <c r="E49" s="13" t="n">
        <f aca="false">100*SUMIFS(Data!$Q:$Q,Data!$E:$E,16384,Data!$F:$F,1)/MAX(0.000001,SUMIFS(Data!$I:$I,Data!$E:$E,16384,Data!$F:$F,1))</f>
        <v>39.7885828565251</v>
      </c>
    </row>
    <row r="50" customFormat="false" ht="15" hidden="false" customHeight="false" outlineLevel="0" collapsed="false">
      <c r="A50" s="10" t="s">
        <v>49</v>
      </c>
      <c r="B50" s="13" t="n">
        <f aca="false">100*SUMIFS(Data!$R:$R,Data!$E:$E,256,Data!$F:$F,1)/MAX(0.000001,SUMIFS(Data!$I:$I,Data!$E:$E,256,Data!$F:$F,1))</f>
        <v>4.38810288641369</v>
      </c>
      <c r="C50" s="13" t="n">
        <f aca="false">100*SUMIFS(Data!$R:$R,Data!$E:$E,1024,Data!$F:$F,1)/MAX(0.000001,SUMIFS(Data!$I:$I,Data!$E:$E,1024,Data!$F:$F,1))</f>
        <v>4.33903520649382</v>
      </c>
      <c r="D50" s="13" t="n">
        <f aca="false">100*SUMIFS(Data!$R:$R,Data!$E:$E,4096,Data!$F:$F,1)/MAX(0.000001,SUMIFS(Data!$I:$I,Data!$E:$E,4096,Data!$F:$F,1))</f>
        <v>4.53766666181303</v>
      </c>
      <c r="E50" s="13" t="n">
        <f aca="false">100*SUMIFS(Data!$R:$R,Data!$E:$E,16384,Data!$F:$F,1)/MAX(0.000001,SUMIFS(Data!$I:$I,Data!$E:$E,16384,Data!$F:$F,1))</f>
        <v>3.85770653323759</v>
      </c>
    </row>
    <row r="76" customFormat="false" ht="15" hidden="false" customHeight="false" outlineLevel="0" collapsed="false">
      <c r="A76" s="12" t="s">
        <v>37</v>
      </c>
      <c r="B76" s="2" t="s">
        <v>126</v>
      </c>
    </row>
    <row r="77" customFormat="false" ht="15" hidden="false" customHeight="false" outlineLevel="0" collapsed="false">
      <c r="A77" s="12" t="s">
        <v>39</v>
      </c>
      <c r="B77" s="2" t="s">
        <v>127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7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30"/>
    <col collapsed="false" customWidth="true" hidden="false" outlineLevel="0" max="5" min="2" style="0" width="14"/>
  </cols>
  <sheetData>
    <row r="1" customFormat="false" ht="15" hidden="false" customHeight="false" outlineLevel="0" collapsed="false">
      <c r="A1" s="14" t="s">
        <v>128</v>
      </c>
    </row>
    <row r="2" customFormat="false" ht="15" hidden="false" customHeight="false" outlineLevel="0" collapsed="false">
      <c r="A2" s="2" t="s">
        <v>129</v>
      </c>
    </row>
    <row r="4" customFormat="false" ht="15" hidden="false" customHeight="false" outlineLevel="0" collapsed="false">
      <c r="A4" s="5" t="s">
        <v>121</v>
      </c>
      <c r="B4" s="6"/>
      <c r="C4" s="6"/>
      <c r="D4" s="6"/>
      <c r="E4" s="6"/>
    </row>
    <row r="5" customFormat="false" ht="15" hidden="false" customHeight="false" outlineLevel="0" collapsed="false">
      <c r="A5" s="9" t="s">
        <v>42</v>
      </c>
      <c r="B5" s="9" t="s">
        <v>30</v>
      </c>
      <c r="C5" s="9" t="s">
        <v>31</v>
      </c>
      <c r="D5" s="9" t="s">
        <v>32</v>
      </c>
      <c r="E5" s="9" t="s">
        <v>33</v>
      </c>
    </row>
    <row r="6" customFormat="false" ht="15" hidden="false" customHeight="false" outlineLevel="0" collapsed="false">
      <c r="A6" s="10" t="s">
        <v>53</v>
      </c>
      <c r="B6" s="11" t="n">
        <f aca="false">SUMIFS(Data!$S:$S,Data!$E:$E,256,Data!$F:$F,1)</f>
        <v>0.0425326</v>
      </c>
      <c r="C6" s="11" t="n">
        <f aca="false">SUMIFS(Data!$S:$S,Data!$E:$E,1024,Data!$F:$F,1)</f>
        <v>0.0366151</v>
      </c>
      <c r="D6" s="11" t="n">
        <f aca="false">SUMIFS(Data!$S:$S,Data!$E:$E,4096,Data!$F:$F,1)</f>
        <v>0.0410518</v>
      </c>
      <c r="E6" s="11" t="n">
        <f aca="false">SUMIFS(Data!$S:$S,Data!$E:$E,16384,Data!$F:$F,1)</f>
        <v>0.0685541</v>
      </c>
    </row>
    <row r="7" customFormat="false" ht="15" hidden="false" customHeight="false" outlineLevel="0" collapsed="false">
      <c r="A7" s="10" t="s">
        <v>54</v>
      </c>
      <c r="B7" s="11" t="n">
        <f aca="false">SUMIFS(Data!$T:$T,Data!$E:$E,256,Data!$F:$F,1)</f>
        <v>0.0503619</v>
      </c>
      <c r="C7" s="11" t="n">
        <f aca="false">SUMIFS(Data!$T:$T,Data!$E:$E,1024,Data!$F:$F,1)</f>
        <v>0.0521807</v>
      </c>
      <c r="D7" s="11" t="n">
        <f aca="false">SUMIFS(Data!$T:$T,Data!$E:$E,4096,Data!$F:$F,1)</f>
        <v>0.0606564</v>
      </c>
      <c r="E7" s="11" t="n">
        <f aca="false">SUMIFS(Data!$T:$T,Data!$E:$E,16384,Data!$F:$F,1)</f>
        <v>0.278391</v>
      </c>
    </row>
    <row r="8" customFormat="false" ht="15" hidden="false" customHeight="false" outlineLevel="0" collapsed="false">
      <c r="A8" s="10" t="s">
        <v>55</v>
      </c>
      <c r="B8" s="11" t="n">
        <f aca="false">SUMIFS(Data!$U:$U,Data!$E:$E,256,Data!$F:$F,1)</f>
        <v>1.83643</v>
      </c>
      <c r="C8" s="11" t="n">
        <f aca="false">SUMIFS(Data!$U:$U,Data!$E:$E,1024,Data!$F:$F,1)</f>
        <v>1.80201</v>
      </c>
      <c r="D8" s="11" t="n">
        <f aca="false">SUMIFS(Data!$U:$U,Data!$E:$E,4096,Data!$F:$F,1)</f>
        <v>1.97269</v>
      </c>
      <c r="E8" s="11" t="n">
        <f aca="false">SUMIFS(Data!$U:$U,Data!$E:$E,16384,Data!$F:$F,1)</f>
        <v>1.98123</v>
      </c>
    </row>
    <row r="9" customFormat="false" ht="15" hidden="false" customHeight="false" outlineLevel="0" collapsed="false">
      <c r="A9" s="10" t="s">
        <v>56</v>
      </c>
      <c r="B9" s="11" t="n">
        <f aca="false">SUMIFS(Data!$V:$V,Data!$E:$E,256,Data!$F:$F,1)</f>
        <v>0.591834</v>
      </c>
      <c r="C9" s="11" t="n">
        <f aca="false">SUMIFS(Data!$V:$V,Data!$E:$E,1024,Data!$F:$F,1)</f>
        <v>0.556759</v>
      </c>
      <c r="D9" s="11" t="n">
        <f aca="false">SUMIFS(Data!$V:$V,Data!$E:$E,4096,Data!$F:$F,1)</f>
        <v>0.695804</v>
      </c>
      <c r="E9" s="11" t="n">
        <f aca="false">SUMIFS(Data!$V:$V,Data!$E:$E,16384,Data!$F:$F,1)</f>
        <v>0.673944</v>
      </c>
    </row>
    <row r="10" customFormat="false" ht="15" hidden="false" customHeight="false" outlineLevel="0" collapsed="false">
      <c r="A10" s="10" t="s">
        <v>57</v>
      </c>
      <c r="B10" s="11" t="n">
        <f aca="false">SUMIFS(Data!$W:$W,Data!$E:$E,256,Data!$F:$F,1)</f>
        <v>1.12132</v>
      </c>
      <c r="C10" s="11" t="n">
        <f aca="false">SUMIFS(Data!$W:$W,Data!$E:$E,1024,Data!$F:$F,1)</f>
        <v>1.10338</v>
      </c>
      <c r="D10" s="11" t="n">
        <f aca="false">SUMIFS(Data!$W:$W,Data!$E:$E,4096,Data!$F:$F,1)</f>
        <v>1.33038</v>
      </c>
      <c r="E10" s="11" t="n">
        <f aca="false">SUMIFS(Data!$W:$W,Data!$E:$E,16384,Data!$F:$F,1)</f>
        <v>1.33662</v>
      </c>
    </row>
    <row r="36" customFormat="false" ht="15" hidden="false" customHeight="false" outlineLevel="0" collapsed="false">
      <c r="A36" s="12" t="s">
        <v>37</v>
      </c>
      <c r="B36" s="2" t="s">
        <v>130</v>
      </c>
    </row>
    <row r="37" customFormat="false" ht="15" hidden="false" customHeight="false" outlineLevel="0" collapsed="false">
      <c r="A37" s="12" t="s">
        <v>39</v>
      </c>
      <c r="B37" s="2" t="s">
        <v>131</v>
      </c>
    </row>
    <row r="39" customFormat="false" ht="15" hidden="false" customHeight="false" outlineLevel="0" collapsed="false">
      <c r="A39" s="5" t="s">
        <v>132</v>
      </c>
      <c r="B39" s="6"/>
      <c r="C39" s="6"/>
      <c r="D39" s="6"/>
      <c r="E39" s="6"/>
    </row>
    <row r="40" customFormat="false" ht="15" hidden="false" customHeight="false" outlineLevel="0" collapsed="false">
      <c r="A40" s="9" t="s">
        <v>42</v>
      </c>
      <c r="B40" s="9" t="s">
        <v>30</v>
      </c>
      <c r="C40" s="9" t="s">
        <v>31</v>
      </c>
      <c r="D40" s="9" t="s">
        <v>32</v>
      </c>
      <c r="E40" s="9" t="s">
        <v>33</v>
      </c>
    </row>
    <row r="41" customFormat="false" ht="15" hidden="false" customHeight="false" outlineLevel="0" collapsed="false">
      <c r="A41" s="10" t="s">
        <v>53</v>
      </c>
      <c r="B41" s="13" t="n">
        <f aca="false">100*SUMIFS(Data!$S:$S,Data!$E:$E,256,Data!$F:$F,1)/MAX(0.000001,SUMIFS(Data!$J:$J,Data!$E:$E,256,Data!$F:$F,1))</f>
        <v>1.16768245810547</v>
      </c>
      <c r="C41" s="13" t="n">
        <f aca="false">100*SUMIFS(Data!$S:$S,Data!$E:$E,1024,Data!$F:$F,1)/MAX(0.000001,SUMIFS(Data!$J:$J,Data!$E:$E,1024,Data!$F:$F,1))</f>
        <v>1.03113823381978</v>
      </c>
      <c r="D41" s="13" t="n">
        <f aca="false">100*SUMIFS(Data!$S:$S,Data!$E:$E,4096,Data!$F:$F,1)/MAX(0.000001,SUMIFS(Data!$J:$J,Data!$E:$E,4096,Data!$F:$F,1))</f>
        <v>1.00112179252691</v>
      </c>
      <c r="E41" s="13" t="n">
        <f aca="false">100*SUMIFS(Data!$S:$S,Data!$E:$E,16384,Data!$F:$F,1)/MAX(0.000001,SUMIFS(Data!$J:$J,Data!$E:$E,16384,Data!$F:$F,1))</f>
        <v>1.58004628071744</v>
      </c>
    </row>
    <row r="42" customFormat="false" ht="15" hidden="false" customHeight="false" outlineLevel="0" collapsed="false">
      <c r="A42" s="10" t="s">
        <v>54</v>
      </c>
      <c r="B42" s="13" t="n">
        <f aca="false">100*SUMIFS(Data!$T:$T,Data!$E:$E,256,Data!$F:$F,1)/MAX(0.000001,SUMIFS(Data!$J:$J,Data!$E:$E,256,Data!$F:$F,1))</f>
        <v>1.3826266719378</v>
      </c>
      <c r="C42" s="13" t="n">
        <f aca="false">100*SUMIFS(Data!$T:$T,Data!$E:$E,1024,Data!$F:$F,1)/MAX(0.000001,SUMIFS(Data!$J:$J,Data!$E:$E,1024,Data!$F:$F,1))</f>
        <v>1.46948976890626</v>
      </c>
      <c r="D42" s="13" t="n">
        <f aca="false">100*SUMIFS(Data!$T:$T,Data!$E:$E,4096,Data!$F:$F,1)/MAX(0.000001,SUMIFS(Data!$J:$J,Data!$E:$E,4096,Data!$F:$F,1))</f>
        <v>1.47921513541987</v>
      </c>
      <c r="E42" s="13" t="n">
        <f aca="false">100*SUMIFS(Data!$T:$T,Data!$E:$E,16384,Data!$F:$F,1)/MAX(0.000001,SUMIFS(Data!$J:$J,Data!$E:$E,16384,Data!$F:$F,1))</f>
        <v>6.41640199689311</v>
      </c>
    </row>
    <row r="43" customFormat="false" ht="15" hidden="false" customHeight="false" outlineLevel="0" collapsed="false">
      <c r="A43" s="10" t="s">
        <v>55</v>
      </c>
      <c r="B43" s="13" t="n">
        <f aca="false">100*SUMIFS(Data!$U:$U,Data!$E:$E,256,Data!$F:$F,1)/MAX(0.000001,SUMIFS(Data!$J:$J,Data!$E:$E,256,Data!$F:$F,1))</f>
        <v>50.4170235663614</v>
      </c>
      <c r="C43" s="13" t="n">
        <f aca="false">100*SUMIFS(Data!$U:$U,Data!$E:$E,1024,Data!$F:$F,1)/MAX(0.000001,SUMIFS(Data!$J:$J,Data!$E:$E,1024,Data!$F:$F,1))</f>
        <v>50.7474077286578</v>
      </c>
      <c r="D43" s="13" t="n">
        <f aca="false">100*SUMIFS(Data!$U:$U,Data!$E:$E,4096,Data!$F:$F,1)/MAX(0.000001,SUMIFS(Data!$J:$J,Data!$E:$E,4096,Data!$F:$F,1))</f>
        <v>48.1075847806896</v>
      </c>
      <c r="E43" s="13" t="n">
        <f aca="false">100*SUMIFS(Data!$U:$U,Data!$E:$E,16384,Data!$F:$F,1)/MAX(0.000001,SUMIFS(Data!$J:$J,Data!$E:$E,16384,Data!$F:$F,1))</f>
        <v>45.6637180379557</v>
      </c>
    </row>
    <row r="44" customFormat="false" ht="15" hidden="false" customHeight="false" outlineLevel="0" collapsed="false">
      <c r="A44" s="10" t="s">
        <v>56</v>
      </c>
      <c r="B44" s="13" t="n">
        <f aca="false">100*SUMIFS(Data!$V:$V,Data!$E:$E,256,Data!$F:$F,1)/MAX(0.000001,SUMIFS(Data!$J:$J,Data!$E:$E,256,Data!$F:$F,1))</f>
        <v>16.2481056862358</v>
      </c>
      <c r="C44" s="13" t="n">
        <f aca="false">100*SUMIFS(Data!$V:$V,Data!$E:$E,1024,Data!$F:$F,1)/MAX(0.000001,SUMIFS(Data!$J:$J,Data!$E:$E,1024,Data!$F:$F,1))</f>
        <v>15.6792004370674</v>
      </c>
      <c r="D44" s="13" t="n">
        <f aca="false">100*SUMIFS(Data!$V:$V,Data!$E:$E,4096,Data!$F:$F,1)/MAX(0.000001,SUMIFS(Data!$J:$J,Data!$E:$E,4096,Data!$F:$F,1))</f>
        <v>16.9684288564057</v>
      </c>
      <c r="E44" s="13" t="n">
        <f aca="false">100*SUMIFS(Data!$V:$V,Data!$E:$E,16384,Data!$F:$F,1)/MAX(0.000001,SUMIFS(Data!$J:$J,Data!$E:$E,16384,Data!$F:$F,1))</f>
        <v>15.5331732254065</v>
      </c>
    </row>
    <row r="45" customFormat="false" ht="15" hidden="false" customHeight="false" outlineLevel="0" collapsed="false">
      <c r="A45" s="10" t="s">
        <v>57</v>
      </c>
      <c r="B45" s="13" t="n">
        <f aca="false">100*SUMIFS(Data!$W:$W,Data!$E:$E,256,Data!$F:$F,1)/MAX(0.000001,SUMIFS(Data!$J:$J,Data!$E:$E,256,Data!$F:$F,1))</f>
        <v>30.7845204366256</v>
      </c>
      <c r="C45" s="13" t="n">
        <f aca="false">100*SUMIFS(Data!$W:$W,Data!$E:$E,1024,Data!$F:$F,1)/MAX(0.000001,SUMIFS(Data!$J:$J,Data!$E:$E,1024,Data!$F:$F,1))</f>
        <v>31.0728990070235</v>
      </c>
      <c r="D45" s="13" t="n">
        <f aca="false">100*SUMIFS(Data!$W:$W,Data!$E:$E,4096,Data!$F:$F,1)/MAX(0.000001,SUMIFS(Data!$J:$J,Data!$E:$E,4096,Data!$F:$F,1))</f>
        <v>32.4437030859049</v>
      </c>
      <c r="E45" s="13" t="n">
        <f aca="false">100*SUMIFS(Data!$W:$W,Data!$E:$E,16384,Data!$F:$F,1)/MAX(0.000001,SUMIFS(Data!$J:$J,Data!$E:$E,16384,Data!$F:$F,1))</f>
        <v>30.8066397156778</v>
      </c>
    </row>
    <row r="71" customFormat="false" ht="15" hidden="false" customHeight="false" outlineLevel="0" collapsed="false">
      <c r="A71" s="12" t="s">
        <v>37</v>
      </c>
      <c r="B71" s="2" t="s">
        <v>133</v>
      </c>
    </row>
    <row r="72" customFormat="false" ht="15" hidden="false" customHeight="false" outlineLevel="0" collapsed="false">
      <c r="A72" s="12" t="s">
        <v>39</v>
      </c>
      <c r="B72" s="2" t="s">
        <v>134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30"/>
    <col collapsed="false" customWidth="true" hidden="false" outlineLevel="0" max="5" min="2" style="0" width="14"/>
  </cols>
  <sheetData>
    <row r="1" customFormat="false" ht="15" hidden="false" customHeight="false" outlineLevel="0" collapsed="false">
      <c r="A1" s="14" t="s">
        <v>135</v>
      </c>
    </row>
    <row r="2" customFormat="false" ht="15" hidden="false" customHeight="false" outlineLevel="0" collapsed="false">
      <c r="A2" s="2" t="s">
        <v>136</v>
      </c>
    </row>
    <row r="4" customFormat="false" ht="15" hidden="false" customHeight="false" outlineLevel="0" collapsed="false">
      <c r="A4" s="5" t="s">
        <v>137</v>
      </c>
      <c r="B4" s="6"/>
      <c r="C4" s="6"/>
      <c r="D4" s="6"/>
      <c r="E4" s="6"/>
    </row>
    <row r="5" customFormat="false" ht="15" hidden="false" customHeight="false" outlineLevel="0" collapsed="false">
      <c r="A5" s="9" t="s">
        <v>29</v>
      </c>
      <c r="B5" s="9" t="s">
        <v>30</v>
      </c>
      <c r="C5" s="9" t="s">
        <v>31</v>
      </c>
      <c r="D5" s="9" t="s">
        <v>32</v>
      </c>
      <c r="E5" s="9" t="s">
        <v>33</v>
      </c>
    </row>
    <row r="6" customFormat="false" ht="15" hidden="false" customHeight="false" outlineLevel="0" collapsed="false">
      <c r="A6" s="10" t="s">
        <v>138</v>
      </c>
      <c r="B6" s="13" t="n">
        <f aca="false">1195600000/MAX(0.000001,SUMIFS(Data!$H:$H,Data!$E:$E,256,Data!$F:$F,1))/1000000</f>
        <v>159.020869826601</v>
      </c>
      <c r="C6" s="13" t="n">
        <f aca="false">1195600000/MAX(0.000001,SUMIFS(Data!$H:$H,Data!$E:$E,1024,Data!$F:$F,1))/1000000</f>
        <v>161.386770766263</v>
      </c>
      <c r="D6" s="13" t="n">
        <f aca="false">1195600000/MAX(0.000001,SUMIFS(Data!$H:$H,Data!$E:$E,4096,Data!$F:$F,1))/1000000</f>
        <v>159.562684005563</v>
      </c>
      <c r="E6" s="13" t="n">
        <f aca="false">1195600000/MAX(0.000001,SUMIFS(Data!$H:$H,Data!$E:$E,16384,Data!$F:$F,1))/1000000</f>
        <v>156.814396075705</v>
      </c>
    </row>
    <row r="7" customFormat="false" ht="15" hidden="false" customHeight="false" outlineLevel="0" collapsed="false">
      <c r="A7" s="10" t="s">
        <v>35</v>
      </c>
      <c r="B7" s="13" t="n">
        <f aca="false">1195600000/MAX(0.000001,SUMIFS(Data!$I:$I,Data!$E:$E,256,Data!$F:$F,1))/1000000</f>
        <v>198.584198969541</v>
      </c>
      <c r="C7" s="13" t="n">
        <f aca="false">1195600000/MAX(0.000001,SUMIFS(Data!$I:$I,Data!$E:$E,1024,Data!$F:$F,1))/1000000</f>
        <v>206.226466189795</v>
      </c>
      <c r="D7" s="13" t="n">
        <f aca="false">1195600000/MAX(0.000001,SUMIFS(Data!$I:$I,Data!$E:$E,4096,Data!$F:$F,1))/1000000</f>
        <v>193.433674220546</v>
      </c>
      <c r="E7" s="13" t="n">
        <f aca="false">1195600000/MAX(0.000001,SUMIFS(Data!$I:$I,Data!$E:$E,16384,Data!$F:$F,1))/1000000</f>
        <v>184.638668180098</v>
      </c>
    </row>
    <row r="8" customFormat="false" ht="15" hidden="false" customHeight="false" outlineLevel="0" collapsed="false">
      <c r="A8" s="10" t="s">
        <v>36</v>
      </c>
      <c r="B8" s="13" t="n">
        <f aca="false">1195600000/MAX(0.000001,SUMIFS(Data!$J:$J,Data!$E:$E,256,Data!$F:$F,1))/1000000</f>
        <v>328.237903845732</v>
      </c>
      <c r="C8" s="13" t="n">
        <f aca="false">1195600000/MAX(0.000001,SUMIFS(Data!$J:$J,Data!$E:$E,1024,Data!$F:$F,1))/1000000</f>
        <v>336.699578139873</v>
      </c>
      <c r="D8" s="13" t="n">
        <f aca="false">1195600000/MAX(0.000001,SUMIFS(Data!$J:$J,Data!$E:$E,4096,Data!$F:$F,1))/1000000</f>
        <v>291.568509820562</v>
      </c>
      <c r="E8" s="13" t="n">
        <f aca="false">1195600000/MAX(0.000001,SUMIFS(Data!$J:$J,Data!$E:$E,16384,Data!$F:$F,1))/1000000</f>
        <v>275.563873382595</v>
      </c>
    </row>
    <row r="9" customFormat="false" ht="15" hidden="false" customHeight="false" outlineLevel="0" collapsed="false">
      <c r="A9" s="10" t="s">
        <v>44</v>
      </c>
      <c r="B9" s="13" t="n">
        <f aca="false">1195600000/MAX(0.000001,SUMIFS(Data!$M:$M,Data!$E:$E,256,Data!$F:$F,1))/1000000</f>
        <v>1864.72479088911</v>
      </c>
      <c r="C9" s="13" t="n">
        <f aca="false">1195600000/MAX(0.000001,SUMIFS(Data!$M:$M,Data!$E:$E,1024,Data!$F:$F,1))/1000000</f>
        <v>1997.19697513861</v>
      </c>
      <c r="D9" s="13" t="n">
        <f aca="false">1195600000/MAX(0.000001,SUMIFS(Data!$M:$M,Data!$E:$E,4096,Data!$F:$F,1))/1000000</f>
        <v>1723.36254612546</v>
      </c>
      <c r="E9" s="13" t="n">
        <f aca="false">1195600000/MAX(0.000001,SUMIFS(Data!$M:$M,Data!$E:$E,16384,Data!$F:$F,1))/1000000</f>
        <v>1930.97834513412</v>
      </c>
    </row>
    <row r="10" customFormat="false" ht="15" hidden="false" customHeight="false" outlineLevel="0" collapsed="false">
      <c r="A10" s="10" t="s">
        <v>56</v>
      </c>
      <c r="B10" s="13" t="n">
        <f aca="false">1195600000/MAX(0.000001,SUMIFS(Data!$V:$V,Data!$E:$E,256,Data!$F:$F,1))/1000000</f>
        <v>2020.16105867524</v>
      </c>
      <c r="C10" s="13" t="n">
        <f aca="false">1195600000/MAX(0.000001,SUMIFS(Data!$V:$V,Data!$E:$E,1024,Data!$F:$F,1))/1000000</f>
        <v>2147.42824094447</v>
      </c>
      <c r="D10" s="13" t="n">
        <f aca="false">1195600000/MAX(0.000001,SUMIFS(Data!$V:$V,Data!$E:$E,4096,Data!$F:$F,1))/1000000</f>
        <v>1718.29998102914</v>
      </c>
      <c r="E10" s="13" t="n">
        <f aca="false">1195600000/MAX(0.000001,SUMIFS(Data!$V:$V,Data!$E:$E,16384,Data!$F:$F,1))/1000000</f>
        <v>1774.03463789276</v>
      </c>
    </row>
    <row r="11" customFormat="false" ht="15" hidden="false" customHeight="false" outlineLevel="0" collapsed="false">
      <c r="A11" s="10" t="s">
        <v>139</v>
      </c>
      <c r="B11" s="13" t="n">
        <f aca="false">1195600000/MAX(0.000001,SUMIFS(Data!$R:$R,Data!$E:$E,256,Data!$F:$F,1))/1000000</f>
        <v>4525.51373816671</v>
      </c>
      <c r="C11" s="13" t="n">
        <f aca="false">1195600000/MAX(0.000001,SUMIFS(Data!$R:$R,Data!$E:$E,1024,Data!$F:$F,1))/1000000</f>
        <v>4752.81845791792</v>
      </c>
      <c r="D11" s="13" t="n">
        <f aca="false">1195600000/MAX(0.000001,SUMIFS(Data!$R:$R,Data!$E:$E,4096,Data!$F:$F,1))/1000000</f>
        <v>4262.84451099939</v>
      </c>
      <c r="E11" s="13" t="n">
        <f aca="false">1195600000/MAX(0.000001,SUMIFS(Data!$R:$R,Data!$E:$E,16384,Data!$F:$F,1))/1000000</f>
        <v>4786.22898318655</v>
      </c>
    </row>
    <row r="12" customFormat="false" ht="15" hidden="false" customHeight="false" outlineLevel="0" collapsed="false">
      <c r="A12" s="10" t="s">
        <v>140</v>
      </c>
      <c r="B12" s="13" t="n">
        <f aca="false">1195600000/MAX(0.000001,SUMIFS(Data!$S:$S,Data!$E:$E,256,Data!$F:$F,1))/1000000</f>
        <v>28110.2025270028</v>
      </c>
      <c r="C12" s="13" t="n">
        <f aca="false">1195600000/MAX(0.000001,SUMIFS(Data!$S:$S,Data!$E:$E,1024,Data!$F:$F,1))/1000000</f>
        <v>32653.1949933224</v>
      </c>
      <c r="D12" s="13" t="n">
        <f aca="false">1195600000/MAX(0.000001,SUMIFS(Data!$S:$S,Data!$E:$E,4096,Data!$F:$F,1))/1000000</f>
        <v>29124.179694922</v>
      </c>
      <c r="E12" s="13" t="n">
        <f aca="false">1195600000/MAX(0.000001,SUMIFS(Data!$S:$S,Data!$E:$E,16384,Data!$F:$F,1))/1000000</f>
        <v>17440.2406274752</v>
      </c>
    </row>
    <row r="38" customFormat="false" ht="15" hidden="false" customHeight="false" outlineLevel="0" collapsed="false">
      <c r="A38" s="12" t="s">
        <v>37</v>
      </c>
      <c r="B38" s="2" t="s">
        <v>141</v>
      </c>
    </row>
    <row r="39" customFormat="false" ht="15" hidden="false" customHeight="false" outlineLevel="0" collapsed="false">
      <c r="A39" s="12" t="s">
        <v>39</v>
      </c>
      <c r="B39" s="2" t="s">
        <v>142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44"/>
    <col collapsed="false" customWidth="true" hidden="false" outlineLevel="0" max="2" min="2" style="0" width="24"/>
  </cols>
  <sheetData>
    <row r="1" customFormat="false" ht="15" hidden="false" customHeight="false" outlineLevel="0" collapsed="false">
      <c r="A1" s="14" t="s">
        <v>143</v>
      </c>
    </row>
    <row r="2" customFormat="false" ht="15" hidden="false" customHeight="false" outlineLevel="0" collapsed="false">
      <c r="A2" s="16" t="s">
        <v>144</v>
      </c>
    </row>
    <row r="4" customFormat="false" ht="15" hidden="false" customHeight="false" outlineLevel="0" collapsed="false">
      <c r="A4" s="9"/>
      <c r="B4" s="9" t="s">
        <v>145</v>
      </c>
    </row>
    <row r="5" customFormat="false" ht="15" hidden="false" customHeight="false" outlineLevel="0" collapsed="false">
      <c r="A5" s="10" t="s">
        <v>146</v>
      </c>
      <c r="B5" s="17" t="n">
        <v>304368627</v>
      </c>
    </row>
    <row r="6" customFormat="false" ht="15" hidden="false" customHeight="false" outlineLevel="0" collapsed="false">
      <c r="A6" s="10" t="s">
        <v>147</v>
      </c>
      <c r="B6" s="17" t="n">
        <v>256439670</v>
      </c>
    </row>
    <row r="7" customFormat="false" ht="15" hidden="false" customHeight="false" outlineLevel="0" collapsed="false">
      <c r="A7" s="10" t="s">
        <v>148</v>
      </c>
      <c r="B7" s="17" t="n">
        <v>47928957</v>
      </c>
    </row>
    <row r="8" customFormat="false" ht="15" hidden="false" customHeight="false" outlineLevel="0" collapsed="false">
      <c r="A8" s="10" t="s">
        <v>149</v>
      </c>
      <c r="B8" s="18" t="n">
        <v>15.7470096285581</v>
      </c>
    </row>
    <row r="9" customFormat="false" ht="15" hidden="false" customHeight="false" outlineLevel="0" collapsed="false">
      <c r="A9" s="10" t="s">
        <v>150</v>
      </c>
      <c r="B9" s="19" t="n">
        <v>6.81107</v>
      </c>
    </row>
    <row r="10" customFormat="false" ht="15" hidden="false" customHeight="false" outlineLevel="0" collapsed="false">
      <c r="A10" s="10" t="s">
        <v>151</v>
      </c>
      <c r="B10" s="19" t="n">
        <v>6.02062</v>
      </c>
    </row>
    <row r="11" customFormat="false" ht="15" hidden="false" customHeight="false" outlineLevel="0" collapsed="false">
      <c r="A11" s="10" t="s">
        <v>152</v>
      </c>
      <c r="B11" s="19" t="n">
        <v>3.64248</v>
      </c>
    </row>
    <row r="12" customFormat="false" ht="15" hidden="false" customHeight="false" outlineLevel="0" collapsed="false">
      <c r="A12" s="10" t="s">
        <v>153</v>
      </c>
      <c r="B12" s="20" t="n">
        <v>113.12904651016</v>
      </c>
    </row>
    <row r="14" customFormat="false" ht="15" hidden="false" customHeight="false" outlineLevel="0" collapsed="false">
      <c r="A14" s="12" t="s">
        <v>37</v>
      </c>
      <c r="B14" s="2" t="s">
        <v>154</v>
      </c>
    </row>
    <row r="15" customFormat="false" ht="15" hidden="false" customHeight="false" outlineLevel="0" collapsed="false">
      <c r="A15" s="12" t="s">
        <v>39</v>
      </c>
      <c r="B15" s="2" t="s">
        <v>155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LibreOffice/7.4.7.2$Linux_X86_64 LibreOffice_project/40$Build-2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2026-10-08T07:10:04Z</dcterms:created>
  <dc:creator>openpyxl</dc:creator>
  <dc:description/>
  <dc:language>en-US</dc:language>
  <cp:lastModifiedBy/>
  <dcterms:modified xsi:type="dcterms:W3CDTF">2026-10-08T09:10:06Z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