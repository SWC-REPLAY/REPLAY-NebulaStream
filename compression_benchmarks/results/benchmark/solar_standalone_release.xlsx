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8.xml.rels" ContentType="application/vnd.openxmlformats-package.relationships+xml"/>
  <Override PartName="/xl/worksheets/_rels/sheet5.xml.rels" ContentType="application/vnd.openxmlformats-package.relationships+xml"/>
  <Override PartName="/xl/worksheets/_rels/sheet7.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2.xml" ContentType="application/vnd.openxmlformats-officedocument.drawingml.chart+xml"/>
  <Override PartName="/xl/charts/chart11.xml" ContentType="application/vnd.openxmlformats-officedocument.drawingml.chart+xml"/>
  <Override PartName="/xl/charts/chart10.xml" ContentType="application/vnd.openxmlformats-officedocument.drawingml.chart+xml"/>
  <Override PartName="/xl/charts/chart9.xml" ContentType="application/vnd.openxmlformats-officedocument.drawingml.chart+xml"/>
  <Override PartName="/xl/charts/chart17.xml" ContentType="application/vnd.openxmlformats-officedocument.drawingml.chart+xml"/>
  <Override PartName="/xl/charts/chart5.xml" ContentType="application/vnd.openxmlformats-officedocument.drawingml.chart+xml"/>
  <Override PartName="/xl/charts/chart16.xml" ContentType="application/vnd.openxmlformats-officedocument.drawingml.chart+xml"/>
  <Override PartName="/xl/charts/chart4.xml" ContentType="application/vnd.openxmlformats-officedocument.drawingml.chart+xml"/>
  <Override PartName="/xl/charts/chart15.xml" ContentType="application/vnd.openxmlformats-officedocument.drawingml.chart+xml"/>
  <Override PartName="/xl/charts/chart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1.xml" ContentType="application/vnd.openxmlformats-officedocument.drawingml.chart+xml"/>
  <Override PartName="/xl/charts/chart13.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_rels/drawing7.xml.rels" ContentType="application/vnd.openxmlformats-package.relationships+xml"/>
  <Override PartName="/xl/drawings/_rels/drawing6.xml.rels" ContentType="application/vnd.openxmlformats-package.relationships+xml"/>
  <Override PartName="/xl/drawings/_rels/drawing5.xml.rels" ContentType="application/vnd.openxmlformats-package.relationships+xml"/>
  <Override PartName="/xl/drawings/_rels/drawing2.xml.rels" ContentType="application/vnd.openxmlformats-package.relationships+xml"/>
  <Override PartName="/xl/drawings/_rels/drawing4.xml.rels" ContentType="application/vnd.openxmlformats-package.relationships+xml"/>
  <Override PartName="/xl/drawings/_rels/drawing1.xml.rels" ContentType="application/vnd.openxmlformats-package.relationships+xml"/>
  <Override PartName="/xl/drawings/_rels/drawing3.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2"/>
    <sheet name="Summary" sheetId="2" state="visible" r:id="rId3"/>
    <sheet name="Data" sheetId="3" state="visible" r:id="rId4"/>
    <sheet name="Sizes" sheetId="4" state="visible" r:id="rId5"/>
    <sheet name="Ratios" sheetId="5" state="visible" r:id="rId6"/>
    <sheet name="Timing" sheetId="6" state="visible" r:id="rId7"/>
    <sheet name="Throughput" sheetId="7" state="visible" r:id="rId8"/>
    <sheet name="Framing" sheetId="8" state="visible" r:id="rId9"/>
    <sheet name="Store Cost" sheetId="9" state="visible" r:id="rId10"/>
    <sheet name="Anomalies" sheetId="10"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<sst xmlns="http://schemas.openxmlformats.org/spreadsheetml/2006/main" count="575" uniqueCount="176">
  <si>
    <t xml:space="preserve">Solar panels, standalone tiers — Benchmark build</t>
  </si>
  <si>
    <t xml:space="preserve">One sheet per question. Sizes, ratios, timing, throughput, framing, and what of the time is actually the store.</t>
  </si>
  <si>
    <t xml:space="preserve">dataset</t>
  </si>
  <si>
    <t xml:space="preserve">debs_solar_panels, 42,700,000 rows x 28 B = 1,195,600,000 B stored</t>
  </si>
  <si>
    <t xml:space="preserve">configurations</t>
  </si>
  <si>
    <t xml:space="preserve">6 standalone tiers</t>
  </si>
  <si>
    <t xml:space="preserve">unit sizes</t>
  </si>
  <si>
    <t xml:space="preserve">256 KB, 1024 KB, 4096 KB, 16384 KB  (FileStore segment / LossyStore group / CompressedStore segment, set equal)</t>
  </si>
  <si>
    <t xml:space="preserve">capacity</t>
  </si>
  <si>
    <t xml:space="preserve">FileStore totalSize 4096 MB over 4 files</t>
  </si>
  <si>
    <t xml:space="preserve">build</t>
  </si>
  <si>
    <t xml:space="preserve">Benchmark</t>
  </si>
  <si>
    <t xml:space="preserve">repeats</t>
  </si>
  <si>
    <t xml:space="preserve">256 KB: N=1, 1024 KB: N=1, 4096 KB: N=3, 16384 KB: N=1</t>
  </si>
  <si>
    <t xml:space="preserve">source</t>
  </si>
  <si>
    <t xml:space="preserve">solar_standalone_release.csv (merged from four per-unit CSVs)</t>
  </si>
  <si>
    <t xml:space="preserve">WHAT IS NEW HERE</t>
  </si>
  <si>
    <t xml:space="preserve">the build</t>
  </si>
  <si>
    <t xml:space="preserve">Benchmark (-O3, NO_ASSERT, log level NONE), not the Debug build every other CSV in results/ was measured in. On the read path Debug is ~88% build overhead, enough to put FileStore -- which decodes nothing -- within 2% of LossyStore at 1%, which runs three decode stages.</t>
  </si>
  <si>
    <t xml:space="preserve">the baseline</t>
  </si>
  <si>
    <t xml:space="preserve">Every row carries baseline_s: the same query with no store at all. store_write_s = encode_s - baseline_s. Without it a store's cost could only be quoted as an absolute, and on this workload three quarters of a write query is the CSV parse.</t>
  </si>
  <si>
    <t xml:space="preserve">the store fixes</t>
  </si>
  <si>
    <t xml:space="preserve">Two FileStore defects were fixed between the Debug sweep and this one (commits 6ba85c1cbb, 1492ece8a7). The second mattered: FileStore's read-back was 113.6 s at a 16384 KB unit against a 93 s median, and is now on the pack median. Decode figures here are not comparable to the Debug sweep's; byte counts are, and reproduce exactly.</t>
  </si>
  <si>
    <t xml:space="preserve">WHAT A TIME HERE IS</t>
  </si>
  <si>
    <t xml:space="preserve">systest reports stop - running. Registration, planning, query compilation and opening the store happen before `running` and are NOT included. Nothing here is a codec step time: no store carries a timer, so encode and decode cannot be separated from the query that drives them. That needs the microbenchmark.</t>
  </si>
  <si>
    <t xml:space="preserve">Summary</t>
  </si>
  <si>
    <t xml:space="preserve">Four charts, and what each one settles.</t>
  </si>
  <si>
    <t xml:space="preserve">1. BYTES ON DISK</t>
  </si>
  <si>
    <t xml:space="preserve">Configuration</t>
  </si>
  <si>
    <t xml:space="preserve">256 KB</t>
  </si>
  <si>
    <t xml:space="preserve">1024 KB</t>
  </si>
  <si>
    <t xml:space="preserve">4096 KB</t>
  </si>
  <si>
    <t xml:space="preserve">16384 KB</t>
  </si>
  <si>
    <t xml:space="preserve">FileStore (raw)</t>
  </si>
  <si>
    <t xml:space="preserve">CompressedStore</t>
  </si>
  <si>
    <t xml:space="preserve">LossyStore lossless</t>
  </si>
  <si>
    <t xml:space="preserve">LossyStore 0.1%</t>
  </si>
  <si>
    <t xml:space="preserve">LossyStore 1%</t>
  </si>
  <si>
    <t xml:space="preserve">LossyStore 5%</t>
  </si>
  <si>
    <t xml:space="preserve">WHAT THIS SHOWS</t>
  </si>
  <si>
    <t xml:space="preserve">What each configuration costs in storage.</t>
  </si>
  <si>
    <t xml:space="preserve">WHAT TO LOOK FOR</t>
  </si>
  <si>
    <t xml:space="preserve">834 MB separates raw rows from LossyStore at 5%. That is the decision this whole tier exists to make.</t>
  </si>
  <si>
    <t xml:space="preserve">2. COMPRESSION RATIO</t>
  </si>
  <si>
    <t xml:space="preserve">The same thing as a factor, against unit size.</t>
  </si>
  <si>
    <t xml:space="preserve">Build-independent and reproduces the Debug sweep exactly. Smaller units compress BETTER on the bounded paths -- 256 KB is the best setting on both ratio and, per the Timing sheet, it costs nothing to choose it.</t>
  </si>
  <si>
    <t xml:space="preserve">3. WRITE QUERY, AGAINST A QUERY WITH NO STORE</t>
  </si>
  <si>
    <t xml:space="preserve">normal query (no store)</t>
  </si>
  <si>
    <t xml:space="preserve">Bars are the write query; the red line is the same query with no store. The gap is the store.</t>
  </si>
  <si>
    <t xml:space="preserve">About two thirds of every bar lies below the line and is the CSV parse. The store itself is 6.8 to 15.5 s -- quoting encode_s alone overstates it three to four times.</t>
  </si>
  <si>
    <t xml:space="preserve">4. READ-BACK, AGAINST A QUERY WITH NO STORE</t>
  </si>
  <si>
    <t xml:space="preserve">Replaying everything back out, against scanning the same rows from the CSV.</t>
  </si>
  <si>
    <t xml:space="preserve">Every bar is below the line: replaying from the store takes ~10 s against 20.8 s to read the file it came from. Flat whatever the codec and whatever the unit -- and after the two FileStore fixes, FileStore is no longer the outlier it was.</t>
  </si>
  <si>
    <t xml:space="preserve">configuration</t>
  </si>
  <si>
    <t xml:space="preserve">store_order</t>
  </si>
  <si>
    <t xml:space="preserve">tail_tier</t>
  </si>
  <si>
    <t xml:space="preserve">bound_pct</t>
  </si>
  <si>
    <t xml:space="preserve">unit_kb</t>
  </si>
  <si>
    <t xml:space="preserve">filestore_kb</t>
  </si>
  <si>
    <t xml:space="preserve">rows</t>
  </si>
  <si>
    <t xml:space="preserve">row_width_bytes</t>
  </si>
  <si>
    <t xml:space="preserve">bytes_in</t>
  </si>
  <si>
    <t xml:space="preserve">baseline_s</t>
  </si>
  <si>
    <t xml:space="preserve">encode_s</t>
  </si>
  <si>
    <t xml:space="preserve">decode_s</t>
  </si>
  <si>
    <t xml:space="preserve">store_write_s</t>
  </si>
  <si>
    <t xml:space="preserve">data_out</t>
  </si>
  <si>
    <t xml:space="preserve">disk_bytes</t>
  </si>
  <si>
    <t xml:space="preserve">units</t>
  </si>
  <si>
    <t xml:space="preserve">framing_bytes</t>
  </si>
  <si>
    <t xml:space="preserve">ratio_on_data</t>
  </si>
  <si>
    <t xml:space="preserve">ratio_on_disk</t>
  </si>
  <si>
    <t xml:space="preserve">runs</t>
  </si>
  <si>
    <t xml:space="preserve">filestore_segment_kb</t>
  </si>
  <si>
    <t xml:space="preserve">filestore_total_mb</t>
  </si>
  <si>
    <t xml:space="preserve">filestore_files_at_capacity</t>
  </si>
  <si>
    <t xml:space="preserve">filestore_flush_threshold_kb</t>
  </si>
  <si>
    <t xml:space="preserve">lossystore_group_kb</t>
  </si>
  <si>
    <t xml:space="preserve">compressedstore_segment_kb</t>
  </si>
  <si>
    <t xml:space="preserve">compressedstore_level</t>
  </si>
  <si>
    <t xml:space="preserve">memorystore_max_buffer_count</t>
  </si>
  <si>
    <t xml:space="preserve">pool_buffer_bytes</t>
  </si>
  <si>
    <t xml:space="preserve">flush_threshold</t>
  </si>
  <si>
    <t xml:space="preserve">MemoryStore_data</t>
  </si>
  <si>
    <t xml:space="preserve">MemoryStore_disk</t>
  </si>
  <si>
    <t xml:space="preserve">FileStore_data</t>
  </si>
  <si>
    <t xml:space="preserve">FileStore_disk</t>
  </si>
  <si>
    <t xml:space="preserve">CompressedStore_data</t>
  </si>
  <si>
    <t xml:space="preserve">CompressedStore_disk</t>
  </si>
  <si>
    <t xml:space="preserve">LossyStore_data</t>
  </si>
  <si>
    <t xml:space="preserve">LossyStore_disk</t>
  </si>
  <si>
    <t xml:space="preserve">debs_solar_panels</t>
  </si>
  <si>
    <t xml:space="preserve">standalone</t>
  </si>
  <si>
    <t xml:space="preserve">1MB</t>
  </si>
  <si>
    <t xml:space="preserve">FileStore</t>
  </si>
  <si>
    <t xml:space="preserve">LossyStore</t>
  </si>
  <si>
    <t xml:space="preserve">Sizes — what each configuration put on disk</t>
  </si>
  <si>
    <t xml:space="preserve">Bytes, not ratios. A ratio hides the thing a storage budget cares about: 796 MB is the decision, 3.19x is the summary.</t>
  </si>
  <si>
    <t xml:space="preserve">BYTES ON DISK  (framing included)</t>
  </si>
  <si>
    <t xml:space="preserve">The file each configuration left behind, container and all, at each unit size.</t>
  </si>
  <si>
    <t xml:space="preserve">FileStore is flat at 1,195,928,436 B -- 42,700,000 rows x 28 B plus framing -- and is the reference every other bar is read against. The lossy bars GROW slightly as the unit grows, which is the opposite of what a reader expects and is explained on the Anomalies sheet.</t>
  </si>
  <si>
    <t xml:space="preserve">ENCODED BYTES  (framing removed)</t>
  </si>
  <si>
    <t xml:space="preserve">What the codec produced, with the container subtracted. This is the number to compare codecs on; disk_bytes mixes in a per-unit overhead that has nothing to do with the codec.</t>
  </si>
  <si>
    <t xml:space="preserve">The same configurations with framing taken out.</t>
  </si>
  <si>
    <t xml:space="preserve">At a 256 KB unit the span runs from 1,195,600,000 B for FileStore down to 362 MB for LossyStore at 5% -- about 834 MB of difference, which is the actual decision. The ratio chart on the next sheet cannot tell you that.</t>
  </si>
  <si>
    <t xml:space="preserve">BYTES SAVED AGAINST FileStore</t>
  </si>
  <si>
    <t xml:space="preserve">FileStore's bytes minus this configuration's. The row for FileStore is zero by construction.</t>
  </si>
  <si>
    <t xml:space="preserve">How many bytes each configuration avoided writing, against storing the rows raw. FileStore is excluded from the chart, being zero.</t>
  </si>
  <si>
    <t xml:space="preserve">LossyStore at 5% saves about 834 MB at a 256 KB unit and 810 MB at 16384 KB. zstd alone saves 471 MB and does not move with the unit size at all.</t>
  </si>
  <si>
    <t xml:space="preserve">Ratios — the same thing as a factor</t>
  </si>
  <si>
    <t xml:space="preserve">Useful for comparing configurations with each other. Not a substitute for the Sizes sheet when the question is how much disk is needed.</t>
  </si>
  <si>
    <t xml:space="preserve">RATIO ON DISK  (stored bytes / bytes on disk)</t>
  </si>
  <si>
    <t xml:space="preserve">1,195,600,000 stored bytes divided by what each configuration wrote.</t>
  </si>
  <si>
    <t xml:space="preserve">FileStore reads 1.000 and is really 0.9997 -- it stores rows raw, so the shortfall is its framing. CompressedStore is flat to three decimals (1.650 to 1.652): zstd does not care about the unit size at this scale. The three bounded lossy lines FALL as the unit grows, which is the headline anomaly -- see the Anomalies sheet.</t>
  </si>
  <si>
    <t xml:space="preserve">RATIO ON DATA  (framing removed)</t>
  </si>
  <si>
    <t xml:space="preserve">The codec's own figure. Differs from ratio_on_disk by the container, which the Framing sheet quantifies.</t>
  </si>
  <si>
    <t xml:space="preserve">The same ratio with the container taken out of the denominator.</t>
  </si>
  <si>
    <t xml:space="preserve">Compare against the chart above. The gap between them IS the framing, and it is widest at 256 KB where there are 4,561 units to put a header on.</t>
  </si>
  <si>
    <t xml:space="preserve">Timing — seconds, and which of them are the store</t>
  </si>
  <si>
    <t xml:space="preserve">N=1 per grid point except 4096 KB, which is N=3 after an outlier there was re-measured and did not reproduce. Byte counts are deterministic; the single samples are not, so read differences of a few tenths as noise.</t>
  </si>
  <si>
    <t xml:space="preserve">WRITE QUERY  (encode_s, whole query)</t>
  </si>
  <si>
    <t xml:space="preserve">Bars are what each configuration cost. The red line is the SAME query with no store attached, measured at every grid point. The vertical gap between a bar and the line is the store.</t>
  </si>
  <si>
    <t xml:space="preserve">The line sits at about 20.8 s and the bars at 27.6 to 36.2, so roughly two thirds of every bar is below the line and has nothing to do with the store -- it is reading and parsing a 1.49 GB CSV. That is also why the configurations look so alike here: they are sharing the same large constant.</t>
  </si>
  <si>
    <t xml:space="preserve">THE GAP, AS A NUMBER  (encode_s - baseline_s)</t>
  </si>
  <si>
    <t xml:space="preserve">The same quantity the chart above shows as a gap, for when a figure is wanted rather than a picture.</t>
  </si>
  <si>
    <t xml:space="preserve">Each bar's distance above the red line.</t>
  </si>
  <si>
    <t xml:space="preserve">6.8 to 15.5 s. FileStore is cheapest because it writes the rows as they are. CompressedStore is dearest and gets worse as the unit grows, 12.4 to 15.5 s, while the lossy configurations get cheaper -- and CompressedStore's ratio does not improve to pay for it. See the Anomalies sheet.</t>
  </si>
  <si>
    <t xml:space="preserve">READ-BACK  (decode_s, whole query)</t>
  </si>
  <si>
    <t xml:space="preserve">Replaying everything back out. No CSV is involved -- ReplaySource calls store-&gt;read and nothing else, formatted Native -- so here the line is not a floor but a comparison.</t>
  </si>
  <si>
    <t xml:space="preserve">Every bar is BELOW the line: replaying 42.7M rows out of a store takes about 10 s against 20.8 s to scan the same rows out of the CSV. Reading from the store is twice as fast as reading the file it came from. Flat at 9.5 to 10.9 s everywhere except LossyStore at 5% and 4096 KB, which reads 16.26 s and is unexplained -- see Anomalies.</t>
  </si>
  <si>
    <t xml:space="preserve">Throughput — the same measurements as rates</t>
  </si>
  <si>
    <t xml:space="preserve">Over 1,195,600,000 stored bytes. The CSV is 1,489,260,482 B, so a rate quoted on CSV bytes would be 1.25x these.</t>
  </si>
  <si>
    <t xml:space="preserve">WRITE QUERY  MB/s</t>
  </si>
  <si>
    <t xml:space="preserve">Stored bytes over the whole write query. The red line is the same query with no store.</t>
  </si>
  <si>
    <t xml:space="preserve">33 to 43 MB/s against a store-free 57 MB/s. Every bar is BELOW the line here, which is the same fact as the Timing sheet seen the other way up: attaching a store makes the query slower, and the distance tells you by how much.</t>
  </si>
  <si>
    <t xml:space="preserve">STORE WRITE  MB/s  (baseline removed)</t>
  </si>
  <si>
    <t xml:space="preserve">Stored bytes divided by the store's own write time -- the gap from the chart above, as a rate. No baseline line here: it has already been taken out.</t>
  </si>
  <si>
    <t xml:space="preserve">77 to 177 MB/s. FileStore is fastest because it does the least. These are three to four times the whole-query rates above, which is the measure of how much of that query is not the store.</t>
  </si>
  <si>
    <t xml:space="preserve">READ-BACK  MB/s</t>
  </si>
  <si>
    <t xml:space="preserve">Stored bytes over the read-back query, with the store-free scan as the line.</t>
  </si>
  <si>
    <t xml:space="preserve">110 to 126 MB/s, roughly double the 57 MB/s line. A store that decodes nothing and one running quantise, bitpack and zstd replay at the same speed -- the codec is not what the read path spends its time on.</t>
  </si>
  <si>
    <t xml:space="preserve">Framing — what the container costs</t>
  </si>
  <si>
    <t xml:space="preserve">Header, per-unit descriptors, preallocated tables. Everything on disk that is not encoded data.</t>
  </si>
  <si>
    <t xml:space="preserve">FRAMING BYTES</t>
  </si>
  <si>
    <t xml:space="preserve">disk_bytes minus data_out: the bytes the container spent describing the data.</t>
  </si>
  <si>
    <t xml:space="preserve">It falls roughly 4x per step, because each step quarters the number of units. LossyStore pays the most at every size -- 1,076,774 B at 256 KB against FileStore's 328,436 and CompressedStore's 187,379 -- because it writes a descriptor per COLUMN per group, and this schema has four columns.</t>
  </si>
  <si>
    <t xml:space="preserve">UNITS WRITTEN</t>
  </si>
  <si>
    <t xml:space="preserve">Segments, or groups. Identical across configurations because the grid sets every tier's unit to the same size.</t>
  </si>
  <si>
    <t xml:space="preserve">How many units each configuration sealed: 4,561 at 256 KB down to 72 at 16384 KB.</t>
  </si>
  <si>
    <t xml:space="preserve">This is the multiplier behind the framing chart above, and behind the ratio decline on the Ratios sheet -- though for a different reason in each case.</t>
  </si>
  <si>
    <t xml:space="preserve">FRAMING PER UNIT  (bytes)</t>
  </si>
  <si>
    <t xml:space="preserve">Framing divided by the number of units -- the per-unit cost of the container, independent of how many units there happen to be.</t>
  </si>
  <si>
    <t xml:space="preserve">Flat across unit sizes, as it should be: about 236 B per unit for LossyStore, 72 for FileStore, 41 for CompressedStore. A constant here is the check that the framing chart's decline really is just unit count and not something changing shape.</t>
  </si>
  <si>
    <t xml:space="preserve">FRAMING AS A SHARE OF THE FILE  (%)</t>
  </si>
  <si>
    <t xml:space="preserve">The same framing as a percentage of the file it is in.</t>
  </si>
  <si>
    <t xml:space="preserve">Under 0.3% everywhere and under 0.01% at the largest unit. This is why ratio_on_disk and ratio_on_data agree to three decimals at scale, and why FileStore's 0.9997 rounds to 1.000 -- the container is real but it is not where the bytes are.</t>
  </si>
  <si>
    <t xml:space="preserve">Store cost — how much of a query is actually the store</t>
  </si>
  <si>
    <t xml:space="preserve">This is the sheet the baseline column exists for. Every other standalone CSV in results/ reports encode_s alone, which makes a store look like it costs 27 to 36 seconds. Most of that is reading and parsing a 1.49 GB CSV.</t>
  </si>
  <si>
    <t xml:space="preserve">STORE WRITE AS A SHARE OF THE WRITE QUERY  (%)</t>
  </si>
  <si>
    <t xml:space="preserve">store_write_s divided by encode_s: the fraction of a write query that is the store doing store work.</t>
  </si>
  <si>
    <t xml:space="preserve">25% for FileStore and 39 to 43% for CompressedStore. The remaining 57 to 75% is the CSV parse and the sink, and it is the same work whichever store is attached -- which is why the configurations look so similar on the whole-query chart and so different here.</t>
  </si>
  <si>
    <t xml:space="preserve">THE BASELINE ITSELF</t>
  </si>
  <si>
    <t xml:space="preserve">The same query with no store at all, measured at every grid point. It should not depend on the unit size, and does not.</t>
  </si>
  <si>
    <t xml:space="preserve">Measurement</t>
  </si>
  <si>
    <t xml:space="preserve">baseline, no store (s)</t>
  </si>
  <si>
    <t xml:space="preserve">as MB/s over stored bytes</t>
  </si>
  <si>
    <t xml:space="preserve">The store-free query at each of the four grid points.</t>
  </si>
  <si>
    <t xml:space="preserve">About 20.8 s at three of them and 21.16 at 4096 KB, which was built and measured separately -- a spread under 2% across four independent builds of the same binary. That stability is what makes subtracting it legitimate.</t>
  </si>
  <si>
    <t xml:space="preserve">Anomalies</t>
  </si>
  <si>
    <t xml:space="preserve">Three things in this data that are not fully explained. Stated rather than smoothed over.</t>
  </si>
  <si>
    <t xml:space="preserve">1. Lossy ratios FALL as the unit grows</t>
  </si>
  <si>
    <t xml:space="preserve">3.302 -&gt; 3.140 at 5%, 3.189 -&gt; 2.972 at 1%, 3.022 -&gt; 2.828 at 0.1%, from 256 KB to 16384 KB. Backwards from the intuition that a bigger block compresses better. CONFIRMED and understood: the quantiser is logarithmic and bitWidth follows the GROUP's magnitude span, so a smaller group spans less and needs fewer bits. CompressedStore, which has no per-group width, is flat at 1.650-1.652 -- which is the control that makes this explanation stick.</t>
  </si>
  <si>
    <t xml:space="preserve">2. LossyStore 5% read 16.26 s at 4096 KB — RESOLVED, it was interference</t>
  </si>
  <si>
    <t xml:space="preserve">Found at N=1. The whole 4096 KB point was re-run at N=3 and the cell came back at 9.87 s, a drop of 6.39 s, landing it second-fastest of the six rather than 61% above them. The five controls in the same re-run moved by 0.06 to 0.57 s, which is ordinary drift -- only the anomalous cell moved, and it moved onto the pack median. A single disturbed sample, not a defect. THE 4096 KB COLUMN IN THIS WORKBOOK IS NOW THE N=3 RE-RUN; the 16.26 s figure survives only in this note. Worth recording why it was chased rather than shrugged at: FileStore's 113.6 s outlier in the Debug sweep was also called interference and turned out to be a real defect. The check is cheap; being wrong about it is not.</t>
  </si>
  <si>
    <t xml:space="preserve">3. CompressedStore's store write RISES with unit size</t>
  </si>
  <si>
    <t xml:space="preserve">12.38 s at 1024 KB to 15.50 s at 16384 KB, while every lossy configuration gets cheaper over the same range. zstd compressing a 16 MB block rather than a 1 MB one is the obvious suspect, but its RATIO does not move at all (1.650 to 1.652), so it is spending more time for no benefit. Worth a look; not investigated.</t>
  </si>
</sst>
</file>

<file path=xl/styles.xml><?xml version="1.0" encoding="utf-8"?>
<styleSheet xmlns="http://schemas.openxmlformats.org/spreadsheetml/2006/main">
  <numFmts count="5">
    <numFmt numFmtId="164" formatCode="General"/>
    <numFmt numFmtId="165" formatCode="#,##0"/>
    <numFmt numFmtId="166" formatCode="0.000"/>
    <numFmt numFmtId="167" formatCode="0.00"/>
    <numFmt numFmtId="168" formatCode="0.0"/>
  </numFmts>
  <fonts count="17">
    <font>
      <sz val="11"/>
      <color rgb="FF000000"/>
      <name val="Calibri"/>
      <family val="2"/>
      <charset val="1"/>
    </font>
    <font>
      <sz val="10"/>
      <name val="Arial"/>
      <family val="0"/>
    </font>
    <font>
      <sz val="10"/>
      <name val="Arial"/>
      <family val="0"/>
    </font>
    <font>
      <sz val="10"/>
      <name val="Arial"/>
      <family val="0"/>
    </font>
    <font>
      <b val="true"/>
      <sz val="16"/>
      <name val="Arial"/>
      <family val="0"/>
      <charset val="1"/>
    </font>
    <font>
      <i val="true"/>
      <sz val="11"/>
      <color rgb="FF7F7F7F"/>
      <name val="Arial"/>
      <family val="0"/>
      <charset val="1"/>
    </font>
    <font>
      <b val="true"/>
      <sz val="11"/>
      <name val="Arial"/>
      <family val="0"/>
      <charset val="1"/>
    </font>
    <font>
      <sz val="11"/>
      <color rgb="FF000000"/>
      <name val="Arial"/>
      <family val="0"/>
      <charset val="1"/>
    </font>
    <font>
      <b val="true"/>
      <sz val="11"/>
      <color rgb="FFFFFFFF"/>
      <name val="Arial"/>
      <family val="0"/>
      <charset val="1"/>
    </font>
    <font>
      <sz val="11"/>
      <name val="Arial"/>
      <family val="0"/>
      <charset val="1"/>
    </font>
    <font>
      <sz val="11"/>
      <color rgb="FF008000"/>
      <name val="Arial"/>
      <family val="0"/>
      <charset val="1"/>
    </font>
    <font>
      <b val="true"/>
      <sz val="9"/>
      <name val="Arial"/>
      <family val="0"/>
      <charset val="1"/>
    </font>
    <font>
      <b val="true"/>
      <sz val="11"/>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4"/>
      <name val="Arial"/>
      <family val="0"/>
      <charset val="1"/>
    </font>
  </fonts>
  <fills count="5">
    <fill>
      <patternFill patternType="none"/>
    </fill>
    <fill>
      <patternFill patternType="gray125"/>
    </fill>
    <fill>
      <patternFill patternType="solid">
        <fgColor rgb="FFD9E2F3"/>
        <bgColor rgb="FFD9D9D9"/>
      </patternFill>
    </fill>
    <fill>
      <patternFill patternType="solid">
        <fgColor rgb="FF2F5496"/>
        <bgColor rgb="FF4672A8"/>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center" vertical="bottom"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AA64F"/>
      <rgbColor rgb="FF800080"/>
      <rgbColor rgb="FF4F81BD"/>
      <rgbColor rgb="FF9BBB59"/>
      <rgbColor rgb="FF7F7F7F"/>
      <rgbColor rgb="FF8064A2"/>
      <rgbColor rgb="FFAB4744"/>
      <rgbColor rgb="FFFFF2CC"/>
      <rgbColor rgb="FFD9E2F3"/>
      <rgbColor rgb="FF660066"/>
      <rgbColor rgb="FFF79646"/>
      <rgbColor rgb="FF4672A8"/>
      <rgbColor rgb="FFD9D9D9"/>
      <rgbColor rgb="FF000080"/>
      <rgbColor rgb="FFFF00FF"/>
      <rgbColor rgb="FFFFFF00"/>
      <rgbColor rgb="FF00FFFF"/>
      <rgbColor rgb="FF800080"/>
      <rgbColor rgb="FF800000"/>
      <rgbColor rgb="FF008080"/>
      <rgbColor rgb="FF0000FF"/>
      <rgbColor rgb="FF46AAC4"/>
      <rgbColor rgb="FFCCFFFF"/>
      <rgbColor rgb="FFCCFFCC"/>
      <rgbColor rgb="FFFFFF99"/>
      <rgbColor rgb="FF99CCFF"/>
      <rgbColor rgb="FFFF99CC"/>
      <rgbColor rgb="FFCC99FF"/>
      <rgbColor rgb="FFFFCC99"/>
      <rgbColor rgb="FF4A7EBB"/>
      <rgbColor rgb="FF4BACC6"/>
      <rgbColor rgb="FF98B855"/>
      <rgbColor rgb="FFFFCC00"/>
      <rgbColor rgb="FFF59240"/>
      <rgbColor rgb="FFDC853E"/>
      <rgbColor rgb="FF725990"/>
      <rgbColor rgb="FF878787"/>
      <rgbColor rgb="FF003366"/>
      <rgbColor rgb="FF4299B0"/>
      <rgbColor rgb="FF003300"/>
      <rgbColor rgb="FF333300"/>
      <rgbColor rgb="FFC0504D"/>
      <rgbColor rgb="FFBE4B48"/>
      <rgbColor rgb="FF2F5496"/>
      <rgbColor rgb="FF7D5FA0"/>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Bytes on disk by configuration</a:t>
            </a:r>
          </a:p>
        </c:rich>
      </c:tx>
      <c:overlay val="0"/>
      <c:spPr>
        <a:noFill/>
        <a:ln w="0">
          <a:noFill/>
        </a:ln>
      </c:spPr>
    </c:title>
    <c:autoTitleDeleted val="0"/>
    <c:plotArea>
      <c:barChart>
        <c:barDir val="col"/>
        <c:grouping val="clustered"/>
        <c:varyColors val="0"/>
        <c:ser>
          <c:idx val="0"/>
          <c:order val="0"/>
          <c:tx>
            <c:strRef>
              <c:f>Summary!A6</c:f>
              <c:strCache>
                <c:ptCount val="1"/>
                <c:pt idx="0">
                  <c:v>FileStore (raw)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Summary!$B$6:$E$6</c:f>
              <c:numCache>
                <c:formatCode>General</c:formatCode>
                <c:ptCount val="4"/>
                <c:pt idx="0">
                  <c:v>1195928436</c:v>
                </c:pt>
                <c:pt idx="1">
                  <c:v>1195682676</c:v>
                </c:pt>
                <c:pt idx="2">
                  <c:v>1195621236</c:v>
                </c:pt>
                <c:pt idx="3">
                  <c:v>1195605876</c:v>
                </c:pt>
              </c:numCache>
            </c:numRef>
          </c:val>
        </c:ser>
        <c:ser>
          <c:idx val="1"/>
          <c:order val="1"/>
          <c:tx>
            <c:strRef>
              <c:f>Summary!A7</c:f>
              <c:strCache>
                <c:ptCount val="1"/>
                <c:pt idx="0">
                  <c:v>CompressedStore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Summary!$B$7:$E$7</c:f>
              <c:numCache>
                <c:formatCode>General</c:formatCode>
                <c:ptCount val="4"/>
                <c:pt idx="0">
                  <c:v>724616220</c:v>
                </c:pt>
                <c:pt idx="1">
                  <c:v>723908636</c:v>
                </c:pt>
                <c:pt idx="2">
                  <c:v>723778560</c:v>
                </c:pt>
                <c:pt idx="3">
                  <c:v>723748236</c:v>
                </c:pt>
              </c:numCache>
            </c:numRef>
          </c:val>
        </c:ser>
        <c:ser>
          <c:idx val="2"/>
          <c:order val="2"/>
          <c:tx>
            <c:strRef>
              <c:f>Summary!A8</c:f>
              <c:strCache>
                <c:ptCount val="1"/>
                <c:pt idx="0">
                  <c:v>LossyStore lossless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Summary!$B$8:$E$8</c:f>
              <c:numCache>
                <c:formatCode>General</c:formatCode>
                <c:ptCount val="4"/>
                <c:pt idx="0">
                  <c:v>643275922</c:v>
                </c:pt>
                <c:pt idx="1">
                  <c:v>640065281</c:v>
                </c:pt>
                <c:pt idx="2">
                  <c:v>646112362</c:v>
                </c:pt>
                <c:pt idx="3">
                  <c:v>651555712</c:v>
                </c:pt>
              </c:numCache>
            </c:numRef>
          </c:val>
        </c:ser>
        <c:ser>
          <c:idx val="3"/>
          <c:order val="3"/>
          <c:tx>
            <c:strRef>
              <c:f>Summary!A9</c:f>
              <c:strCache>
                <c:ptCount val="1"/>
                <c:pt idx="0">
                  <c:v>LossyStore 0.1%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Summary!$B$9:$E$9</c:f>
              <c:numCache>
                <c:formatCode>General</c:formatCode>
                <c:ptCount val="4"/>
                <c:pt idx="0">
                  <c:v>395581079</c:v>
                </c:pt>
                <c:pt idx="1">
                  <c:v>405584451</c:v>
                </c:pt>
                <c:pt idx="2">
                  <c:v>415788665</c:v>
                </c:pt>
                <c:pt idx="3">
                  <c:v>422752179</c:v>
                </c:pt>
              </c:numCache>
            </c:numRef>
          </c:val>
        </c:ser>
        <c:ser>
          <c:idx val="4"/>
          <c:order val="4"/>
          <c:tx>
            <c:strRef>
              <c:f>Summary!A10</c:f>
              <c:strCache>
                <c:ptCount val="1"/>
                <c:pt idx="0">
                  <c:v>LossyStore 1%</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Summary!$B$10:$E$10</c:f>
              <c:numCache>
                <c:formatCode>General</c:formatCode>
                <c:ptCount val="4"/>
                <c:pt idx="0">
                  <c:v>374923574</c:v>
                </c:pt>
                <c:pt idx="1">
                  <c:v>385519644</c:v>
                </c:pt>
                <c:pt idx="2">
                  <c:v>396473093</c:v>
                </c:pt>
                <c:pt idx="3">
                  <c:v>402276030</c:v>
                </c:pt>
              </c:numCache>
            </c:numRef>
          </c:val>
        </c:ser>
        <c:ser>
          <c:idx val="5"/>
          <c:order val="5"/>
          <c:tx>
            <c:strRef>
              <c:f>Summary!A11</c:f>
              <c:strCache>
                <c:ptCount val="1"/>
                <c:pt idx="0">
                  <c:v>LossyStore 5%</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Summary!$B$5:$E$5</c:f>
              <c:strCache>
                <c:ptCount val="4"/>
                <c:pt idx="0">
                  <c:v>256 KB</c:v>
                </c:pt>
                <c:pt idx="1">
                  <c:v>1024 KB</c:v>
                </c:pt>
                <c:pt idx="2">
                  <c:v>4096 KB</c:v>
                </c:pt>
                <c:pt idx="3">
                  <c:v>16384 KB</c:v>
                </c:pt>
              </c:strCache>
            </c:strRef>
          </c:cat>
          <c:val>
            <c:numRef>
              <c:f>Summary!$B$11:$E$11</c:f>
              <c:numCache>
                <c:formatCode>General</c:formatCode>
                <c:ptCount val="4"/>
                <c:pt idx="0">
                  <c:v>362075569</c:v>
                </c:pt>
                <c:pt idx="1">
                  <c:v>370424249</c:v>
                </c:pt>
                <c:pt idx="2">
                  <c:v>378290835</c:v>
                </c:pt>
                <c:pt idx="3">
                  <c:v>380812616</c:v>
                </c:pt>
              </c:numCache>
            </c:numRef>
          </c:val>
        </c:ser>
        <c:gapWidth val="60"/>
        <c:overlap val="0"/>
        <c:axId val="81022296"/>
        <c:axId val="69985874"/>
      </c:barChart>
      <c:catAx>
        <c:axId val="81022296"/>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985874"/>
        <c:crosses val="autoZero"/>
        <c:auto val="1"/>
        <c:lblAlgn val="ctr"/>
        <c:lblOffset val="100"/>
        <c:noMultiLvlLbl val="0"/>
      </c:catAx>
      <c:valAx>
        <c:axId val="6998587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10222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Compression ratio by unit size</a:t>
            </a:r>
          </a:p>
        </c:rich>
      </c:tx>
      <c:overlay val="0"/>
      <c:spPr>
        <a:noFill/>
        <a:ln w="0">
          <a:noFill/>
        </a:ln>
      </c:spPr>
    </c:title>
    <c:autoTitleDeleted val="0"/>
    <c:plotArea>
      <c:lineChart>
        <c:grouping val="standard"/>
        <c:varyColors val="0"/>
        <c:ser>
          <c:idx val="0"/>
          <c:order val="0"/>
          <c:tx>
            <c:strRef>
              <c:f>Summary!A40</c:f>
              <c:strCache>
                <c:ptCount val="1"/>
                <c:pt idx="0">
                  <c:v>FileStore (raw)</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Summary!$B$39:$E$39</c:f>
              <c:strCache>
                <c:ptCount val="4"/>
                <c:pt idx="0">
                  <c:v>256 KB</c:v>
                </c:pt>
                <c:pt idx="1">
                  <c:v>1024 KB</c:v>
                </c:pt>
                <c:pt idx="2">
                  <c:v>4096 KB</c:v>
                </c:pt>
                <c:pt idx="3">
                  <c:v>16384 KB</c:v>
                </c:pt>
              </c:strCache>
            </c:strRef>
          </c:cat>
          <c:val>
            <c:numRef>
              <c:f>Summary!$B$40:$E$40</c:f>
              <c:numCache>
                <c:formatCode>General</c:formatCode>
                <c:ptCount val="4"/>
                <c:pt idx="0">
                  <c:v>0.999725</c:v>
                </c:pt>
                <c:pt idx="1">
                  <c:v>0.999931</c:v>
                </c:pt>
                <c:pt idx="2">
                  <c:v>0.999982</c:v>
                </c:pt>
                <c:pt idx="3">
                  <c:v>0.999995</c:v>
                </c:pt>
              </c:numCache>
            </c:numRef>
          </c:val>
          <c:smooth val="1"/>
        </c:ser>
        <c:ser>
          <c:idx val="1"/>
          <c:order val="1"/>
          <c:tx>
            <c:strRef>
              <c:f>Summary!A41</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Summary!$B$39:$E$39</c:f>
              <c:strCache>
                <c:ptCount val="4"/>
                <c:pt idx="0">
                  <c:v>256 KB</c:v>
                </c:pt>
                <c:pt idx="1">
                  <c:v>1024 KB</c:v>
                </c:pt>
                <c:pt idx="2">
                  <c:v>4096 KB</c:v>
                </c:pt>
                <c:pt idx="3">
                  <c:v>16384 KB</c:v>
                </c:pt>
              </c:strCache>
            </c:strRef>
          </c:cat>
          <c:val>
            <c:numRef>
              <c:f>Summary!$B$41:$E$41</c:f>
              <c:numCache>
                <c:formatCode>General</c:formatCode>
                <c:ptCount val="4"/>
                <c:pt idx="0">
                  <c:v>1.649977</c:v>
                </c:pt>
                <c:pt idx="1">
                  <c:v>1.65159</c:v>
                </c:pt>
                <c:pt idx="2">
                  <c:v>1.651886</c:v>
                </c:pt>
                <c:pt idx="3">
                  <c:v>1.651956</c:v>
                </c:pt>
              </c:numCache>
            </c:numRef>
          </c:val>
          <c:smooth val="1"/>
        </c:ser>
        <c:ser>
          <c:idx val="2"/>
          <c:order val="2"/>
          <c:tx>
            <c:strRef>
              <c:f>Summary!A42</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Summary!$B$39:$E$39</c:f>
              <c:strCache>
                <c:ptCount val="4"/>
                <c:pt idx="0">
                  <c:v>256 KB</c:v>
                </c:pt>
                <c:pt idx="1">
                  <c:v>1024 KB</c:v>
                </c:pt>
                <c:pt idx="2">
                  <c:v>4096 KB</c:v>
                </c:pt>
                <c:pt idx="3">
                  <c:v>16384 KB</c:v>
                </c:pt>
              </c:strCache>
            </c:strRef>
          </c:cat>
          <c:val>
            <c:numRef>
              <c:f>Summary!$B$42:$E$42</c:f>
              <c:numCache>
                <c:formatCode>General</c:formatCode>
                <c:ptCount val="4"/>
                <c:pt idx="0">
                  <c:v>1.858611</c:v>
                </c:pt>
                <c:pt idx="1">
                  <c:v>1.867934</c:v>
                </c:pt>
                <c:pt idx="2">
                  <c:v>1.850452</c:v>
                </c:pt>
                <c:pt idx="3">
                  <c:v>1.834993</c:v>
                </c:pt>
              </c:numCache>
            </c:numRef>
          </c:val>
          <c:smooth val="1"/>
        </c:ser>
        <c:ser>
          <c:idx val="3"/>
          <c:order val="3"/>
          <c:tx>
            <c:strRef>
              <c:f>Summary!A43</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Summary!$B$39:$E$39</c:f>
              <c:strCache>
                <c:ptCount val="4"/>
                <c:pt idx="0">
                  <c:v>256 KB</c:v>
                </c:pt>
                <c:pt idx="1">
                  <c:v>1024 KB</c:v>
                </c:pt>
                <c:pt idx="2">
                  <c:v>4096 KB</c:v>
                </c:pt>
                <c:pt idx="3">
                  <c:v>16384 KB</c:v>
                </c:pt>
              </c:strCache>
            </c:strRef>
          </c:cat>
          <c:val>
            <c:numRef>
              <c:f>Summary!$B$43:$E$43</c:f>
              <c:numCache>
                <c:formatCode>General</c:formatCode>
                <c:ptCount val="4"/>
                <c:pt idx="0">
                  <c:v>3.022389</c:v>
                </c:pt>
                <c:pt idx="1">
                  <c:v>2.947845</c:v>
                </c:pt>
                <c:pt idx="2">
                  <c:v>2.875499</c:v>
                </c:pt>
                <c:pt idx="3">
                  <c:v>2.828134</c:v>
                </c:pt>
              </c:numCache>
            </c:numRef>
          </c:val>
          <c:smooth val="1"/>
        </c:ser>
        <c:ser>
          <c:idx val="4"/>
          <c:order val="4"/>
          <c:tx>
            <c:strRef>
              <c:f>Summary!A44</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Summary!$B$39:$E$39</c:f>
              <c:strCache>
                <c:ptCount val="4"/>
                <c:pt idx="0">
                  <c:v>256 KB</c:v>
                </c:pt>
                <c:pt idx="1">
                  <c:v>1024 KB</c:v>
                </c:pt>
                <c:pt idx="2">
                  <c:v>4096 KB</c:v>
                </c:pt>
                <c:pt idx="3">
                  <c:v>16384 KB</c:v>
                </c:pt>
              </c:strCache>
            </c:strRef>
          </c:cat>
          <c:val>
            <c:numRef>
              <c:f>Summary!$B$44:$E$44</c:f>
              <c:numCache>
                <c:formatCode>General</c:formatCode>
                <c:ptCount val="4"/>
                <c:pt idx="0">
                  <c:v>3.188917</c:v>
                </c:pt>
                <c:pt idx="1">
                  <c:v>3.101269</c:v>
                </c:pt>
                <c:pt idx="2">
                  <c:v>3.015589</c:v>
                </c:pt>
                <c:pt idx="3">
                  <c:v>2.972089</c:v>
                </c:pt>
              </c:numCache>
            </c:numRef>
          </c:val>
          <c:smooth val="1"/>
        </c:ser>
        <c:ser>
          <c:idx val="5"/>
          <c:order val="5"/>
          <c:tx>
            <c:strRef>
              <c:f>Summary!A45</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Summary!$B$39:$E$39</c:f>
              <c:strCache>
                <c:ptCount val="4"/>
                <c:pt idx="0">
                  <c:v>256 KB</c:v>
                </c:pt>
                <c:pt idx="1">
                  <c:v>1024 KB</c:v>
                </c:pt>
                <c:pt idx="2">
                  <c:v>4096 KB</c:v>
                </c:pt>
                <c:pt idx="3">
                  <c:v>16384 KB</c:v>
                </c:pt>
              </c:strCache>
            </c:strRef>
          </c:cat>
          <c:val>
            <c:numRef>
              <c:f>Summary!$B$45:$E$45</c:f>
              <c:numCache>
                <c:formatCode>General</c:formatCode>
                <c:ptCount val="4"/>
                <c:pt idx="0">
                  <c:v>3.302073</c:v>
                </c:pt>
                <c:pt idx="1">
                  <c:v>3.22765</c:v>
                </c:pt>
                <c:pt idx="2">
                  <c:v>3.160531</c:v>
                </c:pt>
                <c:pt idx="3">
                  <c:v>3.139602</c:v>
                </c:pt>
              </c:numCache>
            </c:numRef>
          </c:val>
          <c:smooth val="1"/>
        </c:ser>
        <c:hiLowLines>
          <c:spPr>
            <a:ln w="0">
              <a:noFill/>
            </a:ln>
          </c:spPr>
        </c:hiLowLines>
        <c:marker val="0"/>
        <c:axId val="13501408"/>
        <c:axId val="97802044"/>
      </c:lineChart>
      <c:catAx>
        <c:axId val="1350140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802044"/>
        <c:crosses val="autoZero"/>
        <c:auto val="1"/>
        <c:lblAlgn val="ctr"/>
        <c:lblOffset val="100"/>
        <c:noMultiLvlLbl val="0"/>
      </c:catAx>
      <c:valAx>
        <c:axId val="9780204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50140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Write query seconds, against a query with no store</a:t>
            </a:r>
          </a:p>
        </c:rich>
      </c:tx>
      <c:overlay val="0"/>
      <c:spPr>
        <a:noFill/>
        <a:ln w="0">
          <a:noFill/>
        </a:ln>
      </c:spPr>
    </c:title>
    <c:autoTitleDeleted val="0"/>
    <c:plotArea>
      <c:barChart>
        <c:barDir val="col"/>
        <c:grouping val="clustered"/>
        <c:varyColors val="0"/>
        <c:ser>
          <c:idx val="0"/>
          <c:order val="0"/>
          <c:tx>
            <c:strRef>
              <c:f>Summary!A74</c:f>
              <c:strCache>
                <c:ptCount val="1"/>
                <c:pt idx="0">
                  <c:v>FileStore (raw)</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Summary!$B$73:$E$73</c:f>
              <c:strCache>
                <c:ptCount val="4"/>
                <c:pt idx="0">
                  <c:v>256 KB</c:v>
                </c:pt>
                <c:pt idx="1">
                  <c:v>1024 KB</c:v>
                </c:pt>
                <c:pt idx="2">
                  <c:v>4096 KB</c:v>
                </c:pt>
                <c:pt idx="3">
                  <c:v>16384 KB</c:v>
                </c:pt>
              </c:strCache>
            </c:strRef>
          </c:cat>
          <c:val>
            <c:numRef>
              <c:f>Summary!$B$74:$E$74</c:f>
              <c:numCache>
                <c:formatCode>General</c:formatCode>
                <c:ptCount val="4"/>
                <c:pt idx="0">
                  <c:v>27.8315</c:v>
                </c:pt>
                <c:pt idx="1">
                  <c:v>27.5565</c:v>
                </c:pt>
                <c:pt idx="2">
                  <c:v>28.4896</c:v>
                </c:pt>
                <c:pt idx="3">
                  <c:v>27.8012</c:v>
                </c:pt>
              </c:numCache>
            </c:numRef>
          </c:val>
        </c:ser>
        <c:ser>
          <c:idx val="1"/>
          <c:order val="1"/>
          <c:tx>
            <c:strRef>
              <c:f>Summary!A75</c:f>
              <c:strCache>
                <c:ptCount val="1"/>
                <c:pt idx="0">
                  <c:v>CompressedStore</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Summary!$B$73:$E$73</c:f>
              <c:strCache>
                <c:ptCount val="4"/>
                <c:pt idx="0">
                  <c:v>256 KB</c:v>
                </c:pt>
                <c:pt idx="1">
                  <c:v>1024 KB</c:v>
                </c:pt>
                <c:pt idx="2">
                  <c:v>4096 KB</c:v>
                </c:pt>
                <c:pt idx="3">
                  <c:v>16384 KB</c:v>
                </c:pt>
              </c:strCache>
            </c:strRef>
          </c:cat>
          <c:val>
            <c:numRef>
              <c:f>Summary!$B$75:$E$75</c:f>
              <c:numCache>
                <c:formatCode>General</c:formatCode>
                <c:ptCount val="4"/>
                <c:pt idx="0">
                  <c:v>34.0164</c:v>
                </c:pt>
                <c:pt idx="1">
                  <c:v>33.1633</c:v>
                </c:pt>
                <c:pt idx="2">
                  <c:v>34.3937</c:v>
                </c:pt>
                <c:pt idx="3">
                  <c:v>36.2321</c:v>
                </c:pt>
              </c:numCache>
            </c:numRef>
          </c:val>
        </c:ser>
        <c:ser>
          <c:idx val="2"/>
          <c:order val="2"/>
          <c:tx>
            <c:strRef>
              <c:f>Summary!A76</c:f>
              <c:strCache>
                <c:ptCount val="1"/>
                <c:pt idx="0">
                  <c:v>LossyStore lossless</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Summary!$B$73:$E$73</c:f>
              <c:strCache>
                <c:ptCount val="4"/>
                <c:pt idx="0">
                  <c:v>256 KB</c:v>
                </c:pt>
                <c:pt idx="1">
                  <c:v>1024 KB</c:v>
                </c:pt>
                <c:pt idx="2">
                  <c:v>4096 KB</c:v>
                </c:pt>
                <c:pt idx="3">
                  <c:v>16384 KB</c:v>
                </c:pt>
              </c:strCache>
            </c:strRef>
          </c:cat>
          <c:val>
            <c:numRef>
              <c:f>Summary!$B$76:$E$76</c:f>
              <c:numCache>
                <c:formatCode>General</c:formatCode>
                <c:ptCount val="4"/>
                <c:pt idx="0">
                  <c:v>32.017</c:v>
                </c:pt>
                <c:pt idx="1">
                  <c:v>31.0179</c:v>
                </c:pt>
                <c:pt idx="2">
                  <c:v>32.7766</c:v>
                </c:pt>
                <c:pt idx="3">
                  <c:v>32.6821</c:v>
                </c:pt>
              </c:numCache>
            </c:numRef>
          </c:val>
        </c:ser>
        <c:ser>
          <c:idx val="3"/>
          <c:order val="3"/>
          <c:tx>
            <c:strRef>
              <c:f>Summary!A77</c:f>
              <c:strCache>
                <c:ptCount val="1"/>
                <c:pt idx="0">
                  <c:v>LossyStore 0.1%</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Summary!$B$73:$E$73</c:f>
              <c:strCache>
                <c:ptCount val="4"/>
                <c:pt idx="0">
                  <c:v>256 KB</c:v>
                </c:pt>
                <c:pt idx="1">
                  <c:v>1024 KB</c:v>
                </c:pt>
                <c:pt idx="2">
                  <c:v>4096 KB</c:v>
                </c:pt>
                <c:pt idx="3">
                  <c:v>16384 KB</c:v>
                </c:pt>
              </c:strCache>
            </c:strRef>
          </c:cat>
          <c:val>
            <c:numRef>
              <c:f>Summary!$B$77:$E$77</c:f>
              <c:numCache>
                <c:formatCode>General</c:formatCode>
                <c:ptCount val="4"/>
                <c:pt idx="0">
                  <c:v>31.9136</c:v>
                </c:pt>
                <c:pt idx="1">
                  <c:v>30.3721</c:v>
                </c:pt>
                <c:pt idx="2">
                  <c:v>30.7451</c:v>
                </c:pt>
                <c:pt idx="3">
                  <c:v>30.7901</c:v>
                </c:pt>
              </c:numCache>
            </c:numRef>
          </c:val>
        </c:ser>
        <c:ser>
          <c:idx val="4"/>
          <c:order val="4"/>
          <c:tx>
            <c:strRef>
              <c:f>Summary!A78</c:f>
              <c:strCache>
                <c:ptCount val="1"/>
                <c:pt idx="0">
                  <c:v>LossyStore 1%</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Summary!$B$73:$E$73</c:f>
              <c:strCache>
                <c:ptCount val="4"/>
                <c:pt idx="0">
                  <c:v>256 KB</c:v>
                </c:pt>
                <c:pt idx="1">
                  <c:v>1024 KB</c:v>
                </c:pt>
                <c:pt idx="2">
                  <c:v>4096 KB</c:v>
                </c:pt>
                <c:pt idx="3">
                  <c:v>16384 KB</c:v>
                </c:pt>
              </c:strCache>
            </c:strRef>
          </c:cat>
          <c:val>
            <c:numRef>
              <c:f>Summary!$B$78:$E$78</c:f>
              <c:numCache>
                <c:formatCode>General</c:formatCode>
                <c:ptCount val="4"/>
                <c:pt idx="0">
                  <c:v>31.7757</c:v>
                </c:pt>
                <c:pt idx="1">
                  <c:v>30.9375</c:v>
                </c:pt>
                <c:pt idx="2">
                  <c:v>31.1061</c:v>
                </c:pt>
                <c:pt idx="3">
                  <c:v>30.5885</c:v>
                </c:pt>
              </c:numCache>
            </c:numRef>
          </c:val>
        </c:ser>
        <c:ser>
          <c:idx val="5"/>
          <c:order val="5"/>
          <c:tx>
            <c:strRef>
              <c:f>Summary!A79</c:f>
              <c:strCache>
                <c:ptCount val="1"/>
                <c:pt idx="0">
                  <c:v>LossyStore 5%</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Summary!$B$73:$E$73</c:f>
              <c:strCache>
                <c:ptCount val="4"/>
                <c:pt idx="0">
                  <c:v>256 KB</c:v>
                </c:pt>
                <c:pt idx="1">
                  <c:v>1024 KB</c:v>
                </c:pt>
                <c:pt idx="2">
                  <c:v>4096 KB</c:v>
                </c:pt>
                <c:pt idx="3">
                  <c:v>16384 KB</c:v>
                </c:pt>
              </c:strCache>
            </c:strRef>
          </c:cat>
          <c:val>
            <c:numRef>
              <c:f>Summary!$B$79:$E$79</c:f>
              <c:numCache>
                <c:formatCode>General</c:formatCode>
                <c:ptCount val="4"/>
                <c:pt idx="0">
                  <c:v>31.8938</c:v>
                </c:pt>
                <c:pt idx="1">
                  <c:v>30.5255</c:v>
                </c:pt>
                <c:pt idx="2">
                  <c:v>31.7295</c:v>
                </c:pt>
                <c:pt idx="3">
                  <c:v>31.6</c:v>
                </c:pt>
              </c:numCache>
            </c:numRef>
          </c:val>
        </c:ser>
        <c:gapWidth val="60"/>
        <c:overlap val="0"/>
        <c:axId val="66495382"/>
        <c:axId val="51949650"/>
      </c:barChart>
      <c:lineChart>
        <c:grouping val="standard"/>
        <c:varyColors val="0"/>
        <c:ser>
          <c:idx val="6"/>
          <c:order val="6"/>
          <c:tx>
            <c:strRef>
              <c:f>Summary!A80</c:f>
              <c:strCache>
                <c:ptCount val="1"/>
                <c:pt idx="0">
                  <c:v>normal query (no store)</c:v>
                </c:pt>
              </c:strCache>
            </c:strRef>
          </c:tx>
          <c:spPr>
            <a:solidFill>
              <a:srgbClr val="c00000"/>
            </a:solidFill>
            <a:ln w="2808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Summary!$B$73:$E$73</c:f>
              <c:strCache>
                <c:ptCount val="4"/>
                <c:pt idx="0">
                  <c:v>256 KB</c:v>
                </c:pt>
                <c:pt idx="1">
                  <c:v>1024 KB</c:v>
                </c:pt>
                <c:pt idx="2">
                  <c:v>4096 KB</c:v>
                </c:pt>
                <c:pt idx="3">
                  <c:v>16384 KB</c:v>
                </c:pt>
              </c:strCache>
            </c:strRef>
          </c:cat>
          <c:val>
            <c:numRef>
              <c:f>Summary!$B$80:$E$80</c:f>
              <c:numCache>
                <c:formatCode>General</c:formatCode>
                <c:ptCount val="4"/>
                <c:pt idx="0">
                  <c:v>20.7321</c:v>
                </c:pt>
                <c:pt idx="1">
                  <c:v>20.7883</c:v>
                </c:pt>
                <c:pt idx="2">
                  <c:v>21.1554</c:v>
                </c:pt>
                <c:pt idx="3">
                  <c:v>20.7318</c:v>
                </c:pt>
              </c:numCache>
            </c:numRef>
          </c:val>
          <c:smooth val="0"/>
        </c:ser>
        <c:hiLowLines>
          <c:spPr>
            <a:ln w="0">
              <a:noFill/>
            </a:ln>
          </c:spPr>
        </c:hiLowLines>
        <c:marker val="0"/>
        <c:axId val="66495382"/>
        <c:axId val="51949650"/>
      </c:lineChart>
      <c:catAx>
        <c:axId val="664953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949650"/>
        <c:crosses val="autoZero"/>
        <c:auto val="1"/>
        <c:lblAlgn val="ctr"/>
        <c:lblOffset val="100"/>
        <c:noMultiLvlLbl val="0"/>
      </c:catAx>
      <c:valAx>
        <c:axId val="5194965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64953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Read-back seconds, against a query with no store</a:t>
            </a:r>
          </a:p>
        </c:rich>
      </c:tx>
      <c:overlay val="0"/>
      <c:spPr>
        <a:noFill/>
        <a:ln w="0">
          <a:noFill/>
        </a:ln>
      </c:spPr>
    </c:title>
    <c:autoTitleDeleted val="0"/>
    <c:plotArea>
      <c:barChart>
        <c:barDir val="col"/>
        <c:grouping val="clustered"/>
        <c:varyColors val="0"/>
        <c:ser>
          <c:idx val="0"/>
          <c:order val="0"/>
          <c:tx>
            <c:strRef>
              <c:f>Summary!A109</c:f>
              <c:strCache>
                <c:ptCount val="1"/>
                <c:pt idx="0">
                  <c:v>FileStore (raw)</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Summary!$B$108:$E$108</c:f>
              <c:strCache>
                <c:ptCount val="4"/>
                <c:pt idx="0">
                  <c:v>256 KB</c:v>
                </c:pt>
                <c:pt idx="1">
                  <c:v>1024 KB</c:v>
                </c:pt>
                <c:pt idx="2">
                  <c:v>4096 KB</c:v>
                </c:pt>
                <c:pt idx="3">
                  <c:v>16384 KB</c:v>
                </c:pt>
              </c:strCache>
            </c:strRef>
          </c:cat>
          <c:val>
            <c:numRef>
              <c:f>Summary!$B$109:$E$109</c:f>
              <c:numCache>
                <c:formatCode>General</c:formatCode>
                <c:ptCount val="4"/>
                <c:pt idx="0">
                  <c:v>10.9249</c:v>
                </c:pt>
                <c:pt idx="1">
                  <c:v>10.2081</c:v>
                </c:pt>
                <c:pt idx="2">
                  <c:v>9.832</c:v>
                </c:pt>
                <c:pt idx="3">
                  <c:v>10.232</c:v>
                </c:pt>
              </c:numCache>
            </c:numRef>
          </c:val>
        </c:ser>
        <c:ser>
          <c:idx val="1"/>
          <c:order val="1"/>
          <c:tx>
            <c:strRef>
              <c:f>Summary!A110</c:f>
              <c:strCache>
                <c:ptCount val="1"/>
                <c:pt idx="0">
                  <c:v>CompressedStore</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Summary!$B$108:$E$108</c:f>
              <c:strCache>
                <c:ptCount val="4"/>
                <c:pt idx="0">
                  <c:v>256 KB</c:v>
                </c:pt>
                <c:pt idx="1">
                  <c:v>1024 KB</c:v>
                </c:pt>
                <c:pt idx="2">
                  <c:v>4096 KB</c:v>
                </c:pt>
                <c:pt idx="3">
                  <c:v>16384 KB</c:v>
                </c:pt>
              </c:strCache>
            </c:strRef>
          </c:cat>
          <c:val>
            <c:numRef>
              <c:f>Summary!$B$110:$E$110</c:f>
              <c:numCache>
                <c:formatCode>General</c:formatCode>
                <c:ptCount val="4"/>
                <c:pt idx="0">
                  <c:v>9.6512</c:v>
                </c:pt>
                <c:pt idx="1">
                  <c:v>9.5181</c:v>
                </c:pt>
                <c:pt idx="2">
                  <c:v>9.9165</c:v>
                </c:pt>
                <c:pt idx="3">
                  <c:v>9.8915</c:v>
                </c:pt>
              </c:numCache>
            </c:numRef>
          </c:val>
        </c:ser>
        <c:ser>
          <c:idx val="2"/>
          <c:order val="2"/>
          <c:tx>
            <c:strRef>
              <c:f>Summary!A111</c:f>
              <c:strCache>
                <c:ptCount val="1"/>
                <c:pt idx="0">
                  <c:v>LossyStore lossless</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Summary!$B$108:$E$108</c:f>
              <c:strCache>
                <c:ptCount val="4"/>
                <c:pt idx="0">
                  <c:v>256 KB</c:v>
                </c:pt>
                <c:pt idx="1">
                  <c:v>1024 KB</c:v>
                </c:pt>
                <c:pt idx="2">
                  <c:v>4096 KB</c:v>
                </c:pt>
                <c:pt idx="3">
                  <c:v>16384 KB</c:v>
                </c:pt>
              </c:strCache>
            </c:strRef>
          </c:cat>
          <c:val>
            <c:numRef>
              <c:f>Summary!$B$111:$E$111</c:f>
              <c:numCache>
                <c:formatCode>General</c:formatCode>
                <c:ptCount val="4"/>
                <c:pt idx="0">
                  <c:v>10.3771</c:v>
                </c:pt>
                <c:pt idx="1">
                  <c:v>9.8422</c:v>
                </c:pt>
                <c:pt idx="2">
                  <c:v>9.9102</c:v>
                </c:pt>
                <c:pt idx="3">
                  <c:v>9.9934</c:v>
                </c:pt>
              </c:numCache>
            </c:numRef>
          </c:val>
        </c:ser>
        <c:ser>
          <c:idx val="3"/>
          <c:order val="3"/>
          <c:tx>
            <c:strRef>
              <c:f>Summary!A112</c:f>
              <c:strCache>
                <c:ptCount val="1"/>
                <c:pt idx="0">
                  <c:v>LossyStore 0.1%</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Summary!$B$108:$E$108</c:f>
              <c:strCache>
                <c:ptCount val="4"/>
                <c:pt idx="0">
                  <c:v>256 KB</c:v>
                </c:pt>
                <c:pt idx="1">
                  <c:v>1024 KB</c:v>
                </c:pt>
                <c:pt idx="2">
                  <c:v>4096 KB</c:v>
                </c:pt>
                <c:pt idx="3">
                  <c:v>16384 KB</c:v>
                </c:pt>
              </c:strCache>
            </c:strRef>
          </c:cat>
          <c:val>
            <c:numRef>
              <c:f>Summary!$B$112:$E$112</c:f>
              <c:numCache>
                <c:formatCode>General</c:formatCode>
                <c:ptCount val="4"/>
                <c:pt idx="0">
                  <c:v>9.9668</c:v>
                </c:pt>
                <c:pt idx="1">
                  <c:v>9.9944</c:v>
                </c:pt>
                <c:pt idx="2">
                  <c:v>9.9176</c:v>
                </c:pt>
                <c:pt idx="3">
                  <c:v>9.9976</c:v>
                </c:pt>
              </c:numCache>
            </c:numRef>
          </c:val>
        </c:ser>
        <c:ser>
          <c:idx val="4"/>
          <c:order val="4"/>
          <c:tx>
            <c:strRef>
              <c:f>Summary!A113</c:f>
              <c:strCache>
                <c:ptCount val="1"/>
                <c:pt idx="0">
                  <c:v>LossyStore 1%</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Summary!$B$108:$E$108</c:f>
              <c:strCache>
                <c:ptCount val="4"/>
                <c:pt idx="0">
                  <c:v>256 KB</c:v>
                </c:pt>
                <c:pt idx="1">
                  <c:v>1024 KB</c:v>
                </c:pt>
                <c:pt idx="2">
                  <c:v>4096 KB</c:v>
                </c:pt>
                <c:pt idx="3">
                  <c:v>16384 KB</c:v>
                </c:pt>
              </c:strCache>
            </c:strRef>
          </c:cat>
          <c:val>
            <c:numRef>
              <c:f>Summary!$B$113:$E$113</c:f>
              <c:numCache>
                <c:formatCode>General</c:formatCode>
                <c:ptCount val="4"/>
                <c:pt idx="0">
                  <c:v>9.9096</c:v>
                </c:pt>
                <c:pt idx="1">
                  <c:v>9.9524</c:v>
                </c:pt>
                <c:pt idx="2">
                  <c:v>10.0552</c:v>
                </c:pt>
                <c:pt idx="3">
                  <c:v>9.9678</c:v>
                </c:pt>
              </c:numCache>
            </c:numRef>
          </c:val>
        </c:ser>
        <c:ser>
          <c:idx val="5"/>
          <c:order val="5"/>
          <c:tx>
            <c:strRef>
              <c:f>Summary!A114</c:f>
              <c:strCache>
                <c:ptCount val="1"/>
                <c:pt idx="0">
                  <c:v>LossyStore 5%</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Summary!$B$108:$E$108</c:f>
              <c:strCache>
                <c:ptCount val="4"/>
                <c:pt idx="0">
                  <c:v>256 KB</c:v>
                </c:pt>
                <c:pt idx="1">
                  <c:v>1024 KB</c:v>
                </c:pt>
                <c:pt idx="2">
                  <c:v>4096 KB</c:v>
                </c:pt>
                <c:pt idx="3">
                  <c:v>16384 KB</c:v>
                </c:pt>
              </c:strCache>
            </c:strRef>
          </c:cat>
          <c:val>
            <c:numRef>
              <c:f>Summary!$B$114:$E$114</c:f>
              <c:numCache>
                <c:formatCode>General</c:formatCode>
                <c:ptCount val="4"/>
                <c:pt idx="0">
                  <c:v>9.9197</c:v>
                </c:pt>
                <c:pt idx="1">
                  <c:v>10.7078</c:v>
                </c:pt>
                <c:pt idx="2">
                  <c:v>9.8691</c:v>
                </c:pt>
                <c:pt idx="3">
                  <c:v>10.2527</c:v>
                </c:pt>
              </c:numCache>
            </c:numRef>
          </c:val>
        </c:ser>
        <c:gapWidth val="60"/>
        <c:overlap val="0"/>
        <c:axId val="14925155"/>
        <c:axId val="2449455"/>
      </c:barChart>
      <c:lineChart>
        <c:grouping val="standard"/>
        <c:varyColors val="0"/>
        <c:ser>
          <c:idx val="6"/>
          <c:order val="6"/>
          <c:tx>
            <c:strRef>
              <c:f>Summary!A115</c:f>
              <c:strCache>
                <c:ptCount val="1"/>
                <c:pt idx="0">
                  <c:v>normal query (no store)</c:v>
                </c:pt>
              </c:strCache>
            </c:strRef>
          </c:tx>
          <c:spPr>
            <a:solidFill>
              <a:srgbClr val="c00000"/>
            </a:solidFill>
            <a:ln w="2808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Summary!$B$108:$E$108</c:f>
              <c:strCache>
                <c:ptCount val="4"/>
                <c:pt idx="0">
                  <c:v>256 KB</c:v>
                </c:pt>
                <c:pt idx="1">
                  <c:v>1024 KB</c:v>
                </c:pt>
                <c:pt idx="2">
                  <c:v>4096 KB</c:v>
                </c:pt>
                <c:pt idx="3">
                  <c:v>16384 KB</c:v>
                </c:pt>
              </c:strCache>
            </c:strRef>
          </c:cat>
          <c:val>
            <c:numRef>
              <c:f>Summary!$B$115:$E$115</c:f>
              <c:numCache>
                <c:formatCode>General</c:formatCode>
                <c:ptCount val="4"/>
                <c:pt idx="0">
                  <c:v>20.7321</c:v>
                </c:pt>
                <c:pt idx="1">
                  <c:v>20.7883</c:v>
                </c:pt>
                <c:pt idx="2">
                  <c:v>21.1554</c:v>
                </c:pt>
                <c:pt idx="3">
                  <c:v>20.7318</c:v>
                </c:pt>
              </c:numCache>
            </c:numRef>
          </c:val>
          <c:smooth val="0"/>
        </c:ser>
        <c:hiLowLines>
          <c:spPr>
            <a:ln w="0">
              <a:noFill/>
            </a:ln>
          </c:spPr>
        </c:hiLowLines>
        <c:marker val="0"/>
        <c:axId val="14925155"/>
        <c:axId val="2449455"/>
      </c:lineChart>
      <c:catAx>
        <c:axId val="1492515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49455"/>
        <c:crosses val="autoZero"/>
        <c:auto val="1"/>
        <c:lblAlgn val="ctr"/>
        <c:lblOffset val="100"/>
        <c:noMultiLvlLbl val="0"/>
      </c:catAx>
      <c:valAx>
        <c:axId val="244945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92515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Bytes on disk by configuration</a:t>
            </a:r>
          </a:p>
        </c:rich>
      </c:tx>
      <c:overlay val="0"/>
      <c:spPr>
        <a:noFill/>
        <a:ln w="0">
          <a:noFill/>
        </a:ln>
      </c:spPr>
    </c:title>
    <c:autoTitleDeleted val="0"/>
    <c:plotArea>
      <c:barChart>
        <c:barDir val="col"/>
        <c:grouping val="clustered"/>
        <c:varyColors val="0"/>
        <c:ser>
          <c:idx val="0"/>
          <c:order val="0"/>
          <c:tx>
            <c:strRef>
              <c:f>Sizes!A6</c:f>
              <c:strCache>
                <c:ptCount val="1"/>
                <c:pt idx="0">
                  <c:v>FileStore (raw)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Sizes!$B$5:$E$5</c:f>
              <c:strCache>
                <c:ptCount val="4"/>
                <c:pt idx="0">
                  <c:v>256 KB</c:v>
                </c:pt>
                <c:pt idx="1">
                  <c:v>1024 KB</c:v>
                </c:pt>
                <c:pt idx="2">
                  <c:v>4096 KB</c:v>
                </c:pt>
                <c:pt idx="3">
                  <c:v>16384 KB</c:v>
                </c:pt>
              </c:strCache>
            </c:strRef>
          </c:cat>
          <c:val>
            <c:numRef>
              <c:f>Sizes!$B$6:$E$6</c:f>
              <c:numCache>
                <c:formatCode>General</c:formatCode>
                <c:ptCount val="4"/>
                <c:pt idx="0">
                  <c:v>1195928436</c:v>
                </c:pt>
                <c:pt idx="1">
                  <c:v>1195682676</c:v>
                </c:pt>
                <c:pt idx="2">
                  <c:v>1195621236</c:v>
                </c:pt>
                <c:pt idx="3">
                  <c:v>1195605876</c:v>
                </c:pt>
              </c:numCache>
            </c:numRef>
          </c:val>
        </c:ser>
        <c:ser>
          <c:idx val="1"/>
          <c:order val="1"/>
          <c:tx>
            <c:strRef>
              <c:f>Sizes!A7</c:f>
              <c:strCache>
                <c:ptCount val="1"/>
                <c:pt idx="0">
                  <c:v>CompressedStore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Sizes!$B$5:$E$5</c:f>
              <c:strCache>
                <c:ptCount val="4"/>
                <c:pt idx="0">
                  <c:v>256 KB</c:v>
                </c:pt>
                <c:pt idx="1">
                  <c:v>1024 KB</c:v>
                </c:pt>
                <c:pt idx="2">
                  <c:v>4096 KB</c:v>
                </c:pt>
                <c:pt idx="3">
                  <c:v>16384 KB</c:v>
                </c:pt>
              </c:strCache>
            </c:strRef>
          </c:cat>
          <c:val>
            <c:numRef>
              <c:f>Sizes!$B$7:$E$7</c:f>
              <c:numCache>
                <c:formatCode>General</c:formatCode>
                <c:ptCount val="4"/>
                <c:pt idx="0">
                  <c:v>724616220</c:v>
                </c:pt>
                <c:pt idx="1">
                  <c:v>723908636</c:v>
                </c:pt>
                <c:pt idx="2">
                  <c:v>723778560</c:v>
                </c:pt>
                <c:pt idx="3">
                  <c:v>723748236</c:v>
                </c:pt>
              </c:numCache>
            </c:numRef>
          </c:val>
        </c:ser>
        <c:ser>
          <c:idx val="2"/>
          <c:order val="2"/>
          <c:tx>
            <c:strRef>
              <c:f>Sizes!A8</c:f>
              <c:strCache>
                <c:ptCount val="1"/>
                <c:pt idx="0">
                  <c:v>LossyStore lossless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Sizes!$B$5:$E$5</c:f>
              <c:strCache>
                <c:ptCount val="4"/>
                <c:pt idx="0">
                  <c:v>256 KB</c:v>
                </c:pt>
                <c:pt idx="1">
                  <c:v>1024 KB</c:v>
                </c:pt>
                <c:pt idx="2">
                  <c:v>4096 KB</c:v>
                </c:pt>
                <c:pt idx="3">
                  <c:v>16384 KB</c:v>
                </c:pt>
              </c:strCache>
            </c:strRef>
          </c:cat>
          <c:val>
            <c:numRef>
              <c:f>Sizes!$B$8:$E$8</c:f>
              <c:numCache>
                <c:formatCode>General</c:formatCode>
                <c:ptCount val="4"/>
                <c:pt idx="0">
                  <c:v>643275922</c:v>
                </c:pt>
                <c:pt idx="1">
                  <c:v>640065281</c:v>
                </c:pt>
                <c:pt idx="2">
                  <c:v>646112362</c:v>
                </c:pt>
                <c:pt idx="3">
                  <c:v>651555712</c:v>
                </c:pt>
              </c:numCache>
            </c:numRef>
          </c:val>
        </c:ser>
        <c:ser>
          <c:idx val="3"/>
          <c:order val="3"/>
          <c:tx>
            <c:strRef>
              <c:f>Sizes!A9</c:f>
              <c:strCache>
                <c:ptCount val="1"/>
                <c:pt idx="0">
                  <c:v>LossyStore 0.1%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Sizes!$B$5:$E$5</c:f>
              <c:strCache>
                <c:ptCount val="4"/>
                <c:pt idx="0">
                  <c:v>256 KB</c:v>
                </c:pt>
                <c:pt idx="1">
                  <c:v>1024 KB</c:v>
                </c:pt>
                <c:pt idx="2">
                  <c:v>4096 KB</c:v>
                </c:pt>
                <c:pt idx="3">
                  <c:v>16384 KB</c:v>
                </c:pt>
              </c:strCache>
            </c:strRef>
          </c:cat>
          <c:val>
            <c:numRef>
              <c:f>Sizes!$B$9:$E$9</c:f>
              <c:numCache>
                <c:formatCode>General</c:formatCode>
                <c:ptCount val="4"/>
                <c:pt idx="0">
                  <c:v>395581079</c:v>
                </c:pt>
                <c:pt idx="1">
                  <c:v>405584451</c:v>
                </c:pt>
                <c:pt idx="2">
                  <c:v>415788665</c:v>
                </c:pt>
                <c:pt idx="3">
                  <c:v>422752179</c:v>
                </c:pt>
              </c:numCache>
            </c:numRef>
          </c:val>
        </c:ser>
        <c:ser>
          <c:idx val="4"/>
          <c:order val="4"/>
          <c:tx>
            <c:strRef>
              <c:f>Sizes!A10</c:f>
              <c:strCache>
                <c:ptCount val="1"/>
                <c:pt idx="0">
                  <c:v>LossyStore 1%</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Sizes!$B$5:$E$5</c:f>
              <c:strCache>
                <c:ptCount val="4"/>
                <c:pt idx="0">
                  <c:v>256 KB</c:v>
                </c:pt>
                <c:pt idx="1">
                  <c:v>1024 KB</c:v>
                </c:pt>
                <c:pt idx="2">
                  <c:v>4096 KB</c:v>
                </c:pt>
                <c:pt idx="3">
                  <c:v>16384 KB</c:v>
                </c:pt>
              </c:strCache>
            </c:strRef>
          </c:cat>
          <c:val>
            <c:numRef>
              <c:f>Sizes!$B$10:$E$10</c:f>
              <c:numCache>
                <c:formatCode>General</c:formatCode>
                <c:ptCount val="4"/>
                <c:pt idx="0">
                  <c:v>374923574</c:v>
                </c:pt>
                <c:pt idx="1">
                  <c:v>385519644</c:v>
                </c:pt>
                <c:pt idx="2">
                  <c:v>396473093</c:v>
                </c:pt>
                <c:pt idx="3">
                  <c:v>402276030</c:v>
                </c:pt>
              </c:numCache>
            </c:numRef>
          </c:val>
        </c:ser>
        <c:ser>
          <c:idx val="5"/>
          <c:order val="5"/>
          <c:tx>
            <c:strRef>
              <c:f>Sizes!A11</c:f>
              <c:strCache>
                <c:ptCount val="1"/>
                <c:pt idx="0">
                  <c:v>LossyStore 5%</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Sizes!$B$5:$E$5</c:f>
              <c:strCache>
                <c:ptCount val="4"/>
                <c:pt idx="0">
                  <c:v>256 KB</c:v>
                </c:pt>
                <c:pt idx="1">
                  <c:v>1024 KB</c:v>
                </c:pt>
                <c:pt idx="2">
                  <c:v>4096 KB</c:v>
                </c:pt>
                <c:pt idx="3">
                  <c:v>16384 KB</c:v>
                </c:pt>
              </c:strCache>
            </c:strRef>
          </c:cat>
          <c:val>
            <c:numRef>
              <c:f>Sizes!$B$11:$E$11</c:f>
              <c:numCache>
                <c:formatCode>General</c:formatCode>
                <c:ptCount val="4"/>
                <c:pt idx="0">
                  <c:v>362075569</c:v>
                </c:pt>
                <c:pt idx="1">
                  <c:v>370424249</c:v>
                </c:pt>
                <c:pt idx="2">
                  <c:v>378290835</c:v>
                </c:pt>
                <c:pt idx="3">
                  <c:v>380812616</c:v>
                </c:pt>
              </c:numCache>
            </c:numRef>
          </c:val>
        </c:ser>
        <c:gapWidth val="60"/>
        <c:overlap val="0"/>
        <c:axId val="14132112"/>
        <c:axId val="20072384"/>
      </c:barChart>
      <c:catAx>
        <c:axId val="1413211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0072384"/>
        <c:crosses val="autoZero"/>
        <c:auto val="1"/>
        <c:lblAlgn val="ctr"/>
        <c:lblOffset val="100"/>
        <c:noMultiLvlLbl val="0"/>
      </c:catAx>
      <c:valAx>
        <c:axId val="200723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1321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Encoded bytes by configuration</a:t>
            </a:r>
          </a:p>
        </c:rich>
      </c:tx>
      <c:overlay val="0"/>
      <c:spPr>
        <a:noFill/>
        <a:ln w="0">
          <a:noFill/>
        </a:ln>
      </c:spPr>
    </c:title>
    <c:autoTitleDeleted val="0"/>
    <c:plotArea>
      <c:barChart>
        <c:barDir val="col"/>
        <c:grouping val="clustered"/>
        <c:varyColors val="0"/>
        <c:ser>
          <c:idx val="0"/>
          <c:order val="0"/>
          <c:tx>
            <c:strRef>
              <c:f>Sizes!A41</c:f>
              <c:strCache>
                <c:ptCount val="1"/>
                <c:pt idx="0">
                  <c:v>FileStore (raw)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Sizes!$B$40:$E$40</c:f>
              <c:strCache>
                <c:ptCount val="4"/>
                <c:pt idx="0">
                  <c:v>256 KB</c:v>
                </c:pt>
                <c:pt idx="1">
                  <c:v>1024 KB</c:v>
                </c:pt>
                <c:pt idx="2">
                  <c:v>4096 KB</c:v>
                </c:pt>
                <c:pt idx="3">
                  <c:v>16384 KB</c:v>
                </c:pt>
              </c:strCache>
            </c:strRef>
          </c:cat>
          <c:val>
            <c:numRef>
              <c:f>Sizes!$B$41:$E$41</c:f>
              <c:numCache>
                <c:formatCode>General</c:formatCode>
                <c:ptCount val="4"/>
                <c:pt idx="0">
                  <c:v>1195600000</c:v>
                </c:pt>
                <c:pt idx="1">
                  <c:v>1195600000</c:v>
                </c:pt>
                <c:pt idx="2">
                  <c:v>1195600000</c:v>
                </c:pt>
                <c:pt idx="3">
                  <c:v>1195600000</c:v>
                </c:pt>
              </c:numCache>
            </c:numRef>
          </c:val>
        </c:ser>
        <c:ser>
          <c:idx val="1"/>
          <c:order val="1"/>
          <c:tx>
            <c:strRef>
              <c:f>Sizes!A42</c:f>
              <c:strCache>
                <c:ptCount val="1"/>
                <c:pt idx="0">
                  <c:v>CompressedStore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Sizes!$B$40:$E$40</c:f>
              <c:strCache>
                <c:ptCount val="4"/>
                <c:pt idx="0">
                  <c:v>256 KB</c:v>
                </c:pt>
                <c:pt idx="1">
                  <c:v>1024 KB</c:v>
                </c:pt>
                <c:pt idx="2">
                  <c:v>4096 KB</c:v>
                </c:pt>
                <c:pt idx="3">
                  <c:v>16384 KB</c:v>
                </c:pt>
              </c:strCache>
            </c:strRef>
          </c:cat>
          <c:val>
            <c:numRef>
              <c:f>Sizes!$B$42:$E$42</c:f>
              <c:numCache>
                <c:formatCode>General</c:formatCode>
                <c:ptCount val="4"/>
                <c:pt idx="0">
                  <c:v>724428841</c:v>
                </c:pt>
                <c:pt idx="1">
                  <c:v>723861477</c:v>
                </c:pt>
                <c:pt idx="2">
                  <c:v>723766456</c:v>
                </c:pt>
                <c:pt idx="3">
                  <c:v>723744906</c:v>
                </c:pt>
              </c:numCache>
            </c:numRef>
          </c:val>
        </c:ser>
        <c:ser>
          <c:idx val="2"/>
          <c:order val="2"/>
          <c:tx>
            <c:strRef>
              <c:f>Sizes!A43</c:f>
              <c:strCache>
                <c:ptCount val="1"/>
                <c:pt idx="0">
                  <c:v>LossyStore lossless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Sizes!$B$40:$E$40</c:f>
              <c:strCache>
                <c:ptCount val="4"/>
                <c:pt idx="0">
                  <c:v>256 KB</c:v>
                </c:pt>
                <c:pt idx="1">
                  <c:v>1024 KB</c:v>
                </c:pt>
                <c:pt idx="2">
                  <c:v>4096 KB</c:v>
                </c:pt>
                <c:pt idx="3">
                  <c:v>16384 KB</c:v>
                </c:pt>
              </c:strCache>
            </c:strRef>
          </c:cat>
          <c:val>
            <c:numRef>
              <c:f>Sizes!$B$43:$E$43</c:f>
              <c:numCache>
                <c:formatCode>General</c:formatCode>
                <c:ptCount val="4"/>
                <c:pt idx="0">
                  <c:v>642199148</c:v>
                </c:pt>
                <c:pt idx="1">
                  <c:v>639795627</c:v>
                </c:pt>
                <c:pt idx="2">
                  <c:v>646044488</c:v>
                </c:pt>
                <c:pt idx="3">
                  <c:v>651538342</c:v>
                </c:pt>
              </c:numCache>
            </c:numRef>
          </c:val>
        </c:ser>
        <c:ser>
          <c:idx val="3"/>
          <c:order val="3"/>
          <c:tx>
            <c:strRef>
              <c:f>Sizes!A44</c:f>
              <c:strCache>
                <c:ptCount val="1"/>
                <c:pt idx="0">
                  <c:v>LossyStore 0.1%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Sizes!$B$40:$E$40</c:f>
              <c:strCache>
                <c:ptCount val="4"/>
                <c:pt idx="0">
                  <c:v>256 KB</c:v>
                </c:pt>
                <c:pt idx="1">
                  <c:v>1024 KB</c:v>
                </c:pt>
                <c:pt idx="2">
                  <c:v>4096 KB</c:v>
                </c:pt>
                <c:pt idx="3">
                  <c:v>16384 KB</c:v>
                </c:pt>
              </c:strCache>
            </c:strRef>
          </c:cat>
          <c:val>
            <c:numRef>
              <c:f>Sizes!$B$44:$E$44</c:f>
              <c:numCache>
                <c:formatCode>General</c:formatCode>
                <c:ptCount val="4"/>
                <c:pt idx="0">
                  <c:v>394504305</c:v>
                </c:pt>
                <c:pt idx="1">
                  <c:v>405314797</c:v>
                </c:pt>
                <c:pt idx="2">
                  <c:v>415720791</c:v>
                </c:pt>
                <c:pt idx="3">
                  <c:v>422734809</c:v>
                </c:pt>
              </c:numCache>
            </c:numRef>
          </c:val>
        </c:ser>
        <c:ser>
          <c:idx val="4"/>
          <c:order val="4"/>
          <c:tx>
            <c:strRef>
              <c:f>Sizes!A45</c:f>
              <c:strCache>
                <c:ptCount val="1"/>
                <c:pt idx="0">
                  <c:v>LossyStore 1%</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Sizes!$B$40:$E$40</c:f>
              <c:strCache>
                <c:ptCount val="4"/>
                <c:pt idx="0">
                  <c:v>256 KB</c:v>
                </c:pt>
                <c:pt idx="1">
                  <c:v>1024 KB</c:v>
                </c:pt>
                <c:pt idx="2">
                  <c:v>4096 KB</c:v>
                </c:pt>
                <c:pt idx="3">
                  <c:v>16384 KB</c:v>
                </c:pt>
              </c:strCache>
            </c:strRef>
          </c:cat>
          <c:val>
            <c:numRef>
              <c:f>Sizes!$B$45:$E$45</c:f>
              <c:numCache>
                <c:formatCode>General</c:formatCode>
                <c:ptCount val="4"/>
                <c:pt idx="0">
                  <c:v>373846800</c:v>
                </c:pt>
                <c:pt idx="1">
                  <c:v>385249990</c:v>
                </c:pt>
                <c:pt idx="2">
                  <c:v>396405219</c:v>
                </c:pt>
                <c:pt idx="3">
                  <c:v>402258660</c:v>
                </c:pt>
              </c:numCache>
            </c:numRef>
          </c:val>
        </c:ser>
        <c:ser>
          <c:idx val="5"/>
          <c:order val="5"/>
          <c:tx>
            <c:strRef>
              <c:f>Sizes!A46</c:f>
              <c:strCache>
                <c:ptCount val="1"/>
                <c:pt idx="0">
                  <c:v>LossyStore 5%</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Sizes!$B$40:$E$40</c:f>
              <c:strCache>
                <c:ptCount val="4"/>
                <c:pt idx="0">
                  <c:v>256 KB</c:v>
                </c:pt>
                <c:pt idx="1">
                  <c:v>1024 KB</c:v>
                </c:pt>
                <c:pt idx="2">
                  <c:v>4096 KB</c:v>
                </c:pt>
                <c:pt idx="3">
                  <c:v>16384 KB</c:v>
                </c:pt>
              </c:strCache>
            </c:strRef>
          </c:cat>
          <c:val>
            <c:numRef>
              <c:f>Sizes!$B$46:$E$46</c:f>
              <c:numCache>
                <c:formatCode>General</c:formatCode>
                <c:ptCount val="4"/>
                <c:pt idx="0">
                  <c:v>360998795</c:v>
                </c:pt>
                <c:pt idx="1">
                  <c:v>370154595</c:v>
                </c:pt>
                <c:pt idx="2">
                  <c:v>378222961</c:v>
                </c:pt>
                <c:pt idx="3">
                  <c:v>380795246</c:v>
                </c:pt>
              </c:numCache>
            </c:numRef>
          </c:val>
        </c:ser>
        <c:gapWidth val="60"/>
        <c:overlap val="0"/>
        <c:axId val="68287449"/>
        <c:axId val="59711038"/>
      </c:barChart>
      <c:catAx>
        <c:axId val="68287449"/>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9711038"/>
        <c:crosses val="autoZero"/>
        <c:auto val="1"/>
        <c:lblAlgn val="ctr"/>
        <c:lblOffset val="100"/>
        <c:noMultiLvlLbl val="0"/>
      </c:catAx>
      <c:valAx>
        <c:axId val="5971103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287449"/>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Bytes saved against FileStore</a:t>
            </a:r>
          </a:p>
        </c:rich>
      </c:tx>
      <c:overlay val="0"/>
      <c:spPr>
        <a:noFill/>
        <a:ln w="0">
          <a:noFill/>
        </a:ln>
      </c:spPr>
    </c:title>
    <c:autoTitleDeleted val="0"/>
    <c:plotArea>
      <c:barChart>
        <c:barDir val="col"/>
        <c:grouping val="clustered"/>
        <c:varyColors val="0"/>
        <c:ser>
          <c:idx val="0"/>
          <c:order val="0"/>
          <c:tx>
            <c:strRef>
              <c:f>Sizes!A77</c:f>
              <c:strCache>
                <c:ptCount val="1"/>
                <c:pt idx="0">
                  <c:v>CompressedStore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Sizes!$B$75:$E$75</c:f>
              <c:strCache>
                <c:ptCount val="4"/>
                <c:pt idx="0">
                  <c:v>256 KB</c:v>
                </c:pt>
                <c:pt idx="1">
                  <c:v>1024 KB</c:v>
                </c:pt>
                <c:pt idx="2">
                  <c:v>4096 KB</c:v>
                </c:pt>
                <c:pt idx="3">
                  <c:v>16384 KB</c:v>
                </c:pt>
              </c:strCache>
            </c:strRef>
          </c:cat>
          <c:val>
            <c:numRef>
              <c:f>Sizes!$B$77:$E$77</c:f>
              <c:numCache>
                <c:formatCode>General</c:formatCode>
                <c:ptCount val="4"/>
                <c:pt idx="0">
                  <c:v>471312216</c:v>
                </c:pt>
                <c:pt idx="1">
                  <c:v>471774040</c:v>
                </c:pt>
                <c:pt idx="2">
                  <c:v>471842676</c:v>
                </c:pt>
                <c:pt idx="3">
                  <c:v>471857640</c:v>
                </c:pt>
              </c:numCache>
            </c:numRef>
          </c:val>
        </c:ser>
        <c:ser>
          <c:idx val="1"/>
          <c:order val="1"/>
          <c:tx>
            <c:strRef>
              <c:f>Sizes!A78</c:f>
              <c:strCache>
                <c:ptCount val="1"/>
                <c:pt idx="0">
                  <c:v>LossyStore lossless</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Sizes!$B$75:$E$75</c:f>
              <c:strCache>
                <c:ptCount val="4"/>
                <c:pt idx="0">
                  <c:v>256 KB</c:v>
                </c:pt>
                <c:pt idx="1">
                  <c:v>1024 KB</c:v>
                </c:pt>
                <c:pt idx="2">
                  <c:v>4096 KB</c:v>
                </c:pt>
                <c:pt idx="3">
                  <c:v>16384 KB</c:v>
                </c:pt>
              </c:strCache>
            </c:strRef>
          </c:cat>
          <c:val>
            <c:numRef>
              <c:f>Sizes!$B$78:$E$78</c:f>
              <c:numCache>
                <c:formatCode>General</c:formatCode>
                <c:ptCount val="4"/>
                <c:pt idx="0">
                  <c:v>552652514</c:v>
                </c:pt>
                <c:pt idx="1">
                  <c:v>555617395</c:v>
                </c:pt>
                <c:pt idx="2">
                  <c:v>549508874</c:v>
                </c:pt>
                <c:pt idx="3">
                  <c:v>544050164</c:v>
                </c:pt>
              </c:numCache>
            </c:numRef>
          </c:val>
        </c:ser>
        <c:ser>
          <c:idx val="2"/>
          <c:order val="2"/>
          <c:tx>
            <c:strRef>
              <c:f>Sizes!A79</c:f>
              <c:strCache>
                <c:ptCount val="1"/>
                <c:pt idx="0">
                  <c:v>LossyStore 0.1%</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Sizes!$B$75:$E$75</c:f>
              <c:strCache>
                <c:ptCount val="4"/>
                <c:pt idx="0">
                  <c:v>256 KB</c:v>
                </c:pt>
                <c:pt idx="1">
                  <c:v>1024 KB</c:v>
                </c:pt>
                <c:pt idx="2">
                  <c:v>4096 KB</c:v>
                </c:pt>
                <c:pt idx="3">
                  <c:v>16384 KB</c:v>
                </c:pt>
              </c:strCache>
            </c:strRef>
          </c:cat>
          <c:val>
            <c:numRef>
              <c:f>Sizes!$B$79:$E$79</c:f>
              <c:numCache>
                <c:formatCode>General</c:formatCode>
                <c:ptCount val="4"/>
                <c:pt idx="0">
                  <c:v>800347357</c:v>
                </c:pt>
                <c:pt idx="1">
                  <c:v>790098225</c:v>
                </c:pt>
                <c:pt idx="2">
                  <c:v>779832571</c:v>
                </c:pt>
                <c:pt idx="3">
                  <c:v>772853697</c:v>
                </c:pt>
              </c:numCache>
            </c:numRef>
          </c:val>
        </c:ser>
        <c:ser>
          <c:idx val="3"/>
          <c:order val="3"/>
          <c:tx>
            <c:strRef>
              <c:f>Sizes!A80</c:f>
              <c:strCache>
                <c:ptCount val="1"/>
                <c:pt idx="0">
                  <c:v>LossyStore 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Sizes!$B$75:$E$75</c:f>
              <c:strCache>
                <c:ptCount val="4"/>
                <c:pt idx="0">
                  <c:v>256 KB</c:v>
                </c:pt>
                <c:pt idx="1">
                  <c:v>1024 KB</c:v>
                </c:pt>
                <c:pt idx="2">
                  <c:v>4096 KB</c:v>
                </c:pt>
                <c:pt idx="3">
                  <c:v>16384 KB</c:v>
                </c:pt>
              </c:strCache>
            </c:strRef>
          </c:cat>
          <c:val>
            <c:numRef>
              <c:f>Sizes!$B$80:$E$80</c:f>
              <c:numCache>
                <c:formatCode>General</c:formatCode>
                <c:ptCount val="4"/>
                <c:pt idx="0">
                  <c:v>821004862</c:v>
                </c:pt>
                <c:pt idx="1">
                  <c:v>810163032</c:v>
                </c:pt>
                <c:pt idx="2">
                  <c:v>799148143</c:v>
                </c:pt>
                <c:pt idx="3">
                  <c:v>793329846</c:v>
                </c:pt>
              </c:numCache>
            </c:numRef>
          </c:val>
        </c:ser>
        <c:ser>
          <c:idx val="4"/>
          <c:order val="4"/>
          <c:tx>
            <c:strRef>
              <c:f>Sizes!A81</c:f>
              <c:strCache>
                <c:ptCount val="1"/>
                <c:pt idx="0">
                  <c:v>LossyStore 5%</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Sizes!$B$75:$E$75</c:f>
              <c:strCache>
                <c:ptCount val="4"/>
                <c:pt idx="0">
                  <c:v>256 KB</c:v>
                </c:pt>
                <c:pt idx="1">
                  <c:v>1024 KB</c:v>
                </c:pt>
                <c:pt idx="2">
                  <c:v>4096 KB</c:v>
                </c:pt>
                <c:pt idx="3">
                  <c:v>16384 KB</c:v>
                </c:pt>
              </c:strCache>
            </c:strRef>
          </c:cat>
          <c:val>
            <c:numRef>
              <c:f>Sizes!$B$81:$E$81</c:f>
              <c:numCache>
                <c:formatCode>General</c:formatCode>
                <c:ptCount val="4"/>
                <c:pt idx="0">
                  <c:v>833852867</c:v>
                </c:pt>
                <c:pt idx="1">
                  <c:v>825258427</c:v>
                </c:pt>
                <c:pt idx="2">
                  <c:v>817330401</c:v>
                </c:pt>
                <c:pt idx="3">
                  <c:v>814793260</c:v>
                </c:pt>
              </c:numCache>
            </c:numRef>
          </c:val>
        </c:ser>
        <c:gapWidth val="60"/>
        <c:overlap val="0"/>
        <c:axId val="96468461"/>
        <c:axId val="82737882"/>
      </c:barChart>
      <c:catAx>
        <c:axId val="96468461"/>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737882"/>
        <c:crosses val="autoZero"/>
        <c:auto val="1"/>
        <c:lblAlgn val="ctr"/>
        <c:lblOffset val="100"/>
        <c:noMultiLvlLbl val="0"/>
      </c:catAx>
      <c:valAx>
        <c:axId val="827378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 saved</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6468461"/>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Compression ratio by unit size</a:t>
            </a:r>
          </a:p>
        </c:rich>
      </c:tx>
      <c:overlay val="0"/>
      <c:spPr>
        <a:noFill/>
        <a:ln w="0">
          <a:noFill/>
        </a:ln>
      </c:spPr>
    </c:title>
    <c:autoTitleDeleted val="0"/>
    <c:plotArea>
      <c:lineChart>
        <c:grouping val="standard"/>
        <c:varyColors val="0"/>
        <c:ser>
          <c:idx val="0"/>
          <c:order val="0"/>
          <c:tx>
            <c:strRef>
              <c:f>Ratios!A6</c:f>
              <c:strCache>
                <c:ptCount val="1"/>
                <c:pt idx="0">
                  <c:v>FileStore (raw)</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Ratios!$B$5:$E$5</c:f>
              <c:strCache>
                <c:ptCount val="4"/>
                <c:pt idx="0">
                  <c:v>256 KB</c:v>
                </c:pt>
                <c:pt idx="1">
                  <c:v>1024 KB</c:v>
                </c:pt>
                <c:pt idx="2">
                  <c:v>4096 KB</c:v>
                </c:pt>
                <c:pt idx="3">
                  <c:v>16384 KB</c:v>
                </c:pt>
              </c:strCache>
            </c:strRef>
          </c:cat>
          <c:val>
            <c:numRef>
              <c:f>Ratios!$B$6:$E$6</c:f>
              <c:numCache>
                <c:formatCode>General</c:formatCode>
                <c:ptCount val="4"/>
                <c:pt idx="0">
                  <c:v>0.999725</c:v>
                </c:pt>
                <c:pt idx="1">
                  <c:v>0.999931</c:v>
                </c:pt>
                <c:pt idx="2">
                  <c:v>0.999982</c:v>
                </c:pt>
                <c:pt idx="3">
                  <c:v>0.999995</c:v>
                </c:pt>
              </c:numCache>
            </c:numRef>
          </c:val>
          <c:smooth val="1"/>
        </c:ser>
        <c:ser>
          <c:idx val="1"/>
          <c:order val="1"/>
          <c:tx>
            <c:strRef>
              <c:f>Ratios!A7</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Ratios!$B$5:$E$5</c:f>
              <c:strCache>
                <c:ptCount val="4"/>
                <c:pt idx="0">
                  <c:v>256 KB</c:v>
                </c:pt>
                <c:pt idx="1">
                  <c:v>1024 KB</c:v>
                </c:pt>
                <c:pt idx="2">
                  <c:v>4096 KB</c:v>
                </c:pt>
                <c:pt idx="3">
                  <c:v>16384 KB</c:v>
                </c:pt>
              </c:strCache>
            </c:strRef>
          </c:cat>
          <c:val>
            <c:numRef>
              <c:f>Ratios!$B$7:$E$7</c:f>
              <c:numCache>
                <c:formatCode>General</c:formatCode>
                <c:ptCount val="4"/>
                <c:pt idx="0">
                  <c:v>1.649977</c:v>
                </c:pt>
                <c:pt idx="1">
                  <c:v>1.65159</c:v>
                </c:pt>
                <c:pt idx="2">
                  <c:v>1.651886</c:v>
                </c:pt>
                <c:pt idx="3">
                  <c:v>1.651956</c:v>
                </c:pt>
              </c:numCache>
            </c:numRef>
          </c:val>
          <c:smooth val="1"/>
        </c:ser>
        <c:ser>
          <c:idx val="2"/>
          <c:order val="2"/>
          <c:tx>
            <c:strRef>
              <c:f>Ratios!A8</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Ratios!$B$5:$E$5</c:f>
              <c:strCache>
                <c:ptCount val="4"/>
                <c:pt idx="0">
                  <c:v>256 KB</c:v>
                </c:pt>
                <c:pt idx="1">
                  <c:v>1024 KB</c:v>
                </c:pt>
                <c:pt idx="2">
                  <c:v>4096 KB</c:v>
                </c:pt>
                <c:pt idx="3">
                  <c:v>16384 KB</c:v>
                </c:pt>
              </c:strCache>
            </c:strRef>
          </c:cat>
          <c:val>
            <c:numRef>
              <c:f>Ratios!$B$8:$E$8</c:f>
              <c:numCache>
                <c:formatCode>General</c:formatCode>
                <c:ptCount val="4"/>
                <c:pt idx="0">
                  <c:v>1.858611</c:v>
                </c:pt>
                <c:pt idx="1">
                  <c:v>1.867934</c:v>
                </c:pt>
                <c:pt idx="2">
                  <c:v>1.850452</c:v>
                </c:pt>
                <c:pt idx="3">
                  <c:v>1.834993</c:v>
                </c:pt>
              </c:numCache>
            </c:numRef>
          </c:val>
          <c:smooth val="1"/>
        </c:ser>
        <c:ser>
          <c:idx val="3"/>
          <c:order val="3"/>
          <c:tx>
            <c:strRef>
              <c:f>Ratios!A9</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Ratios!$B$5:$E$5</c:f>
              <c:strCache>
                <c:ptCount val="4"/>
                <c:pt idx="0">
                  <c:v>256 KB</c:v>
                </c:pt>
                <c:pt idx="1">
                  <c:v>1024 KB</c:v>
                </c:pt>
                <c:pt idx="2">
                  <c:v>4096 KB</c:v>
                </c:pt>
                <c:pt idx="3">
                  <c:v>16384 KB</c:v>
                </c:pt>
              </c:strCache>
            </c:strRef>
          </c:cat>
          <c:val>
            <c:numRef>
              <c:f>Ratios!$B$9:$E$9</c:f>
              <c:numCache>
                <c:formatCode>General</c:formatCode>
                <c:ptCount val="4"/>
                <c:pt idx="0">
                  <c:v>3.022389</c:v>
                </c:pt>
                <c:pt idx="1">
                  <c:v>2.947845</c:v>
                </c:pt>
                <c:pt idx="2">
                  <c:v>2.875499</c:v>
                </c:pt>
                <c:pt idx="3">
                  <c:v>2.828134</c:v>
                </c:pt>
              </c:numCache>
            </c:numRef>
          </c:val>
          <c:smooth val="1"/>
        </c:ser>
        <c:ser>
          <c:idx val="4"/>
          <c:order val="4"/>
          <c:tx>
            <c:strRef>
              <c:f>Ratios!A10</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Ratios!$B$5:$E$5</c:f>
              <c:strCache>
                <c:ptCount val="4"/>
                <c:pt idx="0">
                  <c:v>256 KB</c:v>
                </c:pt>
                <c:pt idx="1">
                  <c:v>1024 KB</c:v>
                </c:pt>
                <c:pt idx="2">
                  <c:v>4096 KB</c:v>
                </c:pt>
                <c:pt idx="3">
                  <c:v>16384 KB</c:v>
                </c:pt>
              </c:strCache>
            </c:strRef>
          </c:cat>
          <c:val>
            <c:numRef>
              <c:f>Ratios!$B$10:$E$10</c:f>
              <c:numCache>
                <c:formatCode>General</c:formatCode>
                <c:ptCount val="4"/>
                <c:pt idx="0">
                  <c:v>3.188917</c:v>
                </c:pt>
                <c:pt idx="1">
                  <c:v>3.101269</c:v>
                </c:pt>
                <c:pt idx="2">
                  <c:v>3.015589</c:v>
                </c:pt>
                <c:pt idx="3">
                  <c:v>2.972089</c:v>
                </c:pt>
              </c:numCache>
            </c:numRef>
          </c:val>
          <c:smooth val="1"/>
        </c:ser>
        <c:ser>
          <c:idx val="5"/>
          <c:order val="5"/>
          <c:tx>
            <c:strRef>
              <c:f>Ratios!A11</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Ratios!$B$5:$E$5</c:f>
              <c:strCache>
                <c:ptCount val="4"/>
                <c:pt idx="0">
                  <c:v>256 KB</c:v>
                </c:pt>
                <c:pt idx="1">
                  <c:v>1024 KB</c:v>
                </c:pt>
                <c:pt idx="2">
                  <c:v>4096 KB</c:v>
                </c:pt>
                <c:pt idx="3">
                  <c:v>16384 KB</c:v>
                </c:pt>
              </c:strCache>
            </c:strRef>
          </c:cat>
          <c:val>
            <c:numRef>
              <c:f>Ratios!$B$11:$E$11</c:f>
              <c:numCache>
                <c:formatCode>General</c:formatCode>
                <c:ptCount val="4"/>
                <c:pt idx="0">
                  <c:v>3.302073</c:v>
                </c:pt>
                <c:pt idx="1">
                  <c:v>3.22765</c:v>
                </c:pt>
                <c:pt idx="2">
                  <c:v>3.160531</c:v>
                </c:pt>
                <c:pt idx="3">
                  <c:v>3.139602</c:v>
                </c:pt>
              </c:numCache>
            </c:numRef>
          </c:val>
          <c:smooth val="1"/>
        </c:ser>
        <c:hiLowLines>
          <c:spPr>
            <a:ln w="0">
              <a:noFill/>
            </a:ln>
          </c:spPr>
        </c:hiLowLines>
        <c:marker val="0"/>
        <c:axId val="38939797"/>
        <c:axId val="89460124"/>
      </c:lineChart>
      <c:catAx>
        <c:axId val="3893979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9460124"/>
        <c:crosses val="autoZero"/>
        <c:auto val="1"/>
        <c:lblAlgn val="ctr"/>
        <c:lblOffset val="100"/>
        <c:noMultiLvlLbl val="0"/>
      </c:catAx>
      <c:valAx>
        <c:axId val="8946012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9397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Ratio on encoded data by unit size</a:t>
            </a:r>
          </a:p>
        </c:rich>
      </c:tx>
      <c:overlay val="0"/>
      <c:spPr>
        <a:noFill/>
        <a:ln w="0">
          <a:noFill/>
        </a:ln>
      </c:spPr>
    </c:title>
    <c:autoTitleDeleted val="0"/>
    <c:plotArea>
      <c:lineChart>
        <c:grouping val="standard"/>
        <c:varyColors val="0"/>
        <c:ser>
          <c:idx val="0"/>
          <c:order val="0"/>
          <c:tx>
            <c:strRef>
              <c:f>Ratios!A41</c:f>
              <c:strCache>
                <c:ptCount val="1"/>
                <c:pt idx="0">
                  <c:v>FileStore (raw)</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Ratios!$B$40:$E$40</c:f>
              <c:strCache>
                <c:ptCount val="4"/>
                <c:pt idx="0">
                  <c:v>256 KB</c:v>
                </c:pt>
                <c:pt idx="1">
                  <c:v>1024 KB</c:v>
                </c:pt>
                <c:pt idx="2">
                  <c:v>4096 KB</c:v>
                </c:pt>
                <c:pt idx="3">
                  <c:v>16384 KB</c:v>
                </c:pt>
              </c:strCache>
            </c:strRef>
          </c:cat>
          <c:val>
            <c:numRef>
              <c:f>Ratios!$B$41:$E$41</c:f>
              <c:numCache>
                <c:formatCode>General</c:formatCode>
                <c:ptCount val="4"/>
                <c:pt idx="0">
                  <c:v>1</c:v>
                </c:pt>
                <c:pt idx="1">
                  <c:v>1</c:v>
                </c:pt>
                <c:pt idx="2">
                  <c:v>1</c:v>
                </c:pt>
                <c:pt idx="3">
                  <c:v>1</c:v>
                </c:pt>
              </c:numCache>
            </c:numRef>
          </c:val>
          <c:smooth val="1"/>
        </c:ser>
        <c:ser>
          <c:idx val="1"/>
          <c:order val="1"/>
          <c:tx>
            <c:strRef>
              <c:f>Ratios!A42</c:f>
              <c:strCache>
                <c:ptCount val="1"/>
                <c:pt idx="0">
                  <c:v>CompressedStore</c:v>
                </c:pt>
              </c:strCache>
            </c:strRef>
          </c:tx>
          <c:spPr>
            <a:solidFill>
              <a:srgbClr val="be4b48"/>
            </a:solidFill>
            <a:ln w="2844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Ratios!$B$40:$E$40</c:f>
              <c:strCache>
                <c:ptCount val="4"/>
                <c:pt idx="0">
                  <c:v>256 KB</c:v>
                </c:pt>
                <c:pt idx="1">
                  <c:v>1024 KB</c:v>
                </c:pt>
                <c:pt idx="2">
                  <c:v>4096 KB</c:v>
                </c:pt>
                <c:pt idx="3">
                  <c:v>16384 KB</c:v>
                </c:pt>
              </c:strCache>
            </c:strRef>
          </c:cat>
          <c:val>
            <c:numRef>
              <c:f>Ratios!$B$42:$E$42</c:f>
              <c:numCache>
                <c:formatCode>General</c:formatCode>
                <c:ptCount val="4"/>
                <c:pt idx="0">
                  <c:v>1.650404</c:v>
                </c:pt>
                <c:pt idx="1">
                  <c:v>1.651697</c:v>
                </c:pt>
                <c:pt idx="2">
                  <c:v>1.651914</c:v>
                </c:pt>
                <c:pt idx="3">
                  <c:v>1.651963</c:v>
                </c:pt>
              </c:numCache>
            </c:numRef>
          </c:val>
          <c:smooth val="1"/>
        </c:ser>
        <c:ser>
          <c:idx val="2"/>
          <c:order val="2"/>
          <c:tx>
            <c:strRef>
              <c:f>Ratios!A43</c:f>
              <c:strCache>
                <c:ptCount val="1"/>
                <c:pt idx="0">
                  <c:v>LossyStore lossless</c:v>
                </c:pt>
              </c:strCache>
            </c:strRef>
          </c:tx>
          <c:spPr>
            <a:solidFill>
              <a:srgbClr val="98b855"/>
            </a:solidFill>
            <a:ln w="28440">
              <a:solidFill>
                <a:srgbClr val="98b855"/>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Ratios!$B$40:$E$40</c:f>
              <c:strCache>
                <c:ptCount val="4"/>
                <c:pt idx="0">
                  <c:v>256 KB</c:v>
                </c:pt>
                <c:pt idx="1">
                  <c:v>1024 KB</c:v>
                </c:pt>
                <c:pt idx="2">
                  <c:v>4096 KB</c:v>
                </c:pt>
                <c:pt idx="3">
                  <c:v>16384 KB</c:v>
                </c:pt>
              </c:strCache>
            </c:strRef>
          </c:cat>
          <c:val>
            <c:numRef>
              <c:f>Ratios!$B$43:$E$43</c:f>
              <c:numCache>
                <c:formatCode>General</c:formatCode>
                <c:ptCount val="4"/>
                <c:pt idx="0">
                  <c:v>1.861728</c:v>
                </c:pt>
                <c:pt idx="1">
                  <c:v>1.868722</c:v>
                </c:pt>
                <c:pt idx="2">
                  <c:v>1.850647</c:v>
                </c:pt>
                <c:pt idx="3">
                  <c:v>1.835042</c:v>
                </c:pt>
              </c:numCache>
            </c:numRef>
          </c:val>
          <c:smooth val="1"/>
        </c:ser>
        <c:ser>
          <c:idx val="3"/>
          <c:order val="3"/>
          <c:tx>
            <c:strRef>
              <c:f>Ratios!A44</c:f>
              <c:strCache>
                <c:ptCount val="1"/>
                <c:pt idx="0">
                  <c:v>LossyStore 0.1%</c:v>
                </c:pt>
              </c:strCache>
            </c:strRef>
          </c:tx>
          <c:spPr>
            <a:solidFill>
              <a:srgbClr val="7d5fa0"/>
            </a:solidFill>
            <a:ln w="28440">
              <a:solidFill>
                <a:srgbClr val="7d5fa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Ratios!$B$40:$E$40</c:f>
              <c:strCache>
                <c:ptCount val="4"/>
                <c:pt idx="0">
                  <c:v>256 KB</c:v>
                </c:pt>
                <c:pt idx="1">
                  <c:v>1024 KB</c:v>
                </c:pt>
                <c:pt idx="2">
                  <c:v>4096 KB</c:v>
                </c:pt>
                <c:pt idx="3">
                  <c:v>16384 KB</c:v>
                </c:pt>
              </c:strCache>
            </c:strRef>
          </c:cat>
          <c:val>
            <c:numRef>
              <c:f>Ratios!$B$44:$E$44</c:f>
              <c:numCache>
                <c:formatCode>General</c:formatCode>
                <c:ptCount val="4"/>
                <c:pt idx="0">
                  <c:v>3.030639</c:v>
                </c:pt>
                <c:pt idx="1">
                  <c:v>2.949806</c:v>
                </c:pt>
                <c:pt idx="2">
                  <c:v>2.875969</c:v>
                </c:pt>
                <c:pt idx="3">
                  <c:v>2.828251</c:v>
                </c:pt>
              </c:numCache>
            </c:numRef>
          </c:val>
          <c:smooth val="1"/>
        </c:ser>
        <c:ser>
          <c:idx val="4"/>
          <c:order val="4"/>
          <c:tx>
            <c:strRef>
              <c:f>Ratios!A45</c:f>
              <c:strCache>
                <c:ptCount val="1"/>
                <c:pt idx="0">
                  <c:v>LossyStore 1%</c:v>
                </c:pt>
              </c:strCache>
            </c:strRef>
          </c:tx>
          <c:spPr>
            <a:solidFill>
              <a:srgbClr val="46aac4"/>
            </a:solidFill>
            <a:ln w="28440">
              <a:solidFill>
                <a:srgbClr val="46aac4"/>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Ratios!$B$40:$E$40</c:f>
              <c:strCache>
                <c:ptCount val="4"/>
                <c:pt idx="0">
                  <c:v>256 KB</c:v>
                </c:pt>
                <c:pt idx="1">
                  <c:v>1024 KB</c:v>
                </c:pt>
                <c:pt idx="2">
                  <c:v>4096 KB</c:v>
                </c:pt>
                <c:pt idx="3">
                  <c:v>16384 KB</c:v>
                </c:pt>
              </c:strCache>
            </c:strRef>
          </c:cat>
          <c:val>
            <c:numRef>
              <c:f>Ratios!$B$45:$E$45</c:f>
              <c:numCache>
                <c:formatCode>General</c:formatCode>
                <c:ptCount val="4"/>
                <c:pt idx="0">
                  <c:v>3.198101</c:v>
                </c:pt>
                <c:pt idx="1">
                  <c:v>3.103439</c:v>
                </c:pt>
                <c:pt idx="2">
                  <c:v>3.016106</c:v>
                </c:pt>
                <c:pt idx="3">
                  <c:v>2.972217</c:v>
                </c:pt>
              </c:numCache>
            </c:numRef>
          </c:val>
          <c:smooth val="1"/>
        </c:ser>
        <c:ser>
          <c:idx val="5"/>
          <c:order val="5"/>
          <c:tx>
            <c:strRef>
              <c:f>Ratios!A46</c:f>
              <c:strCache>
                <c:ptCount val="1"/>
                <c:pt idx="0">
                  <c:v>LossyStore 5%</c:v>
                </c:pt>
              </c:strCache>
            </c:strRef>
          </c:tx>
          <c:spPr>
            <a:solidFill>
              <a:srgbClr val="f59240"/>
            </a:solidFill>
            <a:ln w="28440">
              <a:solidFill>
                <a:srgbClr val="f5924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Ratios!$B$40:$E$40</c:f>
              <c:strCache>
                <c:ptCount val="4"/>
                <c:pt idx="0">
                  <c:v>256 KB</c:v>
                </c:pt>
                <c:pt idx="1">
                  <c:v>1024 KB</c:v>
                </c:pt>
                <c:pt idx="2">
                  <c:v>4096 KB</c:v>
                </c:pt>
                <c:pt idx="3">
                  <c:v>16384 KB</c:v>
                </c:pt>
              </c:strCache>
            </c:strRef>
          </c:cat>
          <c:val>
            <c:numRef>
              <c:f>Ratios!$B$46:$E$46</c:f>
              <c:numCache>
                <c:formatCode>General</c:formatCode>
                <c:ptCount val="4"/>
                <c:pt idx="0">
                  <c:v>3.311922</c:v>
                </c:pt>
                <c:pt idx="1">
                  <c:v>3.230002</c:v>
                </c:pt>
                <c:pt idx="2">
                  <c:v>3.161098</c:v>
                </c:pt>
                <c:pt idx="3">
                  <c:v>3.139745</c:v>
                </c:pt>
              </c:numCache>
            </c:numRef>
          </c:val>
          <c:smooth val="1"/>
        </c:ser>
        <c:hiLowLines>
          <c:spPr>
            <a:ln w="0">
              <a:noFill/>
            </a:ln>
          </c:spPr>
        </c:hiLowLines>
        <c:marker val="0"/>
        <c:axId val="68335625"/>
        <c:axId val="76167173"/>
      </c:lineChart>
      <c:catAx>
        <c:axId val="6833562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6167173"/>
        <c:crosses val="autoZero"/>
        <c:auto val="1"/>
        <c:lblAlgn val="ctr"/>
        <c:lblOffset val="100"/>
        <c:noMultiLvlLbl val="0"/>
      </c:catAx>
      <c:valAx>
        <c:axId val="7616717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x</a:t>
                </a:r>
              </a:p>
            </c:rich>
          </c:tx>
          <c:overlay val="0"/>
          <c:spPr>
            <a:noFill/>
            <a:ln w="0">
              <a:noFill/>
            </a:ln>
          </c:spPr>
        </c:title>
        <c:numFmt formatCode="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3356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0.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Write query seconds, against a query with no store</a:t>
            </a:r>
          </a:p>
        </c:rich>
      </c:tx>
      <c:overlay val="0"/>
      <c:spPr>
        <a:noFill/>
        <a:ln w="0">
          <a:noFill/>
        </a:ln>
      </c:spPr>
    </c:title>
    <c:autoTitleDeleted val="0"/>
    <c:plotArea>
      <c:barChart>
        <c:barDir val="col"/>
        <c:grouping val="clustered"/>
        <c:varyColors val="0"/>
        <c:ser>
          <c:idx val="0"/>
          <c:order val="0"/>
          <c:tx>
            <c:strRef>
              <c:f>Timing!A6</c:f>
              <c:strCache>
                <c:ptCount val="1"/>
                <c:pt idx="0">
                  <c:v>FileStore (raw)</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Timing!$B$5:$E$5</c:f>
              <c:strCache>
                <c:ptCount val="4"/>
                <c:pt idx="0">
                  <c:v>256 KB</c:v>
                </c:pt>
                <c:pt idx="1">
                  <c:v>1024 KB</c:v>
                </c:pt>
                <c:pt idx="2">
                  <c:v>4096 KB</c:v>
                </c:pt>
                <c:pt idx="3">
                  <c:v>16384 KB</c:v>
                </c:pt>
              </c:strCache>
            </c:strRef>
          </c:cat>
          <c:val>
            <c:numRef>
              <c:f>Timing!$B$6:$E$6</c:f>
              <c:numCache>
                <c:formatCode>General</c:formatCode>
                <c:ptCount val="4"/>
                <c:pt idx="0">
                  <c:v>27.8315</c:v>
                </c:pt>
                <c:pt idx="1">
                  <c:v>27.5565</c:v>
                </c:pt>
                <c:pt idx="2">
                  <c:v>28.4896</c:v>
                </c:pt>
                <c:pt idx="3">
                  <c:v>27.8012</c:v>
                </c:pt>
              </c:numCache>
            </c:numRef>
          </c:val>
        </c:ser>
        <c:ser>
          <c:idx val="1"/>
          <c:order val="1"/>
          <c:tx>
            <c:strRef>
              <c:f>Timing!A7</c:f>
              <c:strCache>
                <c:ptCount val="1"/>
                <c:pt idx="0">
                  <c:v>CompressedStore</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Timing!$B$5:$E$5</c:f>
              <c:strCache>
                <c:ptCount val="4"/>
                <c:pt idx="0">
                  <c:v>256 KB</c:v>
                </c:pt>
                <c:pt idx="1">
                  <c:v>1024 KB</c:v>
                </c:pt>
                <c:pt idx="2">
                  <c:v>4096 KB</c:v>
                </c:pt>
                <c:pt idx="3">
                  <c:v>16384 KB</c:v>
                </c:pt>
              </c:strCache>
            </c:strRef>
          </c:cat>
          <c:val>
            <c:numRef>
              <c:f>Timing!$B$7:$E$7</c:f>
              <c:numCache>
                <c:formatCode>General</c:formatCode>
                <c:ptCount val="4"/>
                <c:pt idx="0">
                  <c:v>34.0164</c:v>
                </c:pt>
                <c:pt idx="1">
                  <c:v>33.1633</c:v>
                </c:pt>
                <c:pt idx="2">
                  <c:v>34.3937</c:v>
                </c:pt>
                <c:pt idx="3">
                  <c:v>36.2321</c:v>
                </c:pt>
              </c:numCache>
            </c:numRef>
          </c:val>
        </c:ser>
        <c:ser>
          <c:idx val="2"/>
          <c:order val="2"/>
          <c:tx>
            <c:strRef>
              <c:f>Timing!A8</c:f>
              <c:strCache>
                <c:ptCount val="1"/>
                <c:pt idx="0">
                  <c:v>LossyStore lossless</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Timing!$B$5:$E$5</c:f>
              <c:strCache>
                <c:ptCount val="4"/>
                <c:pt idx="0">
                  <c:v>256 KB</c:v>
                </c:pt>
                <c:pt idx="1">
                  <c:v>1024 KB</c:v>
                </c:pt>
                <c:pt idx="2">
                  <c:v>4096 KB</c:v>
                </c:pt>
                <c:pt idx="3">
                  <c:v>16384 KB</c:v>
                </c:pt>
              </c:strCache>
            </c:strRef>
          </c:cat>
          <c:val>
            <c:numRef>
              <c:f>Timing!$B$8:$E$8</c:f>
              <c:numCache>
                <c:formatCode>General</c:formatCode>
                <c:ptCount val="4"/>
                <c:pt idx="0">
                  <c:v>32.017</c:v>
                </c:pt>
                <c:pt idx="1">
                  <c:v>31.0179</c:v>
                </c:pt>
                <c:pt idx="2">
                  <c:v>32.7766</c:v>
                </c:pt>
                <c:pt idx="3">
                  <c:v>32.6821</c:v>
                </c:pt>
              </c:numCache>
            </c:numRef>
          </c:val>
        </c:ser>
        <c:ser>
          <c:idx val="3"/>
          <c:order val="3"/>
          <c:tx>
            <c:strRef>
              <c:f>Timing!A9</c:f>
              <c:strCache>
                <c:ptCount val="1"/>
                <c:pt idx="0">
                  <c:v>LossyStore 0.1%</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Timing!$B$5:$E$5</c:f>
              <c:strCache>
                <c:ptCount val="4"/>
                <c:pt idx="0">
                  <c:v>256 KB</c:v>
                </c:pt>
                <c:pt idx="1">
                  <c:v>1024 KB</c:v>
                </c:pt>
                <c:pt idx="2">
                  <c:v>4096 KB</c:v>
                </c:pt>
                <c:pt idx="3">
                  <c:v>16384 KB</c:v>
                </c:pt>
              </c:strCache>
            </c:strRef>
          </c:cat>
          <c:val>
            <c:numRef>
              <c:f>Timing!$B$9:$E$9</c:f>
              <c:numCache>
                <c:formatCode>General</c:formatCode>
                <c:ptCount val="4"/>
                <c:pt idx="0">
                  <c:v>31.9136</c:v>
                </c:pt>
                <c:pt idx="1">
                  <c:v>30.3721</c:v>
                </c:pt>
                <c:pt idx="2">
                  <c:v>30.7451</c:v>
                </c:pt>
                <c:pt idx="3">
                  <c:v>30.7901</c:v>
                </c:pt>
              </c:numCache>
            </c:numRef>
          </c:val>
        </c:ser>
        <c:ser>
          <c:idx val="4"/>
          <c:order val="4"/>
          <c:tx>
            <c:strRef>
              <c:f>Timing!A10</c:f>
              <c:strCache>
                <c:ptCount val="1"/>
                <c:pt idx="0">
                  <c:v>LossyStore 1%</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Timing!$B$5:$E$5</c:f>
              <c:strCache>
                <c:ptCount val="4"/>
                <c:pt idx="0">
                  <c:v>256 KB</c:v>
                </c:pt>
                <c:pt idx="1">
                  <c:v>1024 KB</c:v>
                </c:pt>
                <c:pt idx="2">
                  <c:v>4096 KB</c:v>
                </c:pt>
                <c:pt idx="3">
                  <c:v>16384 KB</c:v>
                </c:pt>
              </c:strCache>
            </c:strRef>
          </c:cat>
          <c:val>
            <c:numRef>
              <c:f>Timing!$B$10:$E$10</c:f>
              <c:numCache>
                <c:formatCode>General</c:formatCode>
                <c:ptCount val="4"/>
                <c:pt idx="0">
                  <c:v>31.7757</c:v>
                </c:pt>
                <c:pt idx="1">
                  <c:v>30.9375</c:v>
                </c:pt>
                <c:pt idx="2">
                  <c:v>31.1061</c:v>
                </c:pt>
                <c:pt idx="3">
                  <c:v>30.5885</c:v>
                </c:pt>
              </c:numCache>
            </c:numRef>
          </c:val>
        </c:ser>
        <c:ser>
          <c:idx val="5"/>
          <c:order val="5"/>
          <c:tx>
            <c:strRef>
              <c:f>Timing!A11</c:f>
              <c:strCache>
                <c:ptCount val="1"/>
                <c:pt idx="0">
                  <c:v>LossyStore 5%</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Timing!$B$5:$E$5</c:f>
              <c:strCache>
                <c:ptCount val="4"/>
                <c:pt idx="0">
                  <c:v>256 KB</c:v>
                </c:pt>
                <c:pt idx="1">
                  <c:v>1024 KB</c:v>
                </c:pt>
                <c:pt idx="2">
                  <c:v>4096 KB</c:v>
                </c:pt>
                <c:pt idx="3">
                  <c:v>16384 KB</c:v>
                </c:pt>
              </c:strCache>
            </c:strRef>
          </c:cat>
          <c:val>
            <c:numRef>
              <c:f>Timing!$B$11:$E$11</c:f>
              <c:numCache>
                <c:formatCode>General</c:formatCode>
                <c:ptCount val="4"/>
                <c:pt idx="0">
                  <c:v>31.8938</c:v>
                </c:pt>
                <c:pt idx="1">
                  <c:v>30.5255</c:v>
                </c:pt>
                <c:pt idx="2">
                  <c:v>31.7295</c:v>
                </c:pt>
                <c:pt idx="3">
                  <c:v>31.6</c:v>
                </c:pt>
              </c:numCache>
            </c:numRef>
          </c:val>
        </c:ser>
        <c:gapWidth val="60"/>
        <c:overlap val="0"/>
        <c:axId val="18915325"/>
        <c:axId val="56809387"/>
      </c:barChart>
      <c:lineChart>
        <c:grouping val="standard"/>
        <c:varyColors val="0"/>
        <c:ser>
          <c:idx val="6"/>
          <c:order val="6"/>
          <c:tx>
            <c:strRef>
              <c:f>Timing!A12</c:f>
              <c:strCache>
                <c:ptCount val="1"/>
                <c:pt idx="0">
                  <c:v>normal query (no store)</c:v>
                </c:pt>
              </c:strCache>
            </c:strRef>
          </c:tx>
          <c:spPr>
            <a:solidFill>
              <a:srgbClr val="c00000"/>
            </a:solidFill>
            <a:ln w="2808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Timing!$B$5:$E$5</c:f>
              <c:strCache>
                <c:ptCount val="4"/>
                <c:pt idx="0">
                  <c:v>256 KB</c:v>
                </c:pt>
                <c:pt idx="1">
                  <c:v>1024 KB</c:v>
                </c:pt>
                <c:pt idx="2">
                  <c:v>4096 KB</c:v>
                </c:pt>
                <c:pt idx="3">
                  <c:v>16384 KB</c:v>
                </c:pt>
              </c:strCache>
            </c:strRef>
          </c:cat>
          <c:val>
            <c:numRef>
              <c:f>Timing!$B$12:$E$12</c:f>
              <c:numCache>
                <c:formatCode>General</c:formatCode>
                <c:ptCount val="4"/>
                <c:pt idx="0">
                  <c:v>20.7321</c:v>
                </c:pt>
                <c:pt idx="1">
                  <c:v>20.7883</c:v>
                </c:pt>
                <c:pt idx="2">
                  <c:v>21.1554</c:v>
                </c:pt>
                <c:pt idx="3">
                  <c:v>20.7318</c:v>
                </c:pt>
              </c:numCache>
            </c:numRef>
          </c:val>
          <c:smooth val="0"/>
        </c:ser>
        <c:hiLowLines>
          <c:spPr>
            <a:ln w="0">
              <a:noFill/>
            </a:ln>
          </c:spPr>
        </c:hiLowLines>
        <c:marker val="0"/>
        <c:axId val="18915325"/>
        <c:axId val="56809387"/>
      </c:lineChart>
      <c:catAx>
        <c:axId val="1891532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6809387"/>
        <c:crosses val="autoZero"/>
        <c:auto val="1"/>
        <c:lblAlgn val="ctr"/>
        <c:lblOffset val="100"/>
        <c:noMultiLvlLbl val="0"/>
      </c:catAx>
      <c:valAx>
        <c:axId val="5680938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1532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Read-back seconds, against a query with no store</a:t>
            </a:r>
          </a:p>
        </c:rich>
      </c:tx>
      <c:overlay val="0"/>
      <c:spPr>
        <a:noFill/>
        <a:ln w="0">
          <a:noFill/>
        </a:ln>
      </c:spPr>
    </c:title>
    <c:autoTitleDeleted val="0"/>
    <c:plotArea>
      <c:barChart>
        <c:barDir val="col"/>
        <c:grouping val="clustered"/>
        <c:varyColors val="0"/>
        <c:ser>
          <c:idx val="0"/>
          <c:order val="0"/>
          <c:tx>
            <c:strRef>
              <c:f>Timing!A54</c:f>
              <c:strCache>
                <c:ptCount val="1"/>
                <c:pt idx="0">
                  <c:v>FileStore (raw)</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Timing!$B$53:$E$53</c:f>
              <c:strCache>
                <c:ptCount val="4"/>
                <c:pt idx="0">
                  <c:v>256 KB</c:v>
                </c:pt>
                <c:pt idx="1">
                  <c:v>1024 KB</c:v>
                </c:pt>
                <c:pt idx="2">
                  <c:v>4096 KB</c:v>
                </c:pt>
                <c:pt idx="3">
                  <c:v>16384 KB</c:v>
                </c:pt>
              </c:strCache>
            </c:strRef>
          </c:cat>
          <c:val>
            <c:numRef>
              <c:f>Timing!$B$54:$E$54</c:f>
              <c:numCache>
                <c:formatCode>General</c:formatCode>
                <c:ptCount val="4"/>
                <c:pt idx="0">
                  <c:v>10.9249</c:v>
                </c:pt>
                <c:pt idx="1">
                  <c:v>10.2081</c:v>
                </c:pt>
                <c:pt idx="2">
                  <c:v>9.832</c:v>
                </c:pt>
                <c:pt idx="3">
                  <c:v>10.232</c:v>
                </c:pt>
              </c:numCache>
            </c:numRef>
          </c:val>
        </c:ser>
        <c:ser>
          <c:idx val="1"/>
          <c:order val="1"/>
          <c:tx>
            <c:strRef>
              <c:f>Timing!A55</c:f>
              <c:strCache>
                <c:ptCount val="1"/>
                <c:pt idx="0">
                  <c:v>CompressedStore</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Timing!$B$53:$E$53</c:f>
              <c:strCache>
                <c:ptCount val="4"/>
                <c:pt idx="0">
                  <c:v>256 KB</c:v>
                </c:pt>
                <c:pt idx="1">
                  <c:v>1024 KB</c:v>
                </c:pt>
                <c:pt idx="2">
                  <c:v>4096 KB</c:v>
                </c:pt>
                <c:pt idx="3">
                  <c:v>16384 KB</c:v>
                </c:pt>
              </c:strCache>
            </c:strRef>
          </c:cat>
          <c:val>
            <c:numRef>
              <c:f>Timing!$B$55:$E$55</c:f>
              <c:numCache>
                <c:formatCode>General</c:formatCode>
                <c:ptCount val="4"/>
                <c:pt idx="0">
                  <c:v>9.6512</c:v>
                </c:pt>
                <c:pt idx="1">
                  <c:v>9.5181</c:v>
                </c:pt>
                <c:pt idx="2">
                  <c:v>9.9165</c:v>
                </c:pt>
                <c:pt idx="3">
                  <c:v>9.8915</c:v>
                </c:pt>
              </c:numCache>
            </c:numRef>
          </c:val>
        </c:ser>
        <c:ser>
          <c:idx val="2"/>
          <c:order val="2"/>
          <c:tx>
            <c:strRef>
              <c:f>Timing!A56</c:f>
              <c:strCache>
                <c:ptCount val="1"/>
                <c:pt idx="0">
                  <c:v>LossyStore lossless</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Timing!$B$53:$E$53</c:f>
              <c:strCache>
                <c:ptCount val="4"/>
                <c:pt idx="0">
                  <c:v>256 KB</c:v>
                </c:pt>
                <c:pt idx="1">
                  <c:v>1024 KB</c:v>
                </c:pt>
                <c:pt idx="2">
                  <c:v>4096 KB</c:v>
                </c:pt>
                <c:pt idx="3">
                  <c:v>16384 KB</c:v>
                </c:pt>
              </c:strCache>
            </c:strRef>
          </c:cat>
          <c:val>
            <c:numRef>
              <c:f>Timing!$B$56:$E$56</c:f>
              <c:numCache>
                <c:formatCode>General</c:formatCode>
                <c:ptCount val="4"/>
                <c:pt idx="0">
                  <c:v>10.3771</c:v>
                </c:pt>
                <c:pt idx="1">
                  <c:v>9.8422</c:v>
                </c:pt>
                <c:pt idx="2">
                  <c:v>9.9102</c:v>
                </c:pt>
                <c:pt idx="3">
                  <c:v>9.9934</c:v>
                </c:pt>
              </c:numCache>
            </c:numRef>
          </c:val>
        </c:ser>
        <c:ser>
          <c:idx val="3"/>
          <c:order val="3"/>
          <c:tx>
            <c:strRef>
              <c:f>Timing!A57</c:f>
              <c:strCache>
                <c:ptCount val="1"/>
                <c:pt idx="0">
                  <c:v>LossyStore 0.1%</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Timing!$B$53:$E$53</c:f>
              <c:strCache>
                <c:ptCount val="4"/>
                <c:pt idx="0">
                  <c:v>256 KB</c:v>
                </c:pt>
                <c:pt idx="1">
                  <c:v>1024 KB</c:v>
                </c:pt>
                <c:pt idx="2">
                  <c:v>4096 KB</c:v>
                </c:pt>
                <c:pt idx="3">
                  <c:v>16384 KB</c:v>
                </c:pt>
              </c:strCache>
            </c:strRef>
          </c:cat>
          <c:val>
            <c:numRef>
              <c:f>Timing!$B$57:$E$57</c:f>
              <c:numCache>
                <c:formatCode>General</c:formatCode>
                <c:ptCount val="4"/>
                <c:pt idx="0">
                  <c:v>9.9668</c:v>
                </c:pt>
                <c:pt idx="1">
                  <c:v>9.9944</c:v>
                </c:pt>
                <c:pt idx="2">
                  <c:v>9.9176</c:v>
                </c:pt>
                <c:pt idx="3">
                  <c:v>9.9976</c:v>
                </c:pt>
              </c:numCache>
            </c:numRef>
          </c:val>
        </c:ser>
        <c:ser>
          <c:idx val="4"/>
          <c:order val="4"/>
          <c:tx>
            <c:strRef>
              <c:f>Timing!A58</c:f>
              <c:strCache>
                <c:ptCount val="1"/>
                <c:pt idx="0">
                  <c:v>LossyStore 1%</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Timing!$B$53:$E$53</c:f>
              <c:strCache>
                <c:ptCount val="4"/>
                <c:pt idx="0">
                  <c:v>256 KB</c:v>
                </c:pt>
                <c:pt idx="1">
                  <c:v>1024 KB</c:v>
                </c:pt>
                <c:pt idx="2">
                  <c:v>4096 KB</c:v>
                </c:pt>
                <c:pt idx="3">
                  <c:v>16384 KB</c:v>
                </c:pt>
              </c:strCache>
            </c:strRef>
          </c:cat>
          <c:val>
            <c:numRef>
              <c:f>Timing!$B$58:$E$58</c:f>
              <c:numCache>
                <c:formatCode>General</c:formatCode>
                <c:ptCount val="4"/>
                <c:pt idx="0">
                  <c:v>9.9096</c:v>
                </c:pt>
                <c:pt idx="1">
                  <c:v>9.9524</c:v>
                </c:pt>
                <c:pt idx="2">
                  <c:v>10.0552</c:v>
                </c:pt>
                <c:pt idx="3">
                  <c:v>9.9678</c:v>
                </c:pt>
              </c:numCache>
            </c:numRef>
          </c:val>
        </c:ser>
        <c:ser>
          <c:idx val="5"/>
          <c:order val="5"/>
          <c:tx>
            <c:strRef>
              <c:f>Timing!A59</c:f>
              <c:strCache>
                <c:ptCount val="1"/>
                <c:pt idx="0">
                  <c:v>LossyStore 5%</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Timing!$B$53:$E$53</c:f>
              <c:strCache>
                <c:ptCount val="4"/>
                <c:pt idx="0">
                  <c:v>256 KB</c:v>
                </c:pt>
                <c:pt idx="1">
                  <c:v>1024 KB</c:v>
                </c:pt>
                <c:pt idx="2">
                  <c:v>4096 KB</c:v>
                </c:pt>
                <c:pt idx="3">
                  <c:v>16384 KB</c:v>
                </c:pt>
              </c:strCache>
            </c:strRef>
          </c:cat>
          <c:val>
            <c:numRef>
              <c:f>Timing!$B$59:$E$59</c:f>
              <c:numCache>
                <c:formatCode>General</c:formatCode>
                <c:ptCount val="4"/>
                <c:pt idx="0">
                  <c:v>9.9197</c:v>
                </c:pt>
                <c:pt idx="1">
                  <c:v>10.7078</c:v>
                </c:pt>
                <c:pt idx="2">
                  <c:v>9.8691</c:v>
                </c:pt>
                <c:pt idx="3">
                  <c:v>10.2527</c:v>
                </c:pt>
              </c:numCache>
            </c:numRef>
          </c:val>
        </c:ser>
        <c:gapWidth val="60"/>
        <c:overlap val="0"/>
        <c:axId val="87064390"/>
        <c:axId val="99985294"/>
      </c:barChart>
      <c:lineChart>
        <c:grouping val="standard"/>
        <c:varyColors val="0"/>
        <c:ser>
          <c:idx val="6"/>
          <c:order val="6"/>
          <c:tx>
            <c:strRef>
              <c:f>Timing!A60</c:f>
              <c:strCache>
                <c:ptCount val="1"/>
                <c:pt idx="0">
                  <c:v>normal query (no store)</c:v>
                </c:pt>
              </c:strCache>
            </c:strRef>
          </c:tx>
          <c:spPr>
            <a:solidFill>
              <a:srgbClr val="c00000"/>
            </a:solidFill>
            <a:ln w="2808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Timing!$B$53:$E$53</c:f>
              <c:strCache>
                <c:ptCount val="4"/>
                <c:pt idx="0">
                  <c:v>256 KB</c:v>
                </c:pt>
                <c:pt idx="1">
                  <c:v>1024 KB</c:v>
                </c:pt>
                <c:pt idx="2">
                  <c:v>4096 KB</c:v>
                </c:pt>
                <c:pt idx="3">
                  <c:v>16384 KB</c:v>
                </c:pt>
              </c:strCache>
            </c:strRef>
          </c:cat>
          <c:val>
            <c:numRef>
              <c:f>Timing!$B$60:$E$60</c:f>
              <c:numCache>
                <c:formatCode>General</c:formatCode>
                <c:ptCount val="4"/>
                <c:pt idx="0">
                  <c:v>20.7321</c:v>
                </c:pt>
                <c:pt idx="1">
                  <c:v>20.7883</c:v>
                </c:pt>
                <c:pt idx="2">
                  <c:v>21.1554</c:v>
                </c:pt>
                <c:pt idx="3">
                  <c:v>20.7318</c:v>
                </c:pt>
              </c:numCache>
            </c:numRef>
          </c:val>
          <c:smooth val="0"/>
        </c:ser>
        <c:hiLowLines>
          <c:spPr>
            <a:ln w="0">
              <a:noFill/>
            </a:ln>
          </c:spPr>
        </c:hiLowLines>
        <c:marker val="0"/>
        <c:axId val="87064390"/>
        <c:axId val="99985294"/>
      </c:lineChart>
      <c:catAx>
        <c:axId val="87064390"/>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9985294"/>
        <c:crosses val="autoZero"/>
        <c:auto val="1"/>
        <c:lblAlgn val="ctr"/>
        <c:lblOffset val="100"/>
        <c:noMultiLvlLbl val="0"/>
      </c:catAx>
      <c:valAx>
        <c:axId val="9998529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seconds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7064390"/>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Write query throughput, against a query with no store</a:t>
            </a:r>
          </a:p>
        </c:rich>
      </c:tx>
      <c:overlay val="0"/>
      <c:spPr>
        <a:noFill/>
        <a:ln w="0">
          <a:noFill/>
        </a:ln>
      </c:spPr>
    </c:title>
    <c:autoTitleDeleted val="0"/>
    <c:plotArea>
      <c:barChart>
        <c:barDir val="col"/>
        <c:grouping val="clustered"/>
        <c:varyColors val="0"/>
        <c:ser>
          <c:idx val="0"/>
          <c:order val="0"/>
          <c:tx>
            <c:strRef>
              <c:f>Throughput!A6</c:f>
              <c:strCache>
                <c:ptCount val="1"/>
                <c:pt idx="0">
                  <c:v>FileStore (raw)</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Throughput!$B$6:$E$6</c:f>
              <c:numCache>
                <c:formatCode>General</c:formatCode>
                <c:ptCount val="4"/>
                <c:pt idx="0">
                  <c:v>42.9585182257514</c:v>
                </c:pt>
                <c:pt idx="1">
                  <c:v>43.3872226153539</c:v>
                </c:pt>
                <c:pt idx="2">
                  <c:v>41.9661911715152</c:v>
                </c:pt>
                <c:pt idx="3">
                  <c:v>43.0053378990835</c:v>
                </c:pt>
              </c:numCache>
            </c:numRef>
          </c:val>
        </c:ser>
        <c:ser>
          <c:idx val="1"/>
          <c:order val="1"/>
          <c:tx>
            <c:strRef>
              <c:f>Throughput!A7</c:f>
              <c:strCache>
                <c:ptCount val="1"/>
                <c:pt idx="0">
                  <c:v>CompressedStore</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Throughput!$B$7:$E$7</c:f>
              <c:numCache>
                <c:formatCode>General</c:formatCode>
                <c:ptCount val="4"/>
                <c:pt idx="0">
                  <c:v>35.1477522606743</c:v>
                </c:pt>
                <c:pt idx="1">
                  <c:v>36.0519007457038</c:v>
                </c:pt>
                <c:pt idx="2">
                  <c:v>34.7621802830169</c:v>
                </c:pt>
                <c:pt idx="3">
                  <c:v>32.9983633297546</c:v>
                </c:pt>
              </c:numCache>
            </c:numRef>
          </c:val>
        </c:ser>
        <c:ser>
          <c:idx val="2"/>
          <c:order val="2"/>
          <c:tx>
            <c:strRef>
              <c:f>Throughput!A8</c:f>
              <c:strCache>
                <c:ptCount val="1"/>
                <c:pt idx="0">
                  <c:v>LossyStore lossless</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Throughput!$B$8:$E$8</c:f>
              <c:numCache>
                <c:formatCode>General</c:formatCode>
                <c:ptCount val="4"/>
                <c:pt idx="0">
                  <c:v>37.342661710966</c:v>
                </c:pt>
                <c:pt idx="1">
                  <c:v>38.545485026388</c:v>
                </c:pt>
                <c:pt idx="2">
                  <c:v>36.4772429111012</c:v>
                </c:pt>
                <c:pt idx="3">
                  <c:v>36.5827165329033</c:v>
                </c:pt>
              </c:numCache>
            </c:numRef>
          </c:val>
        </c:ser>
        <c:ser>
          <c:idx val="3"/>
          <c:order val="3"/>
          <c:tx>
            <c:strRef>
              <c:f>Throughput!A9</c:f>
              <c:strCache>
                <c:ptCount val="1"/>
                <c:pt idx="0">
                  <c:v>LossyStore 0.1%</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Throughput!$B$9:$E$9</c:f>
              <c:numCache>
                <c:formatCode>General</c:formatCode>
                <c:ptCount val="4"/>
                <c:pt idx="0">
                  <c:v>37.4636518600221</c:v>
                </c:pt>
                <c:pt idx="1">
                  <c:v>39.3650751841328</c:v>
                </c:pt>
                <c:pt idx="2">
                  <c:v>38.88749751993</c:v>
                </c:pt>
                <c:pt idx="3">
                  <c:v>38.8306631027506</c:v>
                </c:pt>
              </c:numCache>
            </c:numRef>
          </c:val>
        </c:ser>
        <c:ser>
          <c:idx val="4"/>
          <c:order val="4"/>
          <c:tx>
            <c:strRef>
              <c:f>Throughput!A10</c:f>
              <c:strCache>
                <c:ptCount val="1"/>
                <c:pt idx="0">
                  <c:v>LossyStore 1%</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Throughput!$B$10:$E$10</c:f>
              <c:numCache>
                <c:formatCode>General</c:formatCode>
                <c:ptCount val="4"/>
                <c:pt idx="0">
                  <c:v>37.6262364007717</c:v>
                </c:pt>
                <c:pt idx="1">
                  <c:v>38.6456565656566</c:v>
                </c:pt>
                <c:pt idx="2">
                  <c:v>38.4361909721887</c:v>
                </c:pt>
                <c:pt idx="3">
                  <c:v>39.0865848276313</c:v>
                </c:pt>
              </c:numCache>
            </c:numRef>
          </c:val>
        </c:ser>
        <c:ser>
          <c:idx val="5"/>
          <c:order val="5"/>
          <c:tx>
            <c:strRef>
              <c:f>Throughput!A11</c:f>
              <c:strCache>
                <c:ptCount val="1"/>
                <c:pt idx="0">
                  <c:v>LossyStore 5%</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Throughput!$B$11:$E$11</c:f>
              <c:numCache>
                <c:formatCode>General</c:formatCode>
                <c:ptCount val="4"/>
                <c:pt idx="0">
                  <c:v>37.4869096815055</c:v>
                </c:pt>
                <c:pt idx="1">
                  <c:v>39.1672536076395</c:v>
                </c:pt>
                <c:pt idx="2">
                  <c:v>37.6810223924108</c:v>
                </c:pt>
                <c:pt idx="3">
                  <c:v>37.8354430379747</c:v>
                </c:pt>
              </c:numCache>
            </c:numRef>
          </c:val>
        </c:ser>
        <c:gapWidth val="60"/>
        <c:overlap val="0"/>
        <c:axId val="74186912"/>
        <c:axId val="19164102"/>
      </c:barChart>
      <c:lineChart>
        <c:grouping val="standard"/>
        <c:varyColors val="0"/>
        <c:ser>
          <c:idx val="6"/>
          <c:order val="6"/>
          <c:tx>
            <c:strRef>
              <c:f>Throughput!A12</c:f>
              <c:strCache>
                <c:ptCount val="1"/>
                <c:pt idx="0">
                  <c:v>normal query (no store)</c:v>
                </c:pt>
              </c:strCache>
            </c:strRef>
          </c:tx>
          <c:spPr>
            <a:solidFill>
              <a:srgbClr val="c00000"/>
            </a:solidFill>
            <a:ln w="2808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Throughput!$B$5:$E$5</c:f>
              <c:strCache>
                <c:ptCount val="4"/>
                <c:pt idx="0">
                  <c:v>256 KB</c:v>
                </c:pt>
                <c:pt idx="1">
                  <c:v>1024 KB</c:v>
                </c:pt>
                <c:pt idx="2">
                  <c:v>4096 KB</c:v>
                </c:pt>
                <c:pt idx="3">
                  <c:v>16384 KB</c:v>
                </c:pt>
              </c:strCache>
            </c:strRef>
          </c:cat>
          <c:val>
            <c:numRef>
              <c:f>Throughput!$B$12:$E$12</c:f>
              <c:numCache>
                <c:formatCode>General</c:formatCode>
                <c:ptCount val="4"/>
                <c:pt idx="0">
                  <c:v>57.6690253278732</c:v>
                </c:pt>
                <c:pt idx="1">
                  <c:v>57.5131203609723</c:v>
                </c:pt>
                <c:pt idx="2">
                  <c:v>56.5151214347164</c:v>
                </c:pt>
                <c:pt idx="3">
                  <c:v>57.6698598288619</c:v>
                </c:pt>
              </c:numCache>
            </c:numRef>
          </c:val>
          <c:smooth val="0"/>
        </c:ser>
        <c:hiLowLines>
          <c:spPr>
            <a:ln w="0">
              <a:noFill/>
            </a:ln>
          </c:spPr>
        </c:hiLowLines>
        <c:marker val="0"/>
        <c:axId val="74186912"/>
        <c:axId val="19164102"/>
      </c:lineChart>
      <c:catAx>
        <c:axId val="7418691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164102"/>
        <c:crosses val="autoZero"/>
        <c:auto val="1"/>
        <c:lblAlgn val="ctr"/>
        <c:lblOffset val="100"/>
        <c:noMultiLvlLbl val="0"/>
      </c:catAx>
      <c:valAx>
        <c:axId val="1916410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MB/s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18691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Store write throughput</a:t>
            </a:r>
          </a:p>
        </c:rich>
      </c:tx>
      <c:overlay val="0"/>
      <c:spPr>
        <a:noFill/>
        <a:ln w="0">
          <a:noFill/>
        </a:ln>
      </c:spPr>
    </c:title>
    <c:autoTitleDeleted val="0"/>
    <c:plotArea>
      <c:barChart>
        <c:barDir val="col"/>
        <c:grouping val="clustered"/>
        <c:varyColors val="0"/>
        <c:ser>
          <c:idx val="0"/>
          <c:order val="0"/>
          <c:tx>
            <c:strRef>
              <c:f>Throughput!A41</c:f>
              <c:strCache>
                <c:ptCount val="1"/>
                <c:pt idx="0">
                  <c:v>FileStore (raw)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Throughput!$B$40:$E$40</c:f>
              <c:strCache>
                <c:ptCount val="4"/>
                <c:pt idx="0">
                  <c:v>256 KB</c:v>
                </c:pt>
                <c:pt idx="1">
                  <c:v>1024 KB</c:v>
                </c:pt>
                <c:pt idx="2">
                  <c:v>4096 KB</c:v>
                </c:pt>
                <c:pt idx="3">
                  <c:v>16384 KB</c:v>
                </c:pt>
              </c:strCache>
            </c:strRef>
          </c:cat>
          <c:val>
            <c:numRef>
              <c:f>Throughput!$B$41:$E$41</c:f>
              <c:numCache>
                <c:formatCode>General</c:formatCode>
                <c:ptCount val="4"/>
                <c:pt idx="0">
                  <c:v>168.408597909683</c:v>
                </c:pt>
                <c:pt idx="1">
                  <c:v>176.649626193079</c:v>
                </c:pt>
                <c:pt idx="2">
                  <c:v>163.01709797933</c:v>
                </c:pt>
                <c:pt idx="3">
                  <c:v>169.123263643308</c:v>
                </c:pt>
              </c:numCache>
            </c:numRef>
          </c:val>
        </c:ser>
        <c:ser>
          <c:idx val="1"/>
          <c:order val="1"/>
          <c:tx>
            <c:strRef>
              <c:f>Throughput!A42</c:f>
              <c:strCache>
                <c:ptCount val="1"/>
                <c:pt idx="0">
                  <c:v>CompressedStore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Throughput!$B$40:$E$40</c:f>
              <c:strCache>
                <c:ptCount val="4"/>
                <c:pt idx="0">
                  <c:v>256 KB</c:v>
                </c:pt>
                <c:pt idx="1">
                  <c:v>1024 KB</c:v>
                </c:pt>
                <c:pt idx="2">
                  <c:v>4096 KB</c:v>
                </c:pt>
                <c:pt idx="3">
                  <c:v>16384 KB</c:v>
                </c:pt>
              </c:strCache>
            </c:strRef>
          </c:cat>
          <c:val>
            <c:numRef>
              <c:f>Throughput!$B$42:$E$42</c:f>
              <c:numCache>
                <c:formatCode>General</c:formatCode>
                <c:ptCount val="4"/>
                <c:pt idx="0">
                  <c:v>90.0009785987971</c:v>
                </c:pt>
                <c:pt idx="1">
                  <c:v>96.6141414141414</c:v>
                </c:pt>
                <c:pt idx="2">
                  <c:v>90.3137109749741</c:v>
                </c:pt>
                <c:pt idx="3">
                  <c:v>77.1339909550138</c:v>
                </c:pt>
              </c:numCache>
            </c:numRef>
          </c:val>
        </c:ser>
        <c:ser>
          <c:idx val="2"/>
          <c:order val="2"/>
          <c:tx>
            <c:strRef>
              <c:f>Throughput!A43</c:f>
              <c:strCache>
                <c:ptCount val="1"/>
                <c:pt idx="0">
                  <c:v>LossyStore lossless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Throughput!$B$40:$E$40</c:f>
              <c:strCache>
                <c:ptCount val="4"/>
                <c:pt idx="0">
                  <c:v>256 KB</c:v>
                </c:pt>
                <c:pt idx="1">
                  <c:v>1024 KB</c:v>
                </c:pt>
                <c:pt idx="2">
                  <c:v>4096 KB</c:v>
                </c:pt>
                <c:pt idx="3">
                  <c:v>16384 KB</c:v>
                </c:pt>
              </c:strCache>
            </c:strRef>
          </c:cat>
          <c:val>
            <c:numRef>
              <c:f>Throughput!$B$43:$E$43</c:f>
              <c:numCache>
                <c:formatCode>General</c:formatCode>
                <c:ptCount val="4"/>
                <c:pt idx="0">
                  <c:v>105.946884775231</c:v>
                </c:pt>
                <c:pt idx="1">
                  <c:v>116.876515210761</c:v>
                </c:pt>
                <c:pt idx="2">
                  <c:v>102.880941727188</c:v>
                </c:pt>
                <c:pt idx="3">
                  <c:v>100.047697547342</c:v>
                </c:pt>
              </c:numCache>
            </c:numRef>
          </c:val>
        </c:ser>
        <c:ser>
          <c:idx val="3"/>
          <c:order val="3"/>
          <c:tx>
            <c:strRef>
              <c:f>Throughput!A44</c:f>
              <c:strCache>
                <c:ptCount val="1"/>
                <c:pt idx="0">
                  <c:v>LossyStore 0.1%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Throughput!$B$40:$E$40</c:f>
              <c:strCache>
                <c:ptCount val="4"/>
                <c:pt idx="0">
                  <c:v>256 KB</c:v>
                </c:pt>
                <c:pt idx="1">
                  <c:v>1024 KB</c:v>
                </c:pt>
                <c:pt idx="2">
                  <c:v>4096 KB</c:v>
                </c:pt>
                <c:pt idx="3">
                  <c:v>16384 KB</c:v>
                </c:pt>
              </c:strCache>
            </c:strRef>
          </c:cat>
          <c:val>
            <c:numRef>
              <c:f>Throughput!$B$44:$E$44</c:f>
              <c:numCache>
                <c:formatCode>General</c:formatCode>
                <c:ptCount val="4"/>
                <c:pt idx="0">
                  <c:v>106.926619863167</c:v>
                </c:pt>
                <c:pt idx="1">
                  <c:v>124.752185980509</c:v>
                </c:pt>
                <c:pt idx="2">
                  <c:v>124.675433016674</c:v>
                </c:pt>
                <c:pt idx="3">
                  <c:v>118.867005358758</c:v>
                </c:pt>
              </c:numCache>
            </c:numRef>
          </c:val>
        </c:ser>
        <c:ser>
          <c:idx val="4"/>
          <c:order val="4"/>
          <c:tx>
            <c:strRef>
              <c:f>Throughput!A45</c:f>
              <c:strCache>
                <c:ptCount val="1"/>
                <c:pt idx="0">
                  <c:v>LossyStore 1%</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Throughput!$B$40:$E$40</c:f>
              <c:strCache>
                <c:ptCount val="4"/>
                <c:pt idx="0">
                  <c:v>256 KB</c:v>
                </c:pt>
                <c:pt idx="1">
                  <c:v>1024 KB</c:v>
                </c:pt>
                <c:pt idx="2">
                  <c:v>4096 KB</c:v>
                </c:pt>
                <c:pt idx="3">
                  <c:v>16384 KB</c:v>
                </c:pt>
              </c:strCache>
            </c:strRef>
          </c:cat>
          <c:val>
            <c:numRef>
              <c:f>Throughput!$B$45:$E$45</c:f>
              <c:numCache>
                <c:formatCode>General</c:formatCode>
                <c:ptCount val="4"/>
                <c:pt idx="0">
                  <c:v>108.261798688833</c:v>
                </c:pt>
                <c:pt idx="1">
                  <c:v>117.802388365585</c:v>
                </c:pt>
                <c:pt idx="2">
                  <c:v>120.152351090878</c:v>
                </c:pt>
                <c:pt idx="3">
                  <c:v>121.29820325261</c:v>
                </c:pt>
              </c:numCache>
            </c:numRef>
          </c:val>
        </c:ser>
        <c:ser>
          <c:idx val="5"/>
          <c:order val="5"/>
          <c:tx>
            <c:strRef>
              <c:f>Throughput!A46</c:f>
              <c:strCache>
                <c:ptCount val="1"/>
                <c:pt idx="0">
                  <c:v>LossyStore 5%</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Throughput!$B$40:$E$40</c:f>
              <c:strCache>
                <c:ptCount val="4"/>
                <c:pt idx="0">
                  <c:v>256 KB</c:v>
                </c:pt>
                <c:pt idx="1">
                  <c:v>1024 KB</c:v>
                </c:pt>
                <c:pt idx="2">
                  <c:v>4096 KB</c:v>
                </c:pt>
                <c:pt idx="3">
                  <c:v>16384 KB</c:v>
                </c:pt>
              </c:strCache>
            </c:strRef>
          </c:cat>
          <c:val>
            <c:numRef>
              <c:f>Throughput!$B$46:$E$46</c:f>
              <c:numCache>
                <c:formatCode>General</c:formatCode>
                <c:ptCount val="4"/>
                <c:pt idx="0">
                  <c:v>107.116299488429</c:v>
                </c:pt>
                <c:pt idx="1">
                  <c:v>122.78683810541</c:v>
                </c:pt>
                <c:pt idx="2">
                  <c:v>113.068724525019</c:v>
                </c:pt>
                <c:pt idx="3">
                  <c:v>110.009017132552</c:v>
                </c:pt>
              </c:numCache>
            </c:numRef>
          </c:val>
        </c:ser>
        <c:gapWidth val="60"/>
        <c:overlap val="0"/>
        <c:axId val="91164835"/>
        <c:axId val="26828437"/>
      </c:barChart>
      <c:catAx>
        <c:axId val="9116483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828437"/>
        <c:crosses val="autoZero"/>
        <c:auto val="1"/>
        <c:lblAlgn val="ctr"/>
        <c:lblOffset val="100"/>
        <c:noMultiLvlLbl val="0"/>
      </c:catAx>
      <c:valAx>
        <c:axId val="2682843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MB/s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16483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Read-back throughput, against a query with no store</a:t>
            </a:r>
          </a:p>
        </c:rich>
      </c:tx>
      <c:overlay val="0"/>
      <c:spPr>
        <a:noFill/>
        <a:ln w="0">
          <a:noFill/>
        </a:ln>
      </c:spPr>
    </c:title>
    <c:autoTitleDeleted val="0"/>
    <c:plotArea>
      <c:barChart>
        <c:barDir val="col"/>
        <c:grouping val="clustered"/>
        <c:varyColors val="0"/>
        <c:ser>
          <c:idx val="0"/>
          <c:order val="0"/>
          <c:tx>
            <c:strRef>
              <c:f>Throughput!A75</c:f>
              <c:strCache>
                <c:ptCount val="1"/>
                <c:pt idx="0">
                  <c:v>FileStore (raw)</c:v>
                </c:pt>
              </c:strCache>
            </c:strRef>
          </c:tx>
          <c:spPr>
            <a:solidFill>
              <a:srgbClr val="4672a8"/>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Throughput!$B$74:$E$74</c:f>
              <c:strCache>
                <c:ptCount val="4"/>
                <c:pt idx="0">
                  <c:v>256 KB</c:v>
                </c:pt>
                <c:pt idx="1">
                  <c:v>1024 KB</c:v>
                </c:pt>
                <c:pt idx="2">
                  <c:v>4096 KB</c:v>
                </c:pt>
                <c:pt idx="3">
                  <c:v>16384 KB</c:v>
                </c:pt>
              </c:strCache>
            </c:strRef>
          </c:cat>
          <c:val>
            <c:numRef>
              <c:f>Throughput!$B$75:$E$75</c:f>
              <c:numCache>
                <c:formatCode>General</c:formatCode>
                <c:ptCount val="4"/>
                <c:pt idx="0">
                  <c:v>109.438072659704</c:v>
                </c:pt>
                <c:pt idx="1">
                  <c:v>117.122677089762</c:v>
                </c:pt>
                <c:pt idx="2">
                  <c:v>121.60292921074</c:v>
                </c:pt>
                <c:pt idx="3">
                  <c:v>116.849100860047</c:v>
                </c:pt>
              </c:numCache>
            </c:numRef>
          </c:val>
        </c:ser>
        <c:ser>
          <c:idx val="1"/>
          <c:order val="1"/>
          <c:tx>
            <c:strRef>
              <c:f>Throughput!A76</c:f>
              <c:strCache>
                <c:ptCount val="1"/>
                <c:pt idx="0">
                  <c:v>CompressedStore</c:v>
                </c:pt>
              </c:strCache>
            </c:strRef>
          </c:tx>
          <c:spPr>
            <a:solidFill>
              <a:srgbClr val="ab474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Throughput!$B$74:$E$74</c:f>
              <c:strCache>
                <c:ptCount val="4"/>
                <c:pt idx="0">
                  <c:v>256 KB</c:v>
                </c:pt>
                <c:pt idx="1">
                  <c:v>1024 KB</c:v>
                </c:pt>
                <c:pt idx="2">
                  <c:v>4096 KB</c:v>
                </c:pt>
                <c:pt idx="3">
                  <c:v>16384 KB</c:v>
                </c:pt>
              </c:strCache>
            </c:strRef>
          </c:cat>
          <c:val>
            <c:numRef>
              <c:f>Throughput!$B$76:$E$76</c:f>
              <c:numCache>
                <c:formatCode>General</c:formatCode>
                <c:ptCount val="4"/>
                <c:pt idx="0">
                  <c:v>123.880968169761</c:v>
                </c:pt>
                <c:pt idx="1">
                  <c:v>125.613305176453</c:v>
                </c:pt>
                <c:pt idx="2">
                  <c:v>120.566732213987</c:v>
                </c:pt>
                <c:pt idx="3">
                  <c:v>120.871455289895</c:v>
                </c:pt>
              </c:numCache>
            </c:numRef>
          </c:val>
        </c:ser>
        <c:ser>
          <c:idx val="2"/>
          <c:order val="2"/>
          <c:tx>
            <c:strRef>
              <c:f>Throughput!A77</c:f>
              <c:strCache>
                <c:ptCount val="1"/>
                <c:pt idx="0">
                  <c:v>LossyStore lossless</c:v>
                </c:pt>
              </c:strCache>
            </c:strRef>
          </c:tx>
          <c:spPr>
            <a:solidFill>
              <a:srgbClr val="8aa64f"/>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Throughput!$B$74:$E$74</c:f>
              <c:strCache>
                <c:ptCount val="4"/>
                <c:pt idx="0">
                  <c:v>256 KB</c:v>
                </c:pt>
                <c:pt idx="1">
                  <c:v>1024 KB</c:v>
                </c:pt>
                <c:pt idx="2">
                  <c:v>4096 KB</c:v>
                </c:pt>
                <c:pt idx="3">
                  <c:v>16384 KB</c:v>
                </c:pt>
              </c:strCache>
            </c:strRef>
          </c:cat>
          <c:val>
            <c:numRef>
              <c:f>Throughput!$B$77:$E$77</c:f>
              <c:numCache>
                <c:formatCode>General</c:formatCode>
                <c:ptCount val="4"/>
                <c:pt idx="0">
                  <c:v>115.21523354309</c:v>
                </c:pt>
                <c:pt idx="1">
                  <c:v>121.476905569893</c:v>
                </c:pt>
                <c:pt idx="2">
                  <c:v>120.643377530221</c:v>
                </c:pt>
                <c:pt idx="3">
                  <c:v>119.638961714732</c:v>
                </c:pt>
              </c:numCache>
            </c:numRef>
          </c:val>
        </c:ser>
        <c:ser>
          <c:idx val="3"/>
          <c:order val="3"/>
          <c:tx>
            <c:strRef>
              <c:f>Throughput!A78</c:f>
              <c:strCache>
                <c:ptCount val="1"/>
                <c:pt idx="0">
                  <c:v>LossyStore 0.1%</c:v>
                </c:pt>
              </c:strCache>
            </c:strRef>
          </c:tx>
          <c:spPr>
            <a:solidFill>
              <a:srgbClr val="72599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Throughput!$B$74:$E$74</c:f>
              <c:strCache>
                <c:ptCount val="4"/>
                <c:pt idx="0">
                  <c:v>256 KB</c:v>
                </c:pt>
                <c:pt idx="1">
                  <c:v>1024 KB</c:v>
                </c:pt>
                <c:pt idx="2">
                  <c:v>4096 KB</c:v>
                </c:pt>
                <c:pt idx="3">
                  <c:v>16384 KB</c:v>
                </c:pt>
              </c:strCache>
            </c:strRef>
          </c:cat>
          <c:val>
            <c:numRef>
              <c:f>Throughput!$B$78:$E$78</c:f>
              <c:numCache>
                <c:formatCode>General</c:formatCode>
                <c:ptCount val="4"/>
                <c:pt idx="0">
                  <c:v>119.958261427941</c:v>
                </c:pt>
                <c:pt idx="1">
                  <c:v>119.626991115024</c:v>
                </c:pt>
                <c:pt idx="2">
                  <c:v>120.553359683794</c:v>
                </c:pt>
                <c:pt idx="3">
                  <c:v>119.588701288309</c:v>
                </c:pt>
              </c:numCache>
            </c:numRef>
          </c:val>
        </c:ser>
        <c:ser>
          <c:idx val="4"/>
          <c:order val="4"/>
          <c:tx>
            <c:strRef>
              <c:f>Throughput!A79</c:f>
              <c:strCache>
                <c:ptCount val="1"/>
                <c:pt idx="0">
                  <c:v>LossyStore 1%</c:v>
                </c:pt>
              </c:strCache>
            </c:strRef>
          </c:tx>
          <c:spPr>
            <a:solidFill>
              <a:srgbClr val="4299b0"/>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Throughput!$B$74:$E$74</c:f>
              <c:strCache>
                <c:ptCount val="4"/>
                <c:pt idx="0">
                  <c:v>256 KB</c:v>
                </c:pt>
                <c:pt idx="1">
                  <c:v>1024 KB</c:v>
                </c:pt>
                <c:pt idx="2">
                  <c:v>4096 KB</c:v>
                </c:pt>
                <c:pt idx="3">
                  <c:v>16384 KB</c:v>
                </c:pt>
              </c:strCache>
            </c:strRef>
          </c:cat>
          <c:val>
            <c:numRef>
              <c:f>Throughput!$B$79:$E$79</c:f>
              <c:numCache>
                <c:formatCode>General</c:formatCode>
                <c:ptCount val="4"/>
                <c:pt idx="0">
                  <c:v>120.650682166788</c:v>
                </c:pt>
                <c:pt idx="1">
                  <c:v>120.131827498895</c:v>
                </c:pt>
                <c:pt idx="2">
                  <c:v>118.903651841833</c:v>
                </c:pt>
                <c:pt idx="3">
                  <c:v>119.946226850458</c:v>
                </c:pt>
              </c:numCache>
            </c:numRef>
          </c:val>
        </c:ser>
        <c:ser>
          <c:idx val="5"/>
          <c:order val="5"/>
          <c:tx>
            <c:strRef>
              <c:f>Throughput!A80</c:f>
              <c:strCache>
                <c:ptCount val="1"/>
                <c:pt idx="0">
                  <c:v>LossyStore 5%</c:v>
                </c:pt>
              </c:strCache>
            </c:strRef>
          </c:tx>
          <c:spPr>
            <a:solidFill>
              <a:srgbClr val="dc853e"/>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Throughput!$B$74:$E$74</c:f>
              <c:strCache>
                <c:ptCount val="4"/>
                <c:pt idx="0">
                  <c:v>256 KB</c:v>
                </c:pt>
                <c:pt idx="1">
                  <c:v>1024 KB</c:v>
                </c:pt>
                <c:pt idx="2">
                  <c:v>4096 KB</c:v>
                </c:pt>
                <c:pt idx="3">
                  <c:v>16384 KB</c:v>
                </c:pt>
              </c:strCache>
            </c:strRef>
          </c:cat>
          <c:val>
            <c:numRef>
              <c:f>Throughput!$B$80:$E$80</c:f>
              <c:numCache>
                <c:formatCode>General</c:formatCode>
                <c:ptCount val="4"/>
                <c:pt idx="0">
                  <c:v>120.527838543504</c:v>
                </c:pt>
                <c:pt idx="1">
                  <c:v>111.656922990717</c:v>
                </c:pt>
                <c:pt idx="2">
                  <c:v>121.145798502396</c:v>
                </c:pt>
                <c:pt idx="3">
                  <c:v>116.613184819608</c:v>
                </c:pt>
              </c:numCache>
            </c:numRef>
          </c:val>
        </c:ser>
        <c:gapWidth val="60"/>
        <c:overlap val="0"/>
        <c:axId val="97984167"/>
        <c:axId val="7569609"/>
      </c:barChart>
      <c:lineChart>
        <c:grouping val="standard"/>
        <c:varyColors val="0"/>
        <c:ser>
          <c:idx val="6"/>
          <c:order val="6"/>
          <c:tx>
            <c:strRef>
              <c:f>Throughput!A81</c:f>
              <c:strCache>
                <c:ptCount val="1"/>
                <c:pt idx="0">
                  <c:v>normal query (no store)</c:v>
                </c:pt>
              </c:strCache>
            </c:strRef>
          </c:tx>
          <c:spPr>
            <a:solidFill>
              <a:srgbClr val="c00000"/>
            </a:solidFill>
            <a:ln w="2808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Throughput!$B$74:$E$74</c:f>
              <c:strCache>
                <c:ptCount val="4"/>
                <c:pt idx="0">
                  <c:v>256 KB</c:v>
                </c:pt>
                <c:pt idx="1">
                  <c:v>1024 KB</c:v>
                </c:pt>
                <c:pt idx="2">
                  <c:v>4096 KB</c:v>
                </c:pt>
                <c:pt idx="3">
                  <c:v>16384 KB</c:v>
                </c:pt>
              </c:strCache>
            </c:strRef>
          </c:cat>
          <c:val>
            <c:numRef>
              <c:f>Throughput!$B$81:$E$81</c:f>
              <c:numCache>
                <c:formatCode>General</c:formatCode>
                <c:ptCount val="4"/>
                <c:pt idx="0">
                  <c:v>57.6690253278732</c:v>
                </c:pt>
                <c:pt idx="1">
                  <c:v>57.5131203609723</c:v>
                </c:pt>
                <c:pt idx="2">
                  <c:v>56.5151214347164</c:v>
                </c:pt>
                <c:pt idx="3">
                  <c:v>57.6698598288619</c:v>
                </c:pt>
              </c:numCache>
            </c:numRef>
          </c:val>
          <c:smooth val="0"/>
        </c:ser>
        <c:hiLowLines>
          <c:spPr>
            <a:ln w="0">
              <a:noFill/>
            </a:ln>
          </c:spPr>
        </c:hiLowLines>
        <c:marker val="0"/>
        <c:axId val="97984167"/>
        <c:axId val="7569609"/>
      </c:lineChart>
      <c:catAx>
        <c:axId val="97984167"/>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569609"/>
        <c:crosses val="autoZero"/>
        <c:auto val="1"/>
        <c:lblAlgn val="ctr"/>
        <c:lblOffset val="100"/>
        <c:noMultiLvlLbl val="0"/>
      </c:catAx>
      <c:valAx>
        <c:axId val="756960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MB/s</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98416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Framing bytes by configuration</a:t>
            </a:r>
          </a:p>
        </c:rich>
      </c:tx>
      <c:overlay val="0"/>
      <c:spPr>
        <a:noFill/>
        <a:ln w="0">
          <a:noFill/>
        </a:ln>
      </c:spPr>
    </c:title>
    <c:autoTitleDeleted val="0"/>
    <c:plotArea>
      <c:barChart>
        <c:barDir val="col"/>
        <c:grouping val="clustered"/>
        <c:varyColors val="0"/>
        <c:ser>
          <c:idx val="0"/>
          <c:order val="0"/>
          <c:tx>
            <c:strRef>
              <c:f>Framing!A6</c:f>
              <c:strCache>
                <c:ptCount val="1"/>
                <c:pt idx="0">
                  <c:v>FileStore (raw)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Framing!$B$5:$E$5</c:f>
              <c:strCache>
                <c:ptCount val="4"/>
                <c:pt idx="0">
                  <c:v>256 KB</c:v>
                </c:pt>
                <c:pt idx="1">
                  <c:v>1024 KB</c:v>
                </c:pt>
                <c:pt idx="2">
                  <c:v>4096 KB</c:v>
                </c:pt>
                <c:pt idx="3">
                  <c:v>16384 KB</c:v>
                </c:pt>
              </c:strCache>
            </c:strRef>
          </c:cat>
          <c:val>
            <c:numRef>
              <c:f>Framing!$B$6:$E$6</c:f>
              <c:numCache>
                <c:formatCode>General</c:formatCode>
                <c:ptCount val="4"/>
                <c:pt idx="0">
                  <c:v>328436</c:v>
                </c:pt>
                <c:pt idx="1">
                  <c:v>82676</c:v>
                </c:pt>
                <c:pt idx="2">
                  <c:v>21236</c:v>
                </c:pt>
                <c:pt idx="3">
                  <c:v>5876</c:v>
                </c:pt>
              </c:numCache>
            </c:numRef>
          </c:val>
        </c:ser>
        <c:ser>
          <c:idx val="1"/>
          <c:order val="1"/>
          <c:tx>
            <c:strRef>
              <c:f>Framing!A7</c:f>
              <c:strCache>
                <c:ptCount val="1"/>
                <c:pt idx="0">
                  <c:v>CompressedStore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Framing!$B$5:$E$5</c:f>
              <c:strCache>
                <c:ptCount val="4"/>
                <c:pt idx="0">
                  <c:v>256 KB</c:v>
                </c:pt>
                <c:pt idx="1">
                  <c:v>1024 KB</c:v>
                </c:pt>
                <c:pt idx="2">
                  <c:v>4096 KB</c:v>
                </c:pt>
                <c:pt idx="3">
                  <c:v>16384 KB</c:v>
                </c:pt>
              </c:strCache>
            </c:strRef>
          </c:cat>
          <c:val>
            <c:numRef>
              <c:f>Framing!$B$7:$E$7</c:f>
              <c:numCache>
                <c:formatCode>General</c:formatCode>
                <c:ptCount val="4"/>
                <c:pt idx="0">
                  <c:v>187379</c:v>
                </c:pt>
                <c:pt idx="1">
                  <c:v>47159</c:v>
                </c:pt>
                <c:pt idx="2">
                  <c:v>12104</c:v>
                </c:pt>
                <c:pt idx="3">
                  <c:v>3330</c:v>
                </c:pt>
              </c:numCache>
            </c:numRef>
          </c:val>
        </c:ser>
        <c:ser>
          <c:idx val="2"/>
          <c:order val="2"/>
          <c:tx>
            <c:strRef>
              <c:f>Framing!A8</c:f>
              <c:strCache>
                <c:ptCount val="1"/>
                <c:pt idx="0">
                  <c:v>LossyStore lossless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Framing!$B$5:$E$5</c:f>
              <c:strCache>
                <c:ptCount val="4"/>
                <c:pt idx="0">
                  <c:v>256 KB</c:v>
                </c:pt>
                <c:pt idx="1">
                  <c:v>1024 KB</c:v>
                </c:pt>
                <c:pt idx="2">
                  <c:v>4096 KB</c:v>
                </c:pt>
                <c:pt idx="3">
                  <c:v>16384 KB</c:v>
                </c:pt>
              </c:strCache>
            </c:strRef>
          </c:cat>
          <c:val>
            <c:numRef>
              <c:f>Framing!$B$8:$E$8</c:f>
              <c:numCache>
                <c:formatCode>General</c:formatCode>
                <c:ptCount val="4"/>
                <c:pt idx="0">
                  <c:v>1076774</c:v>
                </c:pt>
                <c:pt idx="1">
                  <c:v>269654</c:v>
                </c:pt>
                <c:pt idx="2">
                  <c:v>67874</c:v>
                </c:pt>
                <c:pt idx="3">
                  <c:v>17370</c:v>
                </c:pt>
              </c:numCache>
            </c:numRef>
          </c:val>
        </c:ser>
        <c:ser>
          <c:idx val="3"/>
          <c:order val="3"/>
          <c:tx>
            <c:strRef>
              <c:f>Framing!A9</c:f>
              <c:strCache>
                <c:ptCount val="1"/>
                <c:pt idx="0">
                  <c:v>LossyStore 0.1%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Framing!$B$5:$E$5</c:f>
              <c:strCache>
                <c:ptCount val="4"/>
                <c:pt idx="0">
                  <c:v>256 KB</c:v>
                </c:pt>
                <c:pt idx="1">
                  <c:v>1024 KB</c:v>
                </c:pt>
                <c:pt idx="2">
                  <c:v>4096 KB</c:v>
                </c:pt>
                <c:pt idx="3">
                  <c:v>16384 KB</c:v>
                </c:pt>
              </c:strCache>
            </c:strRef>
          </c:cat>
          <c:val>
            <c:numRef>
              <c:f>Framing!$B$9:$E$9</c:f>
              <c:numCache>
                <c:formatCode>General</c:formatCode>
                <c:ptCount val="4"/>
                <c:pt idx="0">
                  <c:v>1076774</c:v>
                </c:pt>
                <c:pt idx="1">
                  <c:v>269654</c:v>
                </c:pt>
                <c:pt idx="2">
                  <c:v>67874</c:v>
                </c:pt>
                <c:pt idx="3">
                  <c:v>17370</c:v>
                </c:pt>
              </c:numCache>
            </c:numRef>
          </c:val>
        </c:ser>
        <c:ser>
          <c:idx val="4"/>
          <c:order val="4"/>
          <c:tx>
            <c:strRef>
              <c:f>Framing!A10</c:f>
              <c:strCache>
                <c:ptCount val="1"/>
                <c:pt idx="0">
                  <c:v>LossyStore 1%</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Framing!$B$5:$E$5</c:f>
              <c:strCache>
                <c:ptCount val="4"/>
                <c:pt idx="0">
                  <c:v>256 KB</c:v>
                </c:pt>
                <c:pt idx="1">
                  <c:v>1024 KB</c:v>
                </c:pt>
                <c:pt idx="2">
                  <c:v>4096 KB</c:v>
                </c:pt>
                <c:pt idx="3">
                  <c:v>16384 KB</c:v>
                </c:pt>
              </c:strCache>
            </c:strRef>
          </c:cat>
          <c:val>
            <c:numRef>
              <c:f>Framing!$B$10:$E$10</c:f>
              <c:numCache>
                <c:formatCode>General</c:formatCode>
                <c:ptCount val="4"/>
                <c:pt idx="0">
                  <c:v>1076774</c:v>
                </c:pt>
                <c:pt idx="1">
                  <c:v>269654</c:v>
                </c:pt>
                <c:pt idx="2">
                  <c:v>67874</c:v>
                </c:pt>
                <c:pt idx="3">
                  <c:v>17370</c:v>
                </c:pt>
              </c:numCache>
            </c:numRef>
          </c:val>
        </c:ser>
        <c:ser>
          <c:idx val="5"/>
          <c:order val="5"/>
          <c:tx>
            <c:strRef>
              <c:f>Framing!A11</c:f>
              <c:strCache>
                <c:ptCount val="1"/>
                <c:pt idx="0">
                  <c:v>LossyStore 5%</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Framing!$B$5:$E$5</c:f>
              <c:strCache>
                <c:ptCount val="4"/>
                <c:pt idx="0">
                  <c:v>256 KB</c:v>
                </c:pt>
                <c:pt idx="1">
                  <c:v>1024 KB</c:v>
                </c:pt>
                <c:pt idx="2">
                  <c:v>4096 KB</c:v>
                </c:pt>
                <c:pt idx="3">
                  <c:v>16384 KB</c:v>
                </c:pt>
              </c:strCache>
            </c:strRef>
          </c:cat>
          <c:val>
            <c:numRef>
              <c:f>Framing!$B$11:$E$11</c:f>
              <c:numCache>
                <c:formatCode>General</c:formatCode>
                <c:ptCount val="4"/>
                <c:pt idx="0">
                  <c:v>1076774</c:v>
                </c:pt>
                <c:pt idx="1">
                  <c:v>269654</c:v>
                </c:pt>
                <c:pt idx="2">
                  <c:v>67874</c:v>
                </c:pt>
                <c:pt idx="3">
                  <c:v>17370</c:v>
                </c:pt>
              </c:numCache>
            </c:numRef>
          </c:val>
        </c:ser>
        <c:gapWidth val="60"/>
        <c:overlap val="0"/>
        <c:axId val="32194933"/>
        <c:axId val="10781518"/>
      </c:barChart>
      <c:catAx>
        <c:axId val="3219493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781518"/>
        <c:crosses val="autoZero"/>
        <c:auto val="1"/>
        <c:lblAlgn val="ctr"/>
        <c:lblOffset val="100"/>
        <c:noMultiLvlLbl val="0"/>
      </c:catAx>
      <c:valAx>
        <c:axId val="10781518"/>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19493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Framing bytes per unit</a:t>
            </a:r>
          </a:p>
        </c:rich>
      </c:tx>
      <c:overlay val="0"/>
      <c:spPr>
        <a:noFill/>
        <a:ln w="0">
          <a:noFill/>
        </a:ln>
      </c:spPr>
    </c:title>
    <c:autoTitleDeleted val="0"/>
    <c:plotArea>
      <c:barChart>
        <c:barDir val="col"/>
        <c:grouping val="clustered"/>
        <c:varyColors val="0"/>
        <c:ser>
          <c:idx val="0"/>
          <c:order val="0"/>
          <c:tx>
            <c:strRef>
              <c:f>Framing!A53</c:f>
              <c:strCache>
                <c:ptCount val="1"/>
                <c:pt idx="0">
                  <c:v>FileStore (raw)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Framing!$B$52:$E$52</c:f>
              <c:strCache>
                <c:ptCount val="4"/>
                <c:pt idx="0">
                  <c:v>256 KB</c:v>
                </c:pt>
                <c:pt idx="1">
                  <c:v>1024 KB</c:v>
                </c:pt>
                <c:pt idx="2">
                  <c:v>4096 KB</c:v>
                </c:pt>
                <c:pt idx="3">
                  <c:v>16384 KB</c:v>
                </c:pt>
              </c:strCache>
            </c:strRef>
          </c:cat>
          <c:val>
            <c:numRef>
              <c:f>Framing!$B$53:$E$53</c:f>
              <c:numCache>
                <c:formatCode>General</c:formatCode>
                <c:ptCount val="4"/>
                <c:pt idx="0">
                  <c:v>72.0096470072353</c:v>
                </c:pt>
                <c:pt idx="1">
                  <c:v>72.4592462751972</c:v>
                </c:pt>
                <c:pt idx="2">
                  <c:v>74.2517482517483</c:v>
                </c:pt>
                <c:pt idx="3">
                  <c:v>81.6111111111111</c:v>
                </c:pt>
              </c:numCache>
            </c:numRef>
          </c:val>
        </c:ser>
        <c:ser>
          <c:idx val="1"/>
          <c:order val="1"/>
          <c:tx>
            <c:strRef>
              <c:f>Framing!A54</c:f>
              <c:strCache>
                <c:ptCount val="1"/>
                <c:pt idx="0">
                  <c:v>CompressedStore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Framing!$B$52:$E$52</c:f>
              <c:strCache>
                <c:ptCount val="4"/>
                <c:pt idx="0">
                  <c:v>256 KB</c:v>
                </c:pt>
                <c:pt idx="1">
                  <c:v>1024 KB</c:v>
                </c:pt>
                <c:pt idx="2">
                  <c:v>4096 KB</c:v>
                </c:pt>
                <c:pt idx="3">
                  <c:v>16384 KB</c:v>
                </c:pt>
              </c:strCache>
            </c:strRef>
          </c:cat>
          <c:val>
            <c:numRef>
              <c:f>Framing!$B$54:$E$54</c:f>
              <c:numCache>
                <c:formatCode>General</c:formatCode>
                <c:ptCount val="4"/>
                <c:pt idx="0">
                  <c:v>41.0828765621574</c:v>
                </c:pt>
                <c:pt idx="1">
                  <c:v>41.3312883435583</c:v>
                </c:pt>
                <c:pt idx="2">
                  <c:v>42.3216783216783</c:v>
                </c:pt>
                <c:pt idx="3">
                  <c:v>46.25</c:v>
                </c:pt>
              </c:numCache>
            </c:numRef>
          </c:val>
        </c:ser>
        <c:ser>
          <c:idx val="2"/>
          <c:order val="2"/>
          <c:tx>
            <c:strRef>
              <c:f>Framing!A55</c:f>
              <c:strCache>
                <c:ptCount val="1"/>
                <c:pt idx="0">
                  <c:v>LossyStore lossless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Framing!$B$52:$E$52</c:f>
              <c:strCache>
                <c:ptCount val="4"/>
                <c:pt idx="0">
                  <c:v>256 KB</c:v>
                </c:pt>
                <c:pt idx="1">
                  <c:v>1024 KB</c:v>
                </c:pt>
                <c:pt idx="2">
                  <c:v>4096 KB</c:v>
                </c:pt>
                <c:pt idx="3">
                  <c:v>16384 KB</c:v>
                </c:pt>
              </c:strCache>
            </c:strRef>
          </c:cat>
          <c:val>
            <c:numRef>
              <c:f>Framing!$B$55:$E$55</c:f>
              <c:numCache>
                <c:formatCode>General</c:formatCode>
                <c:ptCount val="4"/>
                <c:pt idx="0">
                  <c:v>236.082876562157</c:v>
                </c:pt>
                <c:pt idx="1">
                  <c:v>236.331288343558</c:v>
                </c:pt>
                <c:pt idx="2">
                  <c:v>237.321678321678</c:v>
                </c:pt>
                <c:pt idx="3">
                  <c:v>241.25</c:v>
                </c:pt>
              </c:numCache>
            </c:numRef>
          </c:val>
        </c:ser>
        <c:ser>
          <c:idx val="3"/>
          <c:order val="3"/>
          <c:tx>
            <c:strRef>
              <c:f>Framing!A56</c:f>
              <c:strCache>
                <c:ptCount val="1"/>
                <c:pt idx="0">
                  <c:v>LossyStore 0.1%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Framing!$B$52:$E$52</c:f>
              <c:strCache>
                <c:ptCount val="4"/>
                <c:pt idx="0">
                  <c:v>256 KB</c:v>
                </c:pt>
                <c:pt idx="1">
                  <c:v>1024 KB</c:v>
                </c:pt>
                <c:pt idx="2">
                  <c:v>4096 KB</c:v>
                </c:pt>
                <c:pt idx="3">
                  <c:v>16384 KB</c:v>
                </c:pt>
              </c:strCache>
            </c:strRef>
          </c:cat>
          <c:val>
            <c:numRef>
              <c:f>Framing!$B$56:$E$56</c:f>
              <c:numCache>
                <c:formatCode>General</c:formatCode>
                <c:ptCount val="4"/>
                <c:pt idx="0">
                  <c:v>236.082876562157</c:v>
                </c:pt>
                <c:pt idx="1">
                  <c:v>236.331288343558</c:v>
                </c:pt>
                <c:pt idx="2">
                  <c:v>237.321678321678</c:v>
                </c:pt>
                <c:pt idx="3">
                  <c:v>241.25</c:v>
                </c:pt>
              </c:numCache>
            </c:numRef>
          </c:val>
        </c:ser>
        <c:ser>
          <c:idx val="4"/>
          <c:order val="4"/>
          <c:tx>
            <c:strRef>
              <c:f>Framing!A57</c:f>
              <c:strCache>
                <c:ptCount val="1"/>
                <c:pt idx="0">
                  <c:v>LossyStore 1%</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Framing!$B$52:$E$52</c:f>
              <c:strCache>
                <c:ptCount val="4"/>
                <c:pt idx="0">
                  <c:v>256 KB</c:v>
                </c:pt>
                <c:pt idx="1">
                  <c:v>1024 KB</c:v>
                </c:pt>
                <c:pt idx="2">
                  <c:v>4096 KB</c:v>
                </c:pt>
                <c:pt idx="3">
                  <c:v>16384 KB</c:v>
                </c:pt>
              </c:strCache>
            </c:strRef>
          </c:cat>
          <c:val>
            <c:numRef>
              <c:f>Framing!$B$57:$E$57</c:f>
              <c:numCache>
                <c:formatCode>General</c:formatCode>
                <c:ptCount val="4"/>
                <c:pt idx="0">
                  <c:v>236.082876562157</c:v>
                </c:pt>
                <c:pt idx="1">
                  <c:v>236.331288343558</c:v>
                </c:pt>
                <c:pt idx="2">
                  <c:v>237.321678321678</c:v>
                </c:pt>
                <c:pt idx="3">
                  <c:v>241.25</c:v>
                </c:pt>
              </c:numCache>
            </c:numRef>
          </c:val>
        </c:ser>
        <c:ser>
          <c:idx val="5"/>
          <c:order val="5"/>
          <c:tx>
            <c:strRef>
              <c:f>Framing!A58</c:f>
              <c:strCache>
                <c:ptCount val="1"/>
                <c:pt idx="0">
                  <c:v>LossyStore 5%</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Framing!$B$52:$E$52</c:f>
              <c:strCache>
                <c:ptCount val="4"/>
                <c:pt idx="0">
                  <c:v>256 KB</c:v>
                </c:pt>
                <c:pt idx="1">
                  <c:v>1024 KB</c:v>
                </c:pt>
                <c:pt idx="2">
                  <c:v>4096 KB</c:v>
                </c:pt>
                <c:pt idx="3">
                  <c:v>16384 KB</c:v>
                </c:pt>
              </c:strCache>
            </c:strRef>
          </c:cat>
          <c:val>
            <c:numRef>
              <c:f>Framing!$B$58:$E$58</c:f>
              <c:numCache>
                <c:formatCode>General</c:formatCode>
                <c:ptCount val="4"/>
                <c:pt idx="0">
                  <c:v>236.082876562157</c:v>
                </c:pt>
                <c:pt idx="1">
                  <c:v>236.331288343558</c:v>
                </c:pt>
                <c:pt idx="2">
                  <c:v>237.321678321678</c:v>
                </c:pt>
                <c:pt idx="3">
                  <c:v>241.25</c:v>
                </c:pt>
              </c:numCache>
            </c:numRef>
          </c:val>
        </c:ser>
        <c:gapWidth val="60"/>
        <c:overlap val="0"/>
        <c:axId val="9477078"/>
        <c:axId val="85968962"/>
      </c:barChart>
      <c:catAx>
        <c:axId val="9477078"/>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968962"/>
        <c:crosses val="autoZero"/>
        <c:auto val="1"/>
        <c:lblAlgn val="ctr"/>
        <c:lblOffset val="100"/>
        <c:noMultiLvlLbl val="0"/>
      </c:catAx>
      <c:valAx>
        <c:axId val="8596896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bytes per unit</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707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1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Store write as a share of the write query</a:t>
            </a:r>
          </a:p>
        </c:rich>
      </c:tx>
      <c:overlay val="0"/>
      <c:spPr>
        <a:noFill/>
        <a:ln w="0">
          <a:noFill/>
        </a:ln>
      </c:spPr>
    </c:title>
    <c:autoTitleDeleted val="0"/>
    <c:plotArea>
      <c:barChart>
        <c:barDir val="col"/>
        <c:grouping val="clustered"/>
        <c:varyColors val="0"/>
        <c:ser>
          <c:idx val="0"/>
          <c:order val="0"/>
          <c:tx>
            <c:strRef>
              <c:f>'Store Cost'!A6</c:f>
              <c:strCache>
                <c:ptCount val="1"/>
                <c:pt idx="0">
                  <c:v>FileStore (raw)</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'Store Cost'!$B$5:$E$5</c:f>
              <c:strCache>
                <c:ptCount val="4"/>
                <c:pt idx="0">
                  <c:v>256 KB</c:v>
                </c:pt>
                <c:pt idx="1">
                  <c:v>1024 KB</c:v>
                </c:pt>
                <c:pt idx="2">
                  <c:v>4096 KB</c:v>
                </c:pt>
                <c:pt idx="3">
                  <c:v>16384 KB</c:v>
                </c:pt>
              </c:strCache>
            </c:strRef>
          </c:cat>
          <c:val>
            <c:numRef>
              <c:f>'Store Cost'!$B$6:$E$6</c:f>
              <c:numCache>
                <c:formatCode>General</c:formatCode>
                <c:ptCount val="4"/>
                <c:pt idx="0">
                  <c:v>25.5085065483355</c:v>
                </c:pt>
                <c:pt idx="1">
                  <c:v>24.56117431459</c:v>
                </c:pt>
                <c:pt idx="2">
                  <c:v>25.7434291811749</c:v>
                </c:pt>
                <c:pt idx="3">
                  <c:v>25.4283987741536</c:v>
                </c:pt>
              </c:numCache>
            </c:numRef>
          </c:val>
        </c:ser>
        <c:ser>
          <c:idx val="1"/>
          <c:order val="1"/>
          <c:tx>
            <c:strRef>
              <c:f>'Store Cost'!A7</c:f>
              <c:strCache>
                <c:ptCount val="1"/>
                <c:pt idx="0">
                  <c:v>CompressedStore</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'Store Cost'!$B$5:$E$5</c:f>
              <c:strCache>
                <c:ptCount val="4"/>
                <c:pt idx="0">
                  <c:v>256 KB</c:v>
                </c:pt>
                <c:pt idx="1">
                  <c:v>1024 KB</c:v>
                </c:pt>
                <c:pt idx="2">
                  <c:v>4096 KB</c:v>
                </c:pt>
                <c:pt idx="3">
                  <c:v>16384 KB</c:v>
                </c:pt>
              </c:strCache>
            </c:strRef>
          </c:cat>
          <c:val>
            <c:numRef>
              <c:f>'Store Cost'!$B$7:$E$7</c:f>
              <c:numCache>
                <c:formatCode>General</c:formatCode>
                <c:ptCount val="4"/>
                <c:pt idx="0">
                  <c:v>39.0526334356369</c:v>
                </c:pt>
                <c:pt idx="1">
                  <c:v>37.3153455777923</c:v>
                </c:pt>
                <c:pt idx="2">
                  <c:v>38.4904793610458</c:v>
                </c:pt>
                <c:pt idx="3">
                  <c:v>42.7805730277848</c:v>
                </c:pt>
              </c:numCache>
            </c:numRef>
          </c:val>
        </c:ser>
        <c:ser>
          <c:idx val="2"/>
          <c:order val="2"/>
          <c:tx>
            <c:strRef>
              <c:f>'Store Cost'!A8</c:f>
              <c:strCache>
                <c:ptCount val="1"/>
                <c:pt idx="0">
                  <c:v>LossyStore lossless</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'Store Cost'!$B$5:$E$5</c:f>
              <c:strCache>
                <c:ptCount val="4"/>
                <c:pt idx="0">
                  <c:v>256 KB</c:v>
                </c:pt>
                <c:pt idx="1">
                  <c:v>1024 KB</c:v>
                </c:pt>
                <c:pt idx="2">
                  <c:v>4096 KB</c:v>
                </c:pt>
                <c:pt idx="3">
                  <c:v>16384 KB</c:v>
                </c:pt>
              </c:strCache>
            </c:strRef>
          </c:cat>
          <c:val>
            <c:numRef>
              <c:f>'Store Cost'!$B$8:$E$8</c:f>
              <c:numCache>
                <c:formatCode>General</c:formatCode>
                <c:ptCount val="4"/>
                <c:pt idx="0">
                  <c:v>35.2465877502577</c:v>
                </c:pt>
                <c:pt idx="1">
                  <c:v>32.9796665796202</c:v>
                </c:pt>
                <c:pt idx="2">
                  <c:v>35.4557824789637</c:v>
                </c:pt>
                <c:pt idx="3">
                  <c:v>36.5652757931712</c:v>
                </c:pt>
              </c:numCache>
            </c:numRef>
          </c:val>
        </c:ser>
        <c:ser>
          <c:idx val="3"/>
          <c:order val="3"/>
          <c:tx>
            <c:strRef>
              <c:f>'Store Cost'!A9</c:f>
              <c:strCache>
                <c:ptCount val="1"/>
                <c:pt idx="0">
                  <c:v>LossyStore 0.1%</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'Store Cost'!$B$5:$E$5</c:f>
              <c:strCache>
                <c:ptCount val="4"/>
                <c:pt idx="0">
                  <c:v>256 KB</c:v>
                </c:pt>
                <c:pt idx="1">
                  <c:v>1024 KB</c:v>
                </c:pt>
                <c:pt idx="2">
                  <c:v>4096 KB</c:v>
                </c:pt>
                <c:pt idx="3">
                  <c:v>16384 KB</c:v>
                </c:pt>
              </c:strCache>
            </c:strRef>
          </c:cat>
          <c:val>
            <c:numRef>
              <c:f>'Store Cost'!$B$9:$E$9</c:f>
              <c:numCache>
                <c:formatCode>General</c:formatCode>
                <c:ptCount val="4"/>
                <c:pt idx="0">
                  <c:v>35.036786824426</c:v>
                </c:pt>
                <c:pt idx="1">
                  <c:v>31.554617560195</c:v>
                </c:pt>
                <c:pt idx="2">
                  <c:v>31.1909865311871</c:v>
                </c:pt>
                <c:pt idx="3">
                  <c:v>32.6673183913011</c:v>
                </c:pt>
              </c:numCache>
            </c:numRef>
          </c:val>
        </c:ser>
        <c:ser>
          <c:idx val="4"/>
          <c:order val="4"/>
          <c:tx>
            <c:strRef>
              <c:f>'Store Cost'!A10</c:f>
              <c:strCache>
                <c:ptCount val="1"/>
                <c:pt idx="0">
                  <c:v>LossyStore 1%</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'Store Cost'!$B$5:$E$5</c:f>
              <c:strCache>
                <c:ptCount val="4"/>
                <c:pt idx="0">
                  <c:v>256 KB</c:v>
                </c:pt>
                <c:pt idx="1">
                  <c:v>1024 KB</c:v>
                </c:pt>
                <c:pt idx="2">
                  <c:v>4096 KB</c:v>
                </c:pt>
                <c:pt idx="3">
                  <c:v>16384 KB</c:v>
                </c:pt>
              </c:strCache>
            </c:strRef>
          </c:cat>
          <c:val>
            <c:numRef>
              <c:f>'Store Cost'!$B$10:$E$10</c:f>
              <c:numCache>
                <c:formatCode>General</c:formatCode>
                <c:ptCount val="4"/>
                <c:pt idx="0">
                  <c:v>34.7548598457312</c:v>
                </c:pt>
                <c:pt idx="1">
                  <c:v>32.805494949495</c:v>
                </c:pt>
                <c:pt idx="2">
                  <c:v>31.9895454589293</c:v>
                </c:pt>
                <c:pt idx="3">
                  <c:v>32.2235480654494</c:v>
                </c:pt>
              </c:numCache>
            </c:numRef>
          </c:val>
        </c:ser>
        <c:ser>
          <c:idx val="5"/>
          <c:order val="5"/>
          <c:tx>
            <c:strRef>
              <c:f>'Store Cost'!A11</c:f>
              <c:strCache>
                <c:ptCount val="1"/>
                <c:pt idx="0">
                  <c:v>LossyStore 5%</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'Store Cost'!$B$5:$E$5</c:f>
              <c:strCache>
                <c:ptCount val="4"/>
                <c:pt idx="0">
                  <c:v>256 KB</c:v>
                </c:pt>
                <c:pt idx="1">
                  <c:v>1024 KB</c:v>
                </c:pt>
                <c:pt idx="2">
                  <c:v>4096 KB</c:v>
                </c:pt>
                <c:pt idx="3">
                  <c:v>16384 KB</c:v>
                </c:pt>
              </c:strCache>
            </c:strRef>
          </c:cat>
          <c:val>
            <c:numRef>
              <c:f>'Store Cost'!$B$11:$E$11</c:f>
              <c:numCache>
                <c:formatCode>General</c:formatCode>
                <c:ptCount val="4"/>
                <c:pt idx="0">
                  <c:v>34.996456991641</c:v>
                </c:pt>
                <c:pt idx="1">
                  <c:v>31.8985765998919</c:v>
                </c:pt>
                <c:pt idx="2">
                  <c:v>33.3257693944121</c:v>
                </c:pt>
                <c:pt idx="3">
                  <c:v>34.3930379746835</c:v>
                </c:pt>
              </c:numCache>
            </c:numRef>
          </c:val>
        </c:ser>
        <c:gapWidth val="60"/>
        <c:overlap val="0"/>
        <c:axId val="13695164"/>
        <c:axId val="62173459"/>
      </c:barChart>
      <c:catAx>
        <c:axId val="1369516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unit size (KB)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2173459"/>
        <c:crosses val="autoZero"/>
        <c:auto val="1"/>
        <c:lblAlgn val="ctr"/>
        <c:lblOffset val="100"/>
        <c:noMultiLvlLbl val="0"/>
      </c:catAx>
      <c:valAx>
        <c:axId val="6217345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of query</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69516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
</Relationships>
</file>

<file path=xl/drawings/_rels/drawing3.xml.rels><?xml version="1.0" encoding="UTF-8"?>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
</Relationships>
</file>

<file path=xl/drawings/_rels/drawing4.xml.rels><?xml version="1.0" encoding="UTF-8"?>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
</Relationships>
</file>

<file path=xl/drawings/_rels/drawing5.xml.rels><?xml version="1.0" encoding="UTF-8"?>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 Id="rId3" Type="http://schemas.openxmlformats.org/officeDocument/2006/relationships/chart" Target="../charts/chart14.xml"/>
</Relationships>
</file>

<file path=xl/drawings/_rels/drawing6.xml.rels><?xml version="1.0" encoding="UTF-8"?>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
</Relationships>
</file>

<file path=xl/drawings/_rels/drawing7.xml.rels><?xml version="1.0" encoding="UTF-8"?>
<Relationships xmlns="http://schemas.openxmlformats.org/package/2006/relationships"><Relationship Id="rId1" Type="http://schemas.openxmlformats.org/officeDocument/2006/relationships/chart" Target="../charts/chart1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4</xdr:col>
      <xdr:colOff>892080</xdr:colOff>
      <xdr:row>30</xdr:row>
      <xdr:rowOff>170640</xdr:rowOff>
    </xdr:to>
    <xdr:graphicFrame>
      <xdr:nvGraphicFramePr>
        <xdr:cNvPr id="0" name="Chart 1"/>
        <xdr:cNvGraphicFramePr/>
      </xdr:nvGraphicFramePr>
      <xdr:xfrm>
        <a:off x="0" y="2286000"/>
        <a:ext cx="75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46</xdr:row>
      <xdr:rowOff>0</xdr:rowOff>
    </xdr:from>
    <xdr:to>
      <xdr:col>4</xdr:col>
      <xdr:colOff>892080</xdr:colOff>
      <xdr:row>64</xdr:row>
      <xdr:rowOff>170640</xdr:rowOff>
    </xdr:to>
    <xdr:graphicFrame>
      <xdr:nvGraphicFramePr>
        <xdr:cNvPr id="1" name="Chart 2"/>
        <xdr:cNvGraphicFramePr/>
      </xdr:nvGraphicFramePr>
      <xdr:xfrm>
        <a:off x="0" y="8763120"/>
        <a:ext cx="75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81</xdr:row>
      <xdr:rowOff>0</xdr:rowOff>
    </xdr:from>
    <xdr:to>
      <xdr:col>4</xdr:col>
      <xdr:colOff>892080</xdr:colOff>
      <xdr:row>99</xdr:row>
      <xdr:rowOff>170640</xdr:rowOff>
    </xdr:to>
    <xdr:graphicFrame>
      <xdr:nvGraphicFramePr>
        <xdr:cNvPr id="2" name="Chart 3"/>
        <xdr:cNvGraphicFramePr/>
      </xdr:nvGraphicFramePr>
      <xdr:xfrm>
        <a:off x="0" y="15430680"/>
        <a:ext cx="755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116</xdr:row>
      <xdr:rowOff>0</xdr:rowOff>
    </xdr:from>
    <xdr:to>
      <xdr:col>4</xdr:col>
      <xdr:colOff>892080</xdr:colOff>
      <xdr:row>134</xdr:row>
      <xdr:rowOff>170640</xdr:rowOff>
    </xdr:to>
    <xdr:graphicFrame>
      <xdr:nvGraphicFramePr>
        <xdr:cNvPr id="3" name="Chart 4"/>
        <xdr:cNvGraphicFramePr/>
      </xdr:nvGraphicFramePr>
      <xdr:xfrm>
        <a:off x="0" y="22097880"/>
        <a:ext cx="7559640" cy="35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4</xdr:col>
      <xdr:colOff>892080</xdr:colOff>
      <xdr:row>30</xdr:row>
      <xdr:rowOff>170640</xdr:rowOff>
    </xdr:to>
    <xdr:graphicFrame>
      <xdr:nvGraphicFramePr>
        <xdr:cNvPr id="4" name="Chart 1"/>
        <xdr:cNvGraphicFramePr/>
      </xdr:nvGraphicFramePr>
      <xdr:xfrm>
        <a:off x="0" y="2286000"/>
        <a:ext cx="75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47</xdr:row>
      <xdr:rowOff>0</xdr:rowOff>
    </xdr:from>
    <xdr:to>
      <xdr:col>4</xdr:col>
      <xdr:colOff>892080</xdr:colOff>
      <xdr:row>65</xdr:row>
      <xdr:rowOff>170640</xdr:rowOff>
    </xdr:to>
    <xdr:graphicFrame>
      <xdr:nvGraphicFramePr>
        <xdr:cNvPr id="5" name="Chart 2"/>
        <xdr:cNvGraphicFramePr/>
      </xdr:nvGraphicFramePr>
      <xdr:xfrm>
        <a:off x="0" y="8953560"/>
        <a:ext cx="75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82</xdr:row>
      <xdr:rowOff>0</xdr:rowOff>
    </xdr:from>
    <xdr:to>
      <xdr:col>4</xdr:col>
      <xdr:colOff>892080</xdr:colOff>
      <xdr:row>100</xdr:row>
      <xdr:rowOff>170640</xdr:rowOff>
    </xdr:to>
    <xdr:graphicFrame>
      <xdr:nvGraphicFramePr>
        <xdr:cNvPr id="6" name="Chart 3"/>
        <xdr:cNvGraphicFramePr/>
      </xdr:nvGraphicFramePr>
      <xdr:xfrm>
        <a:off x="0" y="15621120"/>
        <a:ext cx="755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4</xdr:col>
      <xdr:colOff>1158840</xdr:colOff>
      <xdr:row>30</xdr:row>
      <xdr:rowOff>170640</xdr:rowOff>
    </xdr:to>
    <xdr:graphicFrame>
      <xdr:nvGraphicFramePr>
        <xdr:cNvPr id="7" name="Chart 1"/>
        <xdr:cNvGraphicFramePr/>
      </xdr:nvGraphicFramePr>
      <xdr:xfrm>
        <a:off x="0" y="2286000"/>
        <a:ext cx="75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47</xdr:row>
      <xdr:rowOff>0</xdr:rowOff>
    </xdr:from>
    <xdr:to>
      <xdr:col>4</xdr:col>
      <xdr:colOff>1158840</xdr:colOff>
      <xdr:row>65</xdr:row>
      <xdr:rowOff>170640</xdr:rowOff>
    </xdr:to>
    <xdr:graphicFrame>
      <xdr:nvGraphicFramePr>
        <xdr:cNvPr id="8" name="Chart 2"/>
        <xdr:cNvGraphicFramePr/>
      </xdr:nvGraphicFramePr>
      <xdr:xfrm>
        <a:off x="0" y="8953560"/>
        <a:ext cx="75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4</xdr:col>
      <xdr:colOff>1158840</xdr:colOff>
      <xdr:row>31</xdr:row>
      <xdr:rowOff>170640</xdr:rowOff>
    </xdr:to>
    <xdr:graphicFrame>
      <xdr:nvGraphicFramePr>
        <xdr:cNvPr id="9" name="Chart 1"/>
        <xdr:cNvGraphicFramePr/>
      </xdr:nvGraphicFramePr>
      <xdr:xfrm>
        <a:off x="0" y="2476440"/>
        <a:ext cx="75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61</xdr:row>
      <xdr:rowOff>0</xdr:rowOff>
    </xdr:from>
    <xdr:to>
      <xdr:col>4</xdr:col>
      <xdr:colOff>1158840</xdr:colOff>
      <xdr:row>79</xdr:row>
      <xdr:rowOff>170640</xdr:rowOff>
    </xdr:to>
    <xdr:graphicFrame>
      <xdr:nvGraphicFramePr>
        <xdr:cNvPr id="10" name="Chart 2"/>
        <xdr:cNvGraphicFramePr/>
      </xdr:nvGraphicFramePr>
      <xdr:xfrm>
        <a:off x="0" y="11620440"/>
        <a:ext cx="75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13</xdr:row>
      <xdr:rowOff>0</xdr:rowOff>
    </xdr:from>
    <xdr:to>
      <xdr:col>4</xdr:col>
      <xdr:colOff>1158840</xdr:colOff>
      <xdr:row>31</xdr:row>
      <xdr:rowOff>170640</xdr:rowOff>
    </xdr:to>
    <xdr:graphicFrame>
      <xdr:nvGraphicFramePr>
        <xdr:cNvPr id="11" name="Chart 1"/>
        <xdr:cNvGraphicFramePr/>
      </xdr:nvGraphicFramePr>
      <xdr:xfrm>
        <a:off x="0" y="2476440"/>
        <a:ext cx="75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47</xdr:row>
      <xdr:rowOff>0</xdr:rowOff>
    </xdr:from>
    <xdr:to>
      <xdr:col>4</xdr:col>
      <xdr:colOff>1158840</xdr:colOff>
      <xdr:row>65</xdr:row>
      <xdr:rowOff>170640</xdr:rowOff>
    </xdr:to>
    <xdr:graphicFrame>
      <xdr:nvGraphicFramePr>
        <xdr:cNvPr id="12" name="Chart 2"/>
        <xdr:cNvGraphicFramePr/>
      </xdr:nvGraphicFramePr>
      <xdr:xfrm>
        <a:off x="0" y="8953560"/>
        <a:ext cx="75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82</xdr:row>
      <xdr:rowOff>0</xdr:rowOff>
    </xdr:from>
    <xdr:to>
      <xdr:col>4</xdr:col>
      <xdr:colOff>1158840</xdr:colOff>
      <xdr:row>100</xdr:row>
      <xdr:rowOff>170640</xdr:rowOff>
    </xdr:to>
    <xdr:graphicFrame>
      <xdr:nvGraphicFramePr>
        <xdr:cNvPr id="13" name="Chart 3"/>
        <xdr:cNvGraphicFramePr/>
      </xdr:nvGraphicFramePr>
      <xdr:xfrm>
        <a:off x="0" y="15621120"/>
        <a:ext cx="7559640" cy="35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4</xdr:col>
      <xdr:colOff>892080</xdr:colOff>
      <xdr:row>30</xdr:row>
      <xdr:rowOff>170640</xdr:rowOff>
    </xdr:to>
    <xdr:graphicFrame>
      <xdr:nvGraphicFramePr>
        <xdr:cNvPr id="14" name="Chart 1"/>
        <xdr:cNvGraphicFramePr/>
      </xdr:nvGraphicFramePr>
      <xdr:xfrm>
        <a:off x="0" y="2286000"/>
        <a:ext cx="75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59</xdr:row>
      <xdr:rowOff>0</xdr:rowOff>
    </xdr:from>
    <xdr:to>
      <xdr:col>4</xdr:col>
      <xdr:colOff>892080</xdr:colOff>
      <xdr:row>77</xdr:row>
      <xdr:rowOff>170640</xdr:rowOff>
    </xdr:to>
    <xdr:graphicFrame>
      <xdr:nvGraphicFramePr>
        <xdr:cNvPr id="15" name="Chart 2"/>
        <xdr:cNvGraphicFramePr/>
      </xdr:nvGraphicFramePr>
      <xdr:xfrm>
        <a:off x="0" y="11239560"/>
        <a:ext cx="755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12</xdr:row>
      <xdr:rowOff>0</xdr:rowOff>
    </xdr:from>
    <xdr:to>
      <xdr:col>4</xdr:col>
      <xdr:colOff>892080</xdr:colOff>
      <xdr:row>30</xdr:row>
      <xdr:rowOff>170640</xdr:rowOff>
    </xdr:to>
    <xdr:graphicFrame>
      <xdr:nvGraphicFramePr>
        <xdr:cNvPr id="16" name="Chart 1"/>
        <xdr:cNvGraphicFramePr/>
      </xdr:nvGraphicFramePr>
      <xdr:xfrm>
        <a:off x="0" y="2286000"/>
        <a:ext cx="755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drawing" Target="../drawings/drawing5.xml"/>
</Relationships>
</file>

<file path=xl/worksheets/_rels/sheet8.xml.rels><?xml version="1.0" encoding="UTF-8"?>
<Relationships xmlns="http://schemas.openxmlformats.org/package/2006/relationships"><Relationship Id="rId1" Type="http://schemas.openxmlformats.org/officeDocument/2006/relationships/drawing" Target="../drawings/drawing6.xml"/>
</Relationships>
</file>

<file path=xl/worksheets/_rels/sheet9.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2" min="2" style="0" width="116"/>
  </cols>
  <sheetData>
    <row r="1" customFormat="false" ht="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15" hidden="false" customHeight="false" outlineLevel="0" collapsed="false">
      <c r="A10" s="3" t="s">
        <v>14</v>
      </c>
      <c r="B10" s="4" t="s">
        <v>15</v>
      </c>
    </row>
    <row r="12" customFormat="false" ht="15" hidden="false" customHeight="false" outlineLevel="0" collapsed="false">
      <c r="A12" s="5" t="s">
        <v>16</v>
      </c>
      <c r="B12" s="6"/>
    </row>
    <row r="13" customFormat="false" ht="15" hidden="false" customHeight="false" outlineLevel="0" collapsed="false">
      <c r="A13" s="3" t="s">
        <v>17</v>
      </c>
      <c r="B13" s="4" t="s">
        <v>18</v>
      </c>
    </row>
    <row r="14" customFormat="false" ht="15" hidden="false" customHeight="false" outlineLevel="0" collapsed="false">
      <c r="A14" s="3" t="s">
        <v>19</v>
      </c>
      <c r="B14" s="4" t="s">
        <v>20</v>
      </c>
    </row>
    <row r="15" customFormat="false" ht="15" hidden="false" customHeight="false" outlineLevel="0" collapsed="false">
      <c r="A15" s="3" t="s">
        <v>21</v>
      </c>
      <c r="B15" s="4" t="s">
        <v>22</v>
      </c>
    </row>
    <row r="17" customFormat="false" ht="15" hidden="false" customHeight="false" outlineLevel="0" collapsed="false">
      <c r="A17" s="5" t="s">
        <v>23</v>
      </c>
      <c r="B17" s="6"/>
    </row>
    <row r="18" customFormat="false" ht="15" hidden="false" customHeight="false" outlineLevel="0" collapsed="false">
      <c r="B18" s="4"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5"/>
  </cols>
  <sheetData>
    <row r="1" customFormat="false" ht="15" hidden="false" customHeight="false" outlineLevel="0" collapsed="false">
      <c r="A1" s="1" t="s">
        <v>25</v>
      </c>
    </row>
    <row r="2" customFormat="false" ht="15" hidden="false" customHeight="false" outlineLevel="0" collapsed="false">
      <c r="A2" s="2" t="s">
        <v>26</v>
      </c>
    </row>
    <row r="4" customFormat="false" ht="15" hidden="false" customHeight="false" outlineLevel="0" collapsed="false">
      <c r="A4" s="5" t="s">
        <v>27</v>
      </c>
      <c r="B4" s="6"/>
      <c r="C4" s="6"/>
      <c r="D4" s="6"/>
      <c r="E4" s="6"/>
    </row>
    <row r="5" customFormat="false" ht="15" hidden="false" customHeight="false" outlineLevel="0" collapsed="false">
      <c r="A5" s="7" t="s">
        <v>28</v>
      </c>
      <c r="B5" s="7" t="s">
        <v>29</v>
      </c>
      <c r="C5" s="7" t="s">
        <v>30</v>
      </c>
      <c r="D5" s="7" t="s">
        <v>31</v>
      </c>
      <c r="E5" s="7" t="s">
        <v>32</v>
      </c>
    </row>
    <row r="6" customFormat="false" ht="15" hidden="false" customHeight="false" outlineLevel="0" collapsed="false">
      <c r="A6" s="8" t="s">
        <v>33</v>
      </c>
      <c r="B6" s="9" t="n">
        <f aca="false">SUMIFS(Data!$P:$P,Data!$C:$C,"FileStore",Data!$E:$E,"",Data!$F:$F,256)</f>
        <v>1195928436</v>
      </c>
      <c r="C6" s="9" t="n">
        <f aca="false">SUMIFS(Data!$P:$P,Data!$C:$C,"FileStore",Data!$E:$E,"",Data!$F:$F,1024)</f>
        <v>1195682676</v>
      </c>
      <c r="D6" s="9" t="n">
        <f aca="false">SUMIFS(Data!$P:$P,Data!$C:$C,"FileStore",Data!$E:$E,"",Data!$F:$F,4096)</f>
        <v>1195621236</v>
      </c>
      <c r="E6" s="9" t="n">
        <f aca="false">SUMIFS(Data!$P:$P,Data!$C:$C,"FileStore",Data!$E:$E,"",Data!$F:$F,16384)</f>
        <v>1195605876</v>
      </c>
    </row>
    <row r="7" customFormat="false" ht="15" hidden="false" customHeight="false" outlineLevel="0" collapsed="false">
      <c r="A7" s="8" t="s">
        <v>34</v>
      </c>
      <c r="B7" s="9" t="n">
        <f aca="false">SUMIFS(Data!$P:$P,Data!$C:$C,"CompressedStore",Data!$E:$E,"",Data!$F:$F,256)</f>
        <v>724616220</v>
      </c>
      <c r="C7" s="9" t="n">
        <f aca="false">SUMIFS(Data!$P:$P,Data!$C:$C,"CompressedStore",Data!$E:$E,"",Data!$F:$F,1024)</f>
        <v>723908636</v>
      </c>
      <c r="D7" s="9" t="n">
        <f aca="false">SUMIFS(Data!$P:$P,Data!$C:$C,"CompressedStore",Data!$E:$E,"",Data!$F:$F,4096)</f>
        <v>723778560</v>
      </c>
      <c r="E7" s="9" t="n">
        <f aca="false">SUMIFS(Data!$P:$P,Data!$C:$C,"CompressedStore",Data!$E:$E,"",Data!$F:$F,16384)</f>
        <v>723748236</v>
      </c>
    </row>
    <row r="8" customFormat="false" ht="15" hidden="false" customHeight="false" outlineLevel="0" collapsed="false">
      <c r="A8" s="8" t="s">
        <v>35</v>
      </c>
      <c r="B8" s="9" t="n">
        <f aca="false">SUMIFS(Data!$P:$P,Data!$C:$C,"LossyStore",Data!$E:$E,"",Data!$F:$F,256)</f>
        <v>643275922</v>
      </c>
      <c r="C8" s="9" t="n">
        <f aca="false">SUMIFS(Data!$P:$P,Data!$C:$C,"LossyStore",Data!$E:$E,"",Data!$F:$F,1024)</f>
        <v>640065281</v>
      </c>
      <c r="D8" s="9" t="n">
        <f aca="false">SUMIFS(Data!$P:$P,Data!$C:$C,"LossyStore",Data!$E:$E,"",Data!$F:$F,4096)</f>
        <v>646112362</v>
      </c>
      <c r="E8" s="9" t="n">
        <f aca="false">SUMIFS(Data!$P:$P,Data!$C:$C,"LossyStore",Data!$E:$E,"",Data!$F:$F,16384)</f>
        <v>651555712</v>
      </c>
    </row>
    <row r="9" customFormat="false" ht="15" hidden="false" customHeight="false" outlineLevel="0" collapsed="false">
      <c r="A9" s="8" t="s">
        <v>36</v>
      </c>
      <c r="B9" s="9" t="n">
        <f aca="false">SUMIFS(Data!$P:$P,Data!$C:$C,"LossyStore",Data!$E:$E,"0.1",Data!$F:$F,256)</f>
        <v>395581079</v>
      </c>
      <c r="C9" s="9" t="n">
        <f aca="false">SUMIFS(Data!$P:$P,Data!$C:$C,"LossyStore",Data!$E:$E,"0.1",Data!$F:$F,1024)</f>
        <v>405584451</v>
      </c>
      <c r="D9" s="9" t="n">
        <f aca="false">SUMIFS(Data!$P:$P,Data!$C:$C,"LossyStore",Data!$E:$E,"0.1",Data!$F:$F,4096)</f>
        <v>415788665</v>
      </c>
      <c r="E9" s="9" t="n">
        <f aca="false">SUMIFS(Data!$P:$P,Data!$C:$C,"LossyStore",Data!$E:$E,"0.1",Data!$F:$F,16384)</f>
        <v>422752179</v>
      </c>
    </row>
    <row r="10" customFormat="false" ht="15" hidden="false" customHeight="false" outlineLevel="0" collapsed="false">
      <c r="A10" s="8" t="s">
        <v>37</v>
      </c>
      <c r="B10" s="9" t="n">
        <f aca="false">SUMIFS(Data!$P:$P,Data!$C:$C,"LossyStore",Data!$E:$E,"1",Data!$F:$F,256)</f>
        <v>374923574</v>
      </c>
      <c r="C10" s="9" t="n">
        <f aca="false">SUMIFS(Data!$P:$P,Data!$C:$C,"LossyStore",Data!$E:$E,"1",Data!$F:$F,1024)</f>
        <v>385519644</v>
      </c>
      <c r="D10" s="9" t="n">
        <f aca="false">SUMIFS(Data!$P:$P,Data!$C:$C,"LossyStore",Data!$E:$E,"1",Data!$F:$F,4096)</f>
        <v>396473093</v>
      </c>
      <c r="E10" s="9" t="n">
        <f aca="false">SUMIFS(Data!$P:$P,Data!$C:$C,"LossyStore",Data!$E:$E,"1",Data!$F:$F,16384)</f>
        <v>402276030</v>
      </c>
    </row>
    <row r="11" customFormat="false" ht="15" hidden="false" customHeight="false" outlineLevel="0" collapsed="false">
      <c r="A11" s="8" t="s">
        <v>38</v>
      </c>
      <c r="B11" s="9" t="n">
        <f aca="false">SUMIFS(Data!$P:$P,Data!$C:$C,"LossyStore",Data!$E:$E,"5",Data!$F:$F,256)</f>
        <v>362075569</v>
      </c>
      <c r="C11" s="9" t="n">
        <f aca="false">SUMIFS(Data!$P:$P,Data!$C:$C,"LossyStore",Data!$E:$E,"5",Data!$F:$F,1024)</f>
        <v>370424249</v>
      </c>
      <c r="D11" s="9" t="n">
        <f aca="false">SUMIFS(Data!$P:$P,Data!$C:$C,"LossyStore",Data!$E:$E,"5",Data!$F:$F,4096)</f>
        <v>378290835</v>
      </c>
      <c r="E11" s="9" t="n">
        <f aca="false">SUMIFS(Data!$P:$P,Data!$C:$C,"LossyStore",Data!$E:$E,"5",Data!$F:$F,16384)</f>
        <v>380812616</v>
      </c>
    </row>
    <row r="35" customFormat="false" ht="15" hidden="false" customHeight="false" outlineLevel="0" collapsed="false">
      <c r="A35" s="10" t="s">
        <v>39</v>
      </c>
      <c r="B35" s="2" t="s">
        <v>40</v>
      </c>
    </row>
    <row r="36" customFormat="false" ht="15" hidden="false" customHeight="false" outlineLevel="0" collapsed="false">
      <c r="A36" s="10" t="s">
        <v>41</v>
      </c>
      <c r="B36" s="2" t="s">
        <v>42</v>
      </c>
    </row>
    <row r="38" customFormat="false" ht="15" hidden="false" customHeight="false" outlineLevel="0" collapsed="false">
      <c r="A38" s="5" t="s">
        <v>43</v>
      </c>
      <c r="B38" s="6"/>
      <c r="C38" s="6"/>
      <c r="D38" s="6"/>
      <c r="E38" s="6"/>
    </row>
    <row r="39" customFormat="false" ht="15" hidden="false" customHeight="false" outlineLevel="0" collapsed="false">
      <c r="A39" s="7" t="s">
        <v>28</v>
      </c>
      <c r="B39" s="7" t="s">
        <v>29</v>
      </c>
      <c r="C39" s="7" t="s">
        <v>30</v>
      </c>
      <c r="D39" s="7" t="s">
        <v>31</v>
      </c>
      <c r="E39" s="7" t="s">
        <v>32</v>
      </c>
    </row>
    <row r="40" customFormat="false" ht="15" hidden="false" customHeight="false" outlineLevel="0" collapsed="false">
      <c r="A40" s="8" t="s">
        <v>33</v>
      </c>
      <c r="B40" s="11" t="n">
        <f aca="false">SUMIFS(Data!$T:$T,Data!$C:$C,"FileStore",Data!$E:$E,"",Data!$F:$F,256)</f>
        <v>0.999725</v>
      </c>
      <c r="C40" s="11" t="n">
        <f aca="false">SUMIFS(Data!$T:$T,Data!$C:$C,"FileStore",Data!$E:$E,"",Data!$F:$F,1024)</f>
        <v>0.999931</v>
      </c>
      <c r="D40" s="11" t="n">
        <f aca="false">SUMIFS(Data!$T:$T,Data!$C:$C,"FileStore",Data!$E:$E,"",Data!$F:$F,4096)</f>
        <v>0.999982</v>
      </c>
      <c r="E40" s="11" t="n">
        <f aca="false">SUMIFS(Data!$T:$T,Data!$C:$C,"FileStore",Data!$E:$E,"",Data!$F:$F,16384)</f>
        <v>0.999995</v>
      </c>
    </row>
    <row r="41" customFormat="false" ht="15" hidden="false" customHeight="false" outlineLevel="0" collapsed="false">
      <c r="A41" s="8" t="s">
        <v>34</v>
      </c>
      <c r="B41" s="11" t="n">
        <f aca="false">SUMIFS(Data!$T:$T,Data!$C:$C,"CompressedStore",Data!$E:$E,"",Data!$F:$F,256)</f>
        <v>1.649977</v>
      </c>
      <c r="C41" s="11" t="n">
        <f aca="false">SUMIFS(Data!$T:$T,Data!$C:$C,"CompressedStore",Data!$E:$E,"",Data!$F:$F,1024)</f>
        <v>1.65159</v>
      </c>
      <c r="D41" s="11" t="n">
        <f aca="false">SUMIFS(Data!$T:$T,Data!$C:$C,"CompressedStore",Data!$E:$E,"",Data!$F:$F,4096)</f>
        <v>1.651886</v>
      </c>
      <c r="E41" s="11" t="n">
        <f aca="false">SUMIFS(Data!$T:$T,Data!$C:$C,"CompressedStore",Data!$E:$E,"",Data!$F:$F,16384)</f>
        <v>1.651956</v>
      </c>
    </row>
    <row r="42" customFormat="false" ht="15" hidden="false" customHeight="false" outlineLevel="0" collapsed="false">
      <c r="A42" s="8" t="s">
        <v>35</v>
      </c>
      <c r="B42" s="11" t="n">
        <f aca="false">SUMIFS(Data!$T:$T,Data!$C:$C,"LossyStore",Data!$E:$E,"",Data!$F:$F,256)</f>
        <v>1.858611</v>
      </c>
      <c r="C42" s="11" t="n">
        <f aca="false">SUMIFS(Data!$T:$T,Data!$C:$C,"LossyStore",Data!$E:$E,"",Data!$F:$F,1024)</f>
        <v>1.867934</v>
      </c>
      <c r="D42" s="11" t="n">
        <f aca="false">SUMIFS(Data!$T:$T,Data!$C:$C,"LossyStore",Data!$E:$E,"",Data!$F:$F,4096)</f>
        <v>1.850452</v>
      </c>
      <c r="E42" s="11" t="n">
        <f aca="false">SUMIFS(Data!$T:$T,Data!$C:$C,"LossyStore",Data!$E:$E,"",Data!$F:$F,16384)</f>
        <v>1.834993</v>
      </c>
    </row>
    <row r="43" customFormat="false" ht="15" hidden="false" customHeight="false" outlineLevel="0" collapsed="false">
      <c r="A43" s="8" t="s">
        <v>36</v>
      </c>
      <c r="B43" s="11" t="n">
        <f aca="false">SUMIFS(Data!$T:$T,Data!$C:$C,"LossyStore",Data!$E:$E,"0.1",Data!$F:$F,256)</f>
        <v>3.022389</v>
      </c>
      <c r="C43" s="11" t="n">
        <f aca="false">SUMIFS(Data!$T:$T,Data!$C:$C,"LossyStore",Data!$E:$E,"0.1",Data!$F:$F,1024)</f>
        <v>2.947845</v>
      </c>
      <c r="D43" s="11" t="n">
        <f aca="false">SUMIFS(Data!$T:$T,Data!$C:$C,"LossyStore",Data!$E:$E,"0.1",Data!$F:$F,4096)</f>
        <v>2.875499</v>
      </c>
      <c r="E43" s="11" t="n">
        <f aca="false">SUMIFS(Data!$T:$T,Data!$C:$C,"LossyStore",Data!$E:$E,"0.1",Data!$F:$F,16384)</f>
        <v>2.828134</v>
      </c>
    </row>
    <row r="44" customFormat="false" ht="15" hidden="false" customHeight="false" outlineLevel="0" collapsed="false">
      <c r="A44" s="8" t="s">
        <v>37</v>
      </c>
      <c r="B44" s="11" t="n">
        <f aca="false">SUMIFS(Data!$T:$T,Data!$C:$C,"LossyStore",Data!$E:$E,"1",Data!$F:$F,256)</f>
        <v>3.188917</v>
      </c>
      <c r="C44" s="11" t="n">
        <f aca="false">SUMIFS(Data!$T:$T,Data!$C:$C,"LossyStore",Data!$E:$E,"1",Data!$F:$F,1024)</f>
        <v>3.101269</v>
      </c>
      <c r="D44" s="11" t="n">
        <f aca="false">SUMIFS(Data!$T:$T,Data!$C:$C,"LossyStore",Data!$E:$E,"1",Data!$F:$F,4096)</f>
        <v>3.015589</v>
      </c>
      <c r="E44" s="11" t="n">
        <f aca="false">SUMIFS(Data!$T:$T,Data!$C:$C,"LossyStore",Data!$E:$E,"1",Data!$F:$F,16384)</f>
        <v>2.972089</v>
      </c>
    </row>
    <row r="45" customFormat="false" ht="15" hidden="false" customHeight="false" outlineLevel="0" collapsed="false">
      <c r="A45" s="8" t="s">
        <v>38</v>
      </c>
      <c r="B45" s="11" t="n">
        <f aca="false">SUMIFS(Data!$T:$T,Data!$C:$C,"LossyStore",Data!$E:$E,"5",Data!$F:$F,256)</f>
        <v>3.302073</v>
      </c>
      <c r="C45" s="11" t="n">
        <f aca="false">SUMIFS(Data!$T:$T,Data!$C:$C,"LossyStore",Data!$E:$E,"5",Data!$F:$F,1024)</f>
        <v>3.22765</v>
      </c>
      <c r="D45" s="11" t="n">
        <f aca="false">SUMIFS(Data!$T:$T,Data!$C:$C,"LossyStore",Data!$E:$E,"5",Data!$F:$F,4096)</f>
        <v>3.160531</v>
      </c>
      <c r="E45" s="11" t="n">
        <f aca="false">SUMIFS(Data!$T:$T,Data!$C:$C,"LossyStore",Data!$E:$E,"5",Data!$F:$F,16384)</f>
        <v>3.139602</v>
      </c>
    </row>
    <row r="69" customFormat="false" ht="15" hidden="false" customHeight="false" outlineLevel="0" collapsed="false">
      <c r="A69" s="10" t="s">
        <v>39</v>
      </c>
      <c r="B69" s="2" t="s">
        <v>44</v>
      </c>
    </row>
    <row r="70" customFormat="false" ht="15" hidden="false" customHeight="false" outlineLevel="0" collapsed="false">
      <c r="A70" s="10" t="s">
        <v>41</v>
      </c>
      <c r="B70" s="2" t="s">
        <v>45</v>
      </c>
    </row>
    <row r="72" customFormat="false" ht="15" hidden="false" customHeight="false" outlineLevel="0" collapsed="false">
      <c r="A72" s="5" t="s">
        <v>46</v>
      </c>
      <c r="B72" s="6"/>
      <c r="C72" s="6"/>
      <c r="D72" s="6"/>
      <c r="E72" s="6"/>
    </row>
    <row r="73" customFormat="false" ht="15" hidden="false" customHeight="false" outlineLevel="0" collapsed="false">
      <c r="A73" s="7" t="s">
        <v>28</v>
      </c>
      <c r="B73" s="7" t="s">
        <v>29</v>
      </c>
      <c r="C73" s="7" t="s">
        <v>30</v>
      </c>
      <c r="D73" s="7" t="s">
        <v>31</v>
      </c>
      <c r="E73" s="7" t="s">
        <v>32</v>
      </c>
    </row>
    <row r="74" customFormat="false" ht="15" hidden="false" customHeight="false" outlineLevel="0" collapsed="false">
      <c r="A74" s="8" t="s">
        <v>33</v>
      </c>
      <c r="B74" s="12" t="n">
        <f aca="false">SUMIFS(Data!$L:$L,Data!$C:$C,"FileStore",Data!$E:$E,"",Data!$F:$F,256)</f>
        <v>27.8315</v>
      </c>
      <c r="C74" s="12" t="n">
        <f aca="false">SUMIFS(Data!$L:$L,Data!$C:$C,"FileStore",Data!$E:$E,"",Data!$F:$F,1024)</f>
        <v>27.5565</v>
      </c>
      <c r="D74" s="12" t="n">
        <f aca="false">SUMIFS(Data!$L:$L,Data!$C:$C,"FileStore",Data!$E:$E,"",Data!$F:$F,4096)</f>
        <v>28.4896</v>
      </c>
      <c r="E74" s="12" t="n">
        <f aca="false">SUMIFS(Data!$L:$L,Data!$C:$C,"FileStore",Data!$E:$E,"",Data!$F:$F,16384)</f>
        <v>27.8012</v>
      </c>
    </row>
    <row r="75" customFormat="false" ht="15" hidden="false" customHeight="false" outlineLevel="0" collapsed="false">
      <c r="A75" s="8" t="s">
        <v>34</v>
      </c>
      <c r="B75" s="12" t="n">
        <f aca="false">SUMIFS(Data!$L:$L,Data!$C:$C,"CompressedStore",Data!$E:$E,"",Data!$F:$F,256)</f>
        <v>34.0164</v>
      </c>
      <c r="C75" s="12" t="n">
        <f aca="false">SUMIFS(Data!$L:$L,Data!$C:$C,"CompressedStore",Data!$E:$E,"",Data!$F:$F,1024)</f>
        <v>33.1633</v>
      </c>
      <c r="D75" s="12" t="n">
        <f aca="false">SUMIFS(Data!$L:$L,Data!$C:$C,"CompressedStore",Data!$E:$E,"",Data!$F:$F,4096)</f>
        <v>34.3937</v>
      </c>
      <c r="E75" s="12" t="n">
        <f aca="false">SUMIFS(Data!$L:$L,Data!$C:$C,"CompressedStore",Data!$E:$E,"",Data!$F:$F,16384)</f>
        <v>36.2321</v>
      </c>
    </row>
    <row r="76" customFormat="false" ht="15" hidden="false" customHeight="false" outlineLevel="0" collapsed="false">
      <c r="A76" s="8" t="s">
        <v>35</v>
      </c>
      <c r="B76" s="12" t="n">
        <f aca="false">SUMIFS(Data!$L:$L,Data!$C:$C,"LossyStore",Data!$E:$E,"",Data!$F:$F,256)</f>
        <v>32.017</v>
      </c>
      <c r="C76" s="12" t="n">
        <f aca="false">SUMIFS(Data!$L:$L,Data!$C:$C,"LossyStore",Data!$E:$E,"",Data!$F:$F,1024)</f>
        <v>31.0179</v>
      </c>
      <c r="D76" s="12" t="n">
        <f aca="false">SUMIFS(Data!$L:$L,Data!$C:$C,"LossyStore",Data!$E:$E,"",Data!$F:$F,4096)</f>
        <v>32.7766</v>
      </c>
      <c r="E76" s="12" t="n">
        <f aca="false">SUMIFS(Data!$L:$L,Data!$C:$C,"LossyStore",Data!$E:$E,"",Data!$F:$F,16384)</f>
        <v>32.6821</v>
      </c>
    </row>
    <row r="77" customFormat="false" ht="15" hidden="false" customHeight="false" outlineLevel="0" collapsed="false">
      <c r="A77" s="8" t="s">
        <v>36</v>
      </c>
      <c r="B77" s="12" t="n">
        <f aca="false">SUMIFS(Data!$L:$L,Data!$C:$C,"LossyStore",Data!$E:$E,"0.1",Data!$F:$F,256)</f>
        <v>31.9136</v>
      </c>
      <c r="C77" s="12" t="n">
        <f aca="false">SUMIFS(Data!$L:$L,Data!$C:$C,"LossyStore",Data!$E:$E,"0.1",Data!$F:$F,1024)</f>
        <v>30.3721</v>
      </c>
      <c r="D77" s="12" t="n">
        <f aca="false">SUMIFS(Data!$L:$L,Data!$C:$C,"LossyStore",Data!$E:$E,"0.1",Data!$F:$F,4096)</f>
        <v>30.7451</v>
      </c>
      <c r="E77" s="12" t="n">
        <f aca="false">SUMIFS(Data!$L:$L,Data!$C:$C,"LossyStore",Data!$E:$E,"0.1",Data!$F:$F,16384)</f>
        <v>30.7901</v>
      </c>
    </row>
    <row r="78" customFormat="false" ht="15" hidden="false" customHeight="false" outlineLevel="0" collapsed="false">
      <c r="A78" s="8" t="s">
        <v>37</v>
      </c>
      <c r="B78" s="12" t="n">
        <f aca="false">SUMIFS(Data!$L:$L,Data!$C:$C,"LossyStore",Data!$E:$E,"1",Data!$F:$F,256)</f>
        <v>31.7757</v>
      </c>
      <c r="C78" s="12" t="n">
        <f aca="false">SUMIFS(Data!$L:$L,Data!$C:$C,"LossyStore",Data!$E:$E,"1",Data!$F:$F,1024)</f>
        <v>30.9375</v>
      </c>
      <c r="D78" s="12" t="n">
        <f aca="false">SUMIFS(Data!$L:$L,Data!$C:$C,"LossyStore",Data!$E:$E,"1",Data!$F:$F,4096)</f>
        <v>31.1061</v>
      </c>
      <c r="E78" s="12" t="n">
        <f aca="false">SUMIFS(Data!$L:$L,Data!$C:$C,"LossyStore",Data!$E:$E,"1",Data!$F:$F,16384)</f>
        <v>30.5885</v>
      </c>
    </row>
    <row r="79" customFormat="false" ht="15" hidden="false" customHeight="false" outlineLevel="0" collapsed="false">
      <c r="A79" s="8" t="s">
        <v>38</v>
      </c>
      <c r="B79" s="12" t="n">
        <f aca="false">SUMIFS(Data!$L:$L,Data!$C:$C,"LossyStore",Data!$E:$E,"5",Data!$F:$F,256)</f>
        <v>31.8938</v>
      </c>
      <c r="C79" s="12" t="n">
        <f aca="false">SUMIFS(Data!$L:$L,Data!$C:$C,"LossyStore",Data!$E:$E,"5",Data!$F:$F,1024)</f>
        <v>30.5255</v>
      </c>
      <c r="D79" s="12" t="n">
        <f aca="false">SUMIFS(Data!$L:$L,Data!$C:$C,"LossyStore",Data!$E:$E,"5",Data!$F:$F,4096)</f>
        <v>31.7295</v>
      </c>
      <c r="E79" s="12" t="n">
        <f aca="false">SUMIFS(Data!$L:$L,Data!$C:$C,"LossyStore",Data!$E:$E,"5",Data!$F:$F,16384)</f>
        <v>31.6</v>
      </c>
    </row>
    <row r="80" customFormat="false" ht="15" hidden="false" customHeight="false" outlineLevel="0" collapsed="false">
      <c r="A80" s="13" t="s">
        <v>47</v>
      </c>
      <c r="B80" s="14" t="n">
        <f aca="false">SUMIFS(Data!$K:$K,Data!$C:$C,"FileStore",Data!$E:$E,"",Data!$F:$F,256)</f>
        <v>20.7321</v>
      </c>
      <c r="C80" s="14" t="n">
        <f aca="false">SUMIFS(Data!$K:$K,Data!$C:$C,"FileStore",Data!$E:$E,"",Data!$F:$F,1024)</f>
        <v>20.7883</v>
      </c>
      <c r="D80" s="14" t="n">
        <f aca="false">SUMIFS(Data!$K:$K,Data!$C:$C,"FileStore",Data!$E:$E,"",Data!$F:$F,4096)</f>
        <v>21.1554</v>
      </c>
      <c r="E80" s="14" t="n">
        <f aca="false">SUMIFS(Data!$K:$K,Data!$C:$C,"FileStore",Data!$E:$E,"",Data!$F:$F,16384)</f>
        <v>20.7318</v>
      </c>
    </row>
    <row r="104" customFormat="false" ht="15" hidden="false" customHeight="false" outlineLevel="0" collapsed="false">
      <c r="A104" s="10" t="s">
        <v>39</v>
      </c>
      <c r="B104" s="2" t="s">
        <v>48</v>
      </c>
    </row>
    <row r="105" customFormat="false" ht="15" hidden="false" customHeight="false" outlineLevel="0" collapsed="false">
      <c r="A105" s="10" t="s">
        <v>41</v>
      </c>
      <c r="B105" s="2" t="s">
        <v>49</v>
      </c>
    </row>
    <row r="107" customFormat="false" ht="15" hidden="false" customHeight="false" outlineLevel="0" collapsed="false">
      <c r="A107" s="5" t="s">
        <v>50</v>
      </c>
      <c r="B107" s="6"/>
      <c r="C107" s="6"/>
      <c r="D107" s="6"/>
      <c r="E107" s="6"/>
    </row>
    <row r="108" customFormat="false" ht="15" hidden="false" customHeight="false" outlineLevel="0" collapsed="false">
      <c r="A108" s="7" t="s">
        <v>28</v>
      </c>
      <c r="B108" s="7" t="s">
        <v>29</v>
      </c>
      <c r="C108" s="7" t="s">
        <v>30</v>
      </c>
      <c r="D108" s="7" t="s">
        <v>31</v>
      </c>
      <c r="E108" s="7" t="s">
        <v>32</v>
      </c>
    </row>
    <row r="109" customFormat="false" ht="15" hidden="false" customHeight="false" outlineLevel="0" collapsed="false">
      <c r="A109" s="8" t="s">
        <v>33</v>
      </c>
      <c r="B109" s="12" t="n">
        <f aca="false">SUMIFS(Data!$M:$M,Data!$C:$C,"FileStore",Data!$E:$E,"",Data!$F:$F,256)</f>
        <v>10.9249</v>
      </c>
      <c r="C109" s="12" t="n">
        <f aca="false">SUMIFS(Data!$M:$M,Data!$C:$C,"FileStore",Data!$E:$E,"",Data!$F:$F,1024)</f>
        <v>10.2081</v>
      </c>
      <c r="D109" s="12" t="n">
        <f aca="false">SUMIFS(Data!$M:$M,Data!$C:$C,"FileStore",Data!$E:$E,"",Data!$F:$F,4096)</f>
        <v>9.832</v>
      </c>
      <c r="E109" s="12" t="n">
        <f aca="false">SUMIFS(Data!$M:$M,Data!$C:$C,"FileStore",Data!$E:$E,"",Data!$F:$F,16384)</f>
        <v>10.232</v>
      </c>
    </row>
    <row r="110" customFormat="false" ht="15" hidden="false" customHeight="false" outlineLevel="0" collapsed="false">
      <c r="A110" s="8" t="s">
        <v>34</v>
      </c>
      <c r="B110" s="12" t="n">
        <f aca="false">SUMIFS(Data!$M:$M,Data!$C:$C,"CompressedStore",Data!$E:$E,"",Data!$F:$F,256)</f>
        <v>9.6512</v>
      </c>
      <c r="C110" s="12" t="n">
        <f aca="false">SUMIFS(Data!$M:$M,Data!$C:$C,"CompressedStore",Data!$E:$E,"",Data!$F:$F,1024)</f>
        <v>9.5181</v>
      </c>
      <c r="D110" s="12" t="n">
        <f aca="false">SUMIFS(Data!$M:$M,Data!$C:$C,"CompressedStore",Data!$E:$E,"",Data!$F:$F,4096)</f>
        <v>9.9165</v>
      </c>
      <c r="E110" s="12" t="n">
        <f aca="false">SUMIFS(Data!$M:$M,Data!$C:$C,"CompressedStore",Data!$E:$E,"",Data!$F:$F,16384)</f>
        <v>9.8915</v>
      </c>
    </row>
    <row r="111" customFormat="false" ht="15" hidden="false" customHeight="false" outlineLevel="0" collapsed="false">
      <c r="A111" s="8" t="s">
        <v>35</v>
      </c>
      <c r="B111" s="12" t="n">
        <f aca="false">SUMIFS(Data!$M:$M,Data!$C:$C,"LossyStore",Data!$E:$E,"",Data!$F:$F,256)</f>
        <v>10.3771</v>
      </c>
      <c r="C111" s="12" t="n">
        <f aca="false">SUMIFS(Data!$M:$M,Data!$C:$C,"LossyStore",Data!$E:$E,"",Data!$F:$F,1024)</f>
        <v>9.8422</v>
      </c>
      <c r="D111" s="12" t="n">
        <f aca="false">SUMIFS(Data!$M:$M,Data!$C:$C,"LossyStore",Data!$E:$E,"",Data!$F:$F,4096)</f>
        <v>9.9102</v>
      </c>
      <c r="E111" s="12" t="n">
        <f aca="false">SUMIFS(Data!$M:$M,Data!$C:$C,"LossyStore",Data!$E:$E,"",Data!$F:$F,16384)</f>
        <v>9.9934</v>
      </c>
    </row>
    <row r="112" customFormat="false" ht="15" hidden="false" customHeight="false" outlineLevel="0" collapsed="false">
      <c r="A112" s="8" t="s">
        <v>36</v>
      </c>
      <c r="B112" s="12" t="n">
        <f aca="false">SUMIFS(Data!$M:$M,Data!$C:$C,"LossyStore",Data!$E:$E,"0.1",Data!$F:$F,256)</f>
        <v>9.9668</v>
      </c>
      <c r="C112" s="12" t="n">
        <f aca="false">SUMIFS(Data!$M:$M,Data!$C:$C,"LossyStore",Data!$E:$E,"0.1",Data!$F:$F,1024)</f>
        <v>9.9944</v>
      </c>
      <c r="D112" s="12" t="n">
        <f aca="false">SUMIFS(Data!$M:$M,Data!$C:$C,"LossyStore",Data!$E:$E,"0.1",Data!$F:$F,4096)</f>
        <v>9.9176</v>
      </c>
      <c r="E112" s="12" t="n">
        <f aca="false">SUMIFS(Data!$M:$M,Data!$C:$C,"LossyStore",Data!$E:$E,"0.1",Data!$F:$F,16384)</f>
        <v>9.9976</v>
      </c>
    </row>
    <row r="113" customFormat="false" ht="15" hidden="false" customHeight="false" outlineLevel="0" collapsed="false">
      <c r="A113" s="8" t="s">
        <v>37</v>
      </c>
      <c r="B113" s="12" t="n">
        <f aca="false">SUMIFS(Data!$M:$M,Data!$C:$C,"LossyStore",Data!$E:$E,"1",Data!$F:$F,256)</f>
        <v>9.9096</v>
      </c>
      <c r="C113" s="12" t="n">
        <f aca="false">SUMIFS(Data!$M:$M,Data!$C:$C,"LossyStore",Data!$E:$E,"1",Data!$F:$F,1024)</f>
        <v>9.9524</v>
      </c>
      <c r="D113" s="12" t="n">
        <f aca="false">SUMIFS(Data!$M:$M,Data!$C:$C,"LossyStore",Data!$E:$E,"1",Data!$F:$F,4096)</f>
        <v>10.0552</v>
      </c>
      <c r="E113" s="12" t="n">
        <f aca="false">SUMIFS(Data!$M:$M,Data!$C:$C,"LossyStore",Data!$E:$E,"1",Data!$F:$F,16384)</f>
        <v>9.9678</v>
      </c>
    </row>
    <row r="114" customFormat="false" ht="15" hidden="false" customHeight="false" outlineLevel="0" collapsed="false">
      <c r="A114" s="8" t="s">
        <v>38</v>
      </c>
      <c r="B114" s="12" t="n">
        <f aca="false">SUMIFS(Data!$M:$M,Data!$C:$C,"LossyStore",Data!$E:$E,"5",Data!$F:$F,256)</f>
        <v>9.9197</v>
      </c>
      <c r="C114" s="12" t="n">
        <f aca="false">SUMIFS(Data!$M:$M,Data!$C:$C,"LossyStore",Data!$E:$E,"5",Data!$F:$F,1024)</f>
        <v>10.7078</v>
      </c>
      <c r="D114" s="12" t="n">
        <f aca="false">SUMIFS(Data!$M:$M,Data!$C:$C,"LossyStore",Data!$E:$E,"5",Data!$F:$F,4096)</f>
        <v>9.8691</v>
      </c>
      <c r="E114" s="12" t="n">
        <f aca="false">SUMIFS(Data!$M:$M,Data!$C:$C,"LossyStore",Data!$E:$E,"5",Data!$F:$F,16384)</f>
        <v>10.2527</v>
      </c>
    </row>
    <row r="115" customFormat="false" ht="15" hidden="false" customHeight="false" outlineLevel="0" collapsed="false">
      <c r="A115" s="13" t="s">
        <v>47</v>
      </c>
      <c r="B115" s="14" t="n">
        <f aca="false">SUMIFS(Data!$K:$K,Data!$C:$C,"FileStore",Data!$E:$E,"",Data!$F:$F,256)</f>
        <v>20.7321</v>
      </c>
      <c r="C115" s="14" t="n">
        <f aca="false">SUMIFS(Data!$K:$K,Data!$C:$C,"FileStore",Data!$E:$E,"",Data!$F:$F,1024)</f>
        <v>20.7883</v>
      </c>
      <c r="D115" s="14" t="n">
        <f aca="false">SUMIFS(Data!$K:$K,Data!$C:$C,"FileStore",Data!$E:$E,"",Data!$F:$F,4096)</f>
        <v>21.1554</v>
      </c>
      <c r="E115" s="14" t="n">
        <f aca="false">SUMIFS(Data!$K:$K,Data!$C:$C,"FileStore",Data!$E:$E,"",Data!$F:$F,16384)</f>
        <v>20.7318</v>
      </c>
    </row>
    <row r="139" customFormat="false" ht="15" hidden="false" customHeight="false" outlineLevel="0" collapsed="false">
      <c r="A139" s="10" t="s">
        <v>39</v>
      </c>
      <c r="B139" s="2" t="s">
        <v>51</v>
      </c>
    </row>
    <row r="140" customFormat="false" ht="15" hidden="false" customHeight="false" outlineLevel="0" collapsed="false">
      <c r="A140" s="10" t="s">
        <v>41</v>
      </c>
      <c r="B140" s="2"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40" min="2" style="0" width="14"/>
  </cols>
  <sheetData>
    <row r="1" customFormat="false" ht="15" hidden="false" customHeight="false" outlineLevel="0" collapsed="false">
      <c r="A1" s="7" t="s">
        <v>2</v>
      </c>
      <c r="B1" s="7" t="s">
        <v>53</v>
      </c>
      <c r="C1" s="7" t="s">
        <v>54</v>
      </c>
      <c r="D1" s="7" t="s">
        <v>55</v>
      </c>
      <c r="E1" s="7" t="s">
        <v>56</v>
      </c>
      <c r="F1" s="7" t="s">
        <v>57</v>
      </c>
      <c r="G1" s="7" t="s">
        <v>58</v>
      </c>
      <c r="H1" s="7" t="s">
        <v>59</v>
      </c>
      <c r="I1" s="7" t="s">
        <v>60</v>
      </c>
      <c r="J1" s="7" t="s">
        <v>61</v>
      </c>
      <c r="K1" s="7" t="s">
        <v>62</v>
      </c>
      <c r="L1" s="7" t="s">
        <v>63</v>
      </c>
      <c r="M1" s="7" t="s">
        <v>64</v>
      </c>
      <c r="N1" s="7" t="s">
        <v>65</v>
      </c>
      <c r="O1" s="7" t="s">
        <v>66</v>
      </c>
      <c r="P1" s="7" t="s">
        <v>67</v>
      </c>
      <c r="Q1" s="7" t="s">
        <v>68</v>
      </c>
      <c r="R1" s="7" t="s">
        <v>69</v>
      </c>
      <c r="S1" s="7" t="s">
        <v>70</v>
      </c>
      <c r="T1" s="7" t="s">
        <v>71</v>
      </c>
      <c r="U1" s="7" t="s">
        <v>72</v>
      </c>
      <c r="V1" s="7" t="s">
        <v>10</v>
      </c>
      <c r="W1" s="7" t="s">
        <v>73</v>
      </c>
      <c r="X1" s="7" t="s">
        <v>74</v>
      </c>
      <c r="Y1" s="7" t="s">
        <v>75</v>
      </c>
      <c r="Z1" s="7" t="s">
        <v>76</v>
      </c>
      <c r="AA1" s="7" t="s">
        <v>77</v>
      </c>
      <c r="AB1" s="7" t="s">
        <v>78</v>
      </c>
      <c r="AC1" s="7" t="s">
        <v>79</v>
      </c>
      <c r="AD1" s="7" t="s">
        <v>80</v>
      </c>
      <c r="AE1" s="7" t="s">
        <v>81</v>
      </c>
      <c r="AF1" s="7" t="s">
        <v>82</v>
      </c>
      <c r="AG1" s="7" t="s">
        <v>83</v>
      </c>
      <c r="AH1" s="7" t="s">
        <v>84</v>
      </c>
      <c r="AI1" s="7" t="s">
        <v>85</v>
      </c>
      <c r="AJ1" s="7" t="s">
        <v>86</v>
      </c>
      <c r="AK1" s="7" t="s">
        <v>87</v>
      </c>
      <c r="AL1" s="7" t="s">
        <v>88</v>
      </c>
      <c r="AM1" s="7" t="s">
        <v>89</v>
      </c>
      <c r="AN1" s="7" t="s">
        <v>90</v>
      </c>
    </row>
    <row r="2" customFormat="false" ht="15" hidden="false" customHeight="false" outlineLevel="0" collapsed="false">
      <c r="A2" s="8" t="s">
        <v>91</v>
      </c>
      <c r="B2" s="8" t="s">
        <v>92</v>
      </c>
      <c r="C2" s="8" t="s">
        <v>34</v>
      </c>
      <c r="D2" s="8" t="s">
        <v>34</v>
      </c>
      <c r="E2" s="8"/>
      <c r="F2" s="8" t="n">
        <v>256</v>
      </c>
      <c r="G2" s="8" t="n">
        <v>256</v>
      </c>
      <c r="H2" s="8" t="n">
        <v>42700000</v>
      </c>
      <c r="I2" s="8" t="n">
        <v>28</v>
      </c>
      <c r="J2" s="8" t="n">
        <v>1195600000</v>
      </c>
      <c r="K2" s="8" t="n">
        <v>20.7321</v>
      </c>
      <c r="L2" s="8" t="n">
        <v>34.0164</v>
      </c>
      <c r="M2" s="8" t="n">
        <v>9.6512</v>
      </c>
      <c r="N2" s="8" t="n">
        <v>13.2843</v>
      </c>
      <c r="O2" s="8" t="n">
        <v>724428841</v>
      </c>
      <c r="P2" s="8" t="n">
        <v>724616220</v>
      </c>
      <c r="Q2" s="8" t="n">
        <v>4561</v>
      </c>
      <c r="R2" s="8" t="n">
        <v>187379</v>
      </c>
      <c r="S2" s="8" t="n">
        <v>1.650404</v>
      </c>
      <c r="T2" s="8" t="n">
        <v>1.649977</v>
      </c>
      <c r="U2" s="8" t="n">
        <v>1</v>
      </c>
      <c r="V2" s="8" t="s">
        <v>11</v>
      </c>
      <c r="W2" s="8" t="n">
        <v>256</v>
      </c>
      <c r="X2" s="8" t="n">
        <v>4096</v>
      </c>
      <c r="Y2" s="8" t="n">
        <v>4</v>
      </c>
      <c r="Z2" s="8" t="n">
        <v>1048576</v>
      </c>
      <c r="AA2" s="8" t="n">
        <v>256</v>
      </c>
      <c r="AB2" s="8" t="n">
        <v>256</v>
      </c>
      <c r="AC2" s="8" t="n">
        <v>3</v>
      </c>
      <c r="AD2" s="8" t="n">
        <v>128</v>
      </c>
      <c r="AE2" s="8" t="n">
        <v>4096</v>
      </c>
      <c r="AF2" s="8" t="s">
        <v>93</v>
      </c>
      <c r="AG2" s="8" t="n">
        <v>0</v>
      </c>
      <c r="AH2" s="8" t="n">
        <v>0</v>
      </c>
      <c r="AI2" s="8" t="n">
        <v>0</v>
      </c>
      <c r="AJ2" s="8" t="n">
        <v>0</v>
      </c>
      <c r="AK2" s="8" t="n">
        <v>724428841</v>
      </c>
      <c r="AL2" s="8" t="n">
        <v>724616220</v>
      </c>
      <c r="AM2" s="8" t="n">
        <v>0</v>
      </c>
      <c r="AN2" s="8" t="n">
        <v>0</v>
      </c>
    </row>
    <row r="3" customFormat="false" ht="15" hidden="false" customHeight="false" outlineLevel="0" collapsed="false">
      <c r="A3" s="8" t="s">
        <v>91</v>
      </c>
      <c r="B3" s="8" t="s">
        <v>92</v>
      </c>
      <c r="C3" s="8" t="s">
        <v>94</v>
      </c>
      <c r="D3" s="8" t="s">
        <v>94</v>
      </c>
      <c r="E3" s="8"/>
      <c r="F3" s="8" t="n">
        <v>256</v>
      </c>
      <c r="G3" s="8" t="n">
        <v>256</v>
      </c>
      <c r="H3" s="8" t="n">
        <v>42700000</v>
      </c>
      <c r="I3" s="8" t="n">
        <v>28</v>
      </c>
      <c r="J3" s="8" t="n">
        <v>1195600000</v>
      </c>
      <c r="K3" s="8" t="n">
        <v>20.7321</v>
      </c>
      <c r="L3" s="8" t="n">
        <v>27.8315</v>
      </c>
      <c r="M3" s="8" t="n">
        <v>10.9249</v>
      </c>
      <c r="N3" s="8" t="n">
        <v>7.0994</v>
      </c>
      <c r="O3" s="8" t="n">
        <v>1195600000</v>
      </c>
      <c r="P3" s="8" t="n">
        <v>1195928436</v>
      </c>
      <c r="Q3" s="8" t="n">
        <v>4561</v>
      </c>
      <c r="R3" s="8" t="n">
        <v>328436</v>
      </c>
      <c r="S3" s="8" t="n">
        <v>1</v>
      </c>
      <c r="T3" s="8" t="n">
        <v>0.999725</v>
      </c>
      <c r="U3" s="8" t="n">
        <v>1</v>
      </c>
      <c r="V3" s="8" t="s">
        <v>11</v>
      </c>
      <c r="W3" s="8" t="n">
        <v>256</v>
      </c>
      <c r="X3" s="8" t="n">
        <v>4096</v>
      </c>
      <c r="Y3" s="8" t="n">
        <v>4</v>
      </c>
      <c r="Z3" s="8" t="n">
        <v>1048576</v>
      </c>
      <c r="AA3" s="8" t="n">
        <v>256</v>
      </c>
      <c r="AB3" s="8" t="n">
        <v>256</v>
      </c>
      <c r="AC3" s="8" t="n">
        <v>3</v>
      </c>
      <c r="AD3" s="8" t="n">
        <v>128</v>
      </c>
      <c r="AE3" s="8" t="n">
        <v>4096</v>
      </c>
      <c r="AF3" s="8" t="s">
        <v>93</v>
      </c>
      <c r="AG3" s="8" t="n">
        <v>0</v>
      </c>
      <c r="AH3" s="8" t="n">
        <v>0</v>
      </c>
      <c r="AI3" s="8" t="n">
        <v>1195600000</v>
      </c>
      <c r="AJ3" s="8" t="n">
        <v>1195928436</v>
      </c>
      <c r="AK3" s="8" t="n">
        <v>0</v>
      </c>
      <c r="AL3" s="8" t="n">
        <v>0</v>
      </c>
      <c r="AM3" s="8" t="n">
        <v>0</v>
      </c>
      <c r="AN3" s="8" t="n">
        <v>0</v>
      </c>
    </row>
    <row r="4" customFormat="false" ht="15" hidden="false" customHeight="false" outlineLevel="0" collapsed="false">
      <c r="A4" s="8" t="s">
        <v>91</v>
      </c>
      <c r="B4" s="8" t="s">
        <v>92</v>
      </c>
      <c r="C4" s="8" t="s">
        <v>95</v>
      </c>
      <c r="D4" s="8" t="s">
        <v>95</v>
      </c>
      <c r="E4" s="8"/>
      <c r="F4" s="8" t="n">
        <v>256</v>
      </c>
      <c r="G4" s="8" t="n">
        <v>256</v>
      </c>
      <c r="H4" s="8" t="n">
        <v>42700000</v>
      </c>
      <c r="I4" s="8" t="n">
        <v>28</v>
      </c>
      <c r="J4" s="8" t="n">
        <v>1195600000</v>
      </c>
      <c r="K4" s="8" t="n">
        <v>20.7321</v>
      </c>
      <c r="L4" s="8" t="n">
        <v>32.017</v>
      </c>
      <c r="M4" s="8" t="n">
        <v>10.3771</v>
      </c>
      <c r="N4" s="8" t="n">
        <v>11.2849</v>
      </c>
      <c r="O4" s="8" t="n">
        <v>642199148</v>
      </c>
      <c r="P4" s="8" t="n">
        <v>643275922</v>
      </c>
      <c r="Q4" s="8" t="n">
        <v>4561</v>
      </c>
      <c r="R4" s="8" t="n">
        <v>1076774</v>
      </c>
      <c r="S4" s="8" t="n">
        <v>1.861728</v>
      </c>
      <c r="T4" s="8" t="n">
        <v>1.858611</v>
      </c>
      <c r="U4" s="8" t="n">
        <v>1</v>
      </c>
      <c r="V4" s="8" t="s">
        <v>11</v>
      </c>
      <c r="W4" s="8" t="n">
        <v>256</v>
      </c>
      <c r="X4" s="8" t="n">
        <v>4096</v>
      </c>
      <c r="Y4" s="8" t="n">
        <v>4</v>
      </c>
      <c r="Z4" s="8" t="n">
        <v>1048576</v>
      </c>
      <c r="AA4" s="8" t="n">
        <v>256</v>
      </c>
      <c r="AB4" s="8" t="n">
        <v>256</v>
      </c>
      <c r="AC4" s="8" t="n">
        <v>3</v>
      </c>
      <c r="AD4" s="8" t="n">
        <v>128</v>
      </c>
      <c r="AE4" s="8" t="n">
        <v>4096</v>
      </c>
      <c r="AF4" s="8" t="s">
        <v>93</v>
      </c>
      <c r="AG4" s="8" t="n">
        <v>0</v>
      </c>
      <c r="AH4" s="8" t="n">
        <v>0</v>
      </c>
      <c r="AI4" s="8" t="n">
        <v>0</v>
      </c>
      <c r="AJ4" s="8" t="n">
        <v>0</v>
      </c>
      <c r="AK4" s="8" t="n">
        <v>0</v>
      </c>
      <c r="AL4" s="8" t="n">
        <v>0</v>
      </c>
      <c r="AM4" s="8" t="n">
        <v>642199148</v>
      </c>
      <c r="AN4" s="8" t="n">
        <v>643275922</v>
      </c>
    </row>
    <row r="5" customFormat="false" ht="15" hidden="false" customHeight="false" outlineLevel="0" collapsed="false">
      <c r="A5" s="8" t="s">
        <v>91</v>
      </c>
      <c r="B5" s="8" t="s">
        <v>92</v>
      </c>
      <c r="C5" s="8" t="s">
        <v>95</v>
      </c>
      <c r="D5" s="8" t="s">
        <v>95</v>
      </c>
      <c r="E5" s="8" t="n">
        <v>0.1</v>
      </c>
      <c r="F5" s="8" t="n">
        <v>256</v>
      </c>
      <c r="G5" s="8" t="n">
        <v>256</v>
      </c>
      <c r="H5" s="8" t="n">
        <v>42700000</v>
      </c>
      <c r="I5" s="8" t="n">
        <v>28</v>
      </c>
      <c r="J5" s="8" t="n">
        <v>1195600000</v>
      </c>
      <c r="K5" s="8" t="n">
        <v>20.7321</v>
      </c>
      <c r="L5" s="8" t="n">
        <v>31.9136</v>
      </c>
      <c r="M5" s="8" t="n">
        <v>9.9668</v>
      </c>
      <c r="N5" s="8" t="n">
        <v>11.1815</v>
      </c>
      <c r="O5" s="8" t="n">
        <v>394504305</v>
      </c>
      <c r="P5" s="8" t="n">
        <v>395581079</v>
      </c>
      <c r="Q5" s="8" t="n">
        <v>4561</v>
      </c>
      <c r="R5" s="8" t="n">
        <v>1076774</v>
      </c>
      <c r="S5" s="8" t="n">
        <v>3.030639</v>
      </c>
      <c r="T5" s="8" t="n">
        <v>3.022389</v>
      </c>
      <c r="U5" s="8" t="n">
        <v>1</v>
      </c>
      <c r="V5" s="8" t="s">
        <v>11</v>
      </c>
      <c r="W5" s="8" t="n">
        <v>256</v>
      </c>
      <c r="X5" s="8" t="n">
        <v>4096</v>
      </c>
      <c r="Y5" s="8" t="n">
        <v>4</v>
      </c>
      <c r="Z5" s="8" t="n">
        <v>1048576</v>
      </c>
      <c r="AA5" s="8" t="n">
        <v>256</v>
      </c>
      <c r="AB5" s="8" t="n">
        <v>256</v>
      </c>
      <c r="AC5" s="8" t="n">
        <v>3</v>
      </c>
      <c r="AD5" s="8" t="n">
        <v>128</v>
      </c>
      <c r="AE5" s="8" t="n">
        <v>4096</v>
      </c>
      <c r="AF5" s="8" t="s">
        <v>93</v>
      </c>
      <c r="AG5" s="8" t="n">
        <v>0</v>
      </c>
      <c r="AH5" s="8" t="n">
        <v>0</v>
      </c>
      <c r="AI5" s="8" t="n">
        <v>0</v>
      </c>
      <c r="AJ5" s="8" t="n">
        <v>0</v>
      </c>
      <c r="AK5" s="8" t="n">
        <v>0</v>
      </c>
      <c r="AL5" s="8" t="n">
        <v>0</v>
      </c>
      <c r="AM5" s="8" t="n">
        <v>394504305</v>
      </c>
      <c r="AN5" s="8" t="n">
        <v>395581079</v>
      </c>
    </row>
    <row r="6" customFormat="false" ht="15" hidden="false" customHeight="false" outlineLevel="0" collapsed="false">
      <c r="A6" s="8" t="s">
        <v>91</v>
      </c>
      <c r="B6" s="8" t="s">
        <v>92</v>
      </c>
      <c r="C6" s="8" t="s">
        <v>95</v>
      </c>
      <c r="D6" s="8" t="s">
        <v>95</v>
      </c>
      <c r="E6" s="8" t="n">
        <v>1</v>
      </c>
      <c r="F6" s="8" t="n">
        <v>256</v>
      </c>
      <c r="G6" s="8" t="n">
        <v>256</v>
      </c>
      <c r="H6" s="8" t="n">
        <v>42700000</v>
      </c>
      <c r="I6" s="8" t="n">
        <v>28</v>
      </c>
      <c r="J6" s="8" t="n">
        <v>1195600000</v>
      </c>
      <c r="K6" s="8" t="n">
        <v>20.7321</v>
      </c>
      <c r="L6" s="8" t="n">
        <v>31.7757</v>
      </c>
      <c r="M6" s="8" t="n">
        <v>9.9096</v>
      </c>
      <c r="N6" s="8" t="n">
        <v>11.0436</v>
      </c>
      <c r="O6" s="8" t="n">
        <v>373846800</v>
      </c>
      <c r="P6" s="8" t="n">
        <v>374923574</v>
      </c>
      <c r="Q6" s="8" t="n">
        <v>4561</v>
      </c>
      <c r="R6" s="8" t="n">
        <v>1076774</v>
      </c>
      <c r="S6" s="8" t="n">
        <v>3.198101</v>
      </c>
      <c r="T6" s="8" t="n">
        <v>3.188917</v>
      </c>
      <c r="U6" s="8" t="n">
        <v>1</v>
      </c>
      <c r="V6" s="8" t="s">
        <v>11</v>
      </c>
      <c r="W6" s="8" t="n">
        <v>256</v>
      </c>
      <c r="X6" s="8" t="n">
        <v>4096</v>
      </c>
      <c r="Y6" s="8" t="n">
        <v>4</v>
      </c>
      <c r="Z6" s="8" t="n">
        <v>1048576</v>
      </c>
      <c r="AA6" s="8" t="n">
        <v>256</v>
      </c>
      <c r="AB6" s="8" t="n">
        <v>256</v>
      </c>
      <c r="AC6" s="8" t="n">
        <v>3</v>
      </c>
      <c r="AD6" s="8" t="n">
        <v>128</v>
      </c>
      <c r="AE6" s="8" t="n">
        <v>4096</v>
      </c>
      <c r="AF6" s="8" t="s">
        <v>93</v>
      </c>
      <c r="AG6" s="8" t="n">
        <v>0</v>
      </c>
      <c r="AH6" s="8" t="n">
        <v>0</v>
      </c>
      <c r="AI6" s="8" t="n">
        <v>0</v>
      </c>
      <c r="AJ6" s="8" t="n">
        <v>0</v>
      </c>
      <c r="AK6" s="8" t="n">
        <v>0</v>
      </c>
      <c r="AL6" s="8" t="n">
        <v>0</v>
      </c>
      <c r="AM6" s="8" t="n">
        <v>373846800</v>
      </c>
      <c r="AN6" s="8" t="n">
        <v>374923574</v>
      </c>
    </row>
    <row r="7" customFormat="false" ht="15" hidden="false" customHeight="false" outlineLevel="0" collapsed="false">
      <c r="A7" s="8" t="s">
        <v>91</v>
      </c>
      <c r="B7" s="8" t="s">
        <v>92</v>
      </c>
      <c r="C7" s="8" t="s">
        <v>95</v>
      </c>
      <c r="D7" s="8" t="s">
        <v>95</v>
      </c>
      <c r="E7" s="8" t="n">
        <v>5</v>
      </c>
      <c r="F7" s="8" t="n">
        <v>256</v>
      </c>
      <c r="G7" s="8" t="n">
        <v>256</v>
      </c>
      <c r="H7" s="8" t="n">
        <v>42700000</v>
      </c>
      <c r="I7" s="8" t="n">
        <v>28</v>
      </c>
      <c r="J7" s="8" t="n">
        <v>1195600000</v>
      </c>
      <c r="K7" s="8" t="n">
        <v>20.7321</v>
      </c>
      <c r="L7" s="8" t="n">
        <v>31.8938</v>
      </c>
      <c r="M7" s="8" t="n">
        <v>9.9197</v>
      </c>
      <c r="N7" s="8" t="n">
        <v>11.1617</v>
      </c>
      <c r="O7" s="8" t="n">
        <v>360998795</v>
      </c>
      <c r="P7" s="8" t="n">
        <v>362075569</v>
      </c>
      <c r="Q7" s="8" t="n">
        <v>4561</v>
      </c>
      <c r="R7" s="8" t="n">
        <v>1076774</v>
      </c>
      <c r="S7" s="8" t="n">
        <v>3.311922</v>
      </c>
      <c r="T7" s="8" t="n">
        <v>3.302073</v>
      </c>
      <c r="U7" s="8" t="n">
        <v>1</v>
      </c>
      <c r="V7" s="8" t="s">
        <v>11</v>
      </c>
      <c r="W7" s="8" t="n">
        <v>256</v>
      </c>
      <c r="X7" s="8" t="n">
        <v>4096</v>
      </c>
      <c r="Y7" s="8" t="n">
        <v>4</v>
      </c>
      <c r="Z7" s="8" t="n">
        <v>1048576</v>
      </c>
      <c r="AA7" s="8" t="n">
        <v>256</v>
      </c>
      <c r="AB7" s="8" t="n">
        <v>256</v>
      </c>
      <c r="AC7" s="8" t="n">
        <v>3</v>
      </c>
      <c r="AD7" s="8" t="n">
        <v>128</v>
      </c>
      <c r="AE7" s="8" t="n">
        <v>4096</v>
      </c>
      <c r="AF7" s="8" t="s">
        <v>93</v>
      </c>
      <c r="AG7" s="8" t="n">
        <v>0</v>
      </c>
      <c r="AH7" s="8" t="n">
        <v>0</v>
      </c>
      <c r="AI7" s="8" t="n">
        <v>0</v>
      </c>
      <c r="AJ7" s="8" t="n">
        <v>0</v>
      </c>
      <c r="AK7" s="8" t="n">
        <v>0</v>
      </c>
      <c r="AL7" s="8" t="n">
        <v>0</v>
      </c>
      <c r="AM7" s="8" t="n">
        <v>360998795</v>
      </c>
      <c r="AN7" s="8" t="n">
        <v>362075569</v>
      </c>
    </row>
    <row r="8" customFormat="false" ht="15" hidden="false" customHeight="false" outlineLevel="0" collapsed="false">
      <c r="A8" s="8" t="s">
        <v>91</v>
      </c>
      <c r="B8" s="8" t="s">
        <v>92</v>
      </c>
      <c r="C8" s="8" t="s">
        <v>34</v>
      </c>
      <c r="D8" s="8" t="s">
        <v>34</v>
      </c>
      <c r="E8" s="8"/>
      <c r="F8" s="8" t="n">
        <v>1024</v>
      </c>
      <c r="G8" s="8" t="n">
        <v>1024</v>
      </c>
      <c r="H8" s="8" t="n">
        <v>42700000</v>
      </c>
      <c r="I8" s="8" t="n">
        <v>28</v>
      </c>
      <c r="J8" s="8" t="n">
        <v>1195600000</v>
      </c>
      <c r="K8" s="8" t="n">
        <v>20.7883</v>
      </c>
      <c r="L8" s="8" t="n">
        <v>33.1633</v>
      </c>
      <c r="M8" s="8" t="n">
        <v>9.5181</v>
      </c>
      <c r="N8" s="8" t="n">
        <v>12.375</v>
      </c>
      <c r="O8" s="8" t="n">
        <v>723861477</v>
      </c>
      <c r="P8" s="8" t="n">
        <v>723908636</v>
      </c>
      <c r="Q8" s="8" t="n">
        <v>1141</v>
      </c>
      <c r="R8" s="8" t="n">
        <v>47159</v>
      </c>
      <c r="S8" s="8" t="n">
        <v>1.651697</v>
      </c>
      <c r="T8" s="8" t="n">
        <v>1.65159</v>
      </c>
      <c r="U8" s="8" t="n">
        <v>1</v>
      </c>
      <c r="V8" s="8" t="s">
        <v>11</v>
      </c>
      <c r="W8" s="8" t="n">
        <v>1024</v>
      </c>
      <c r="X8" s="8" t="n">
        <v>4096</v>
      </c>
      <c r="Y8" s="8" t="n">
        <v>4</v>
      </c>
      <c r="Z8" s="8" t="n">
        <v>1048576</v>
      </c>
      <c r="AA8" s="8" t="n">
        <v>1024</v>
      </c>
      <c r="AB8" s="8" t="n">
        <v>1024</v>
      </c>
      <c r="AC8" s="8" t="n">
        <v>3</v>
      </c>
      <c r="AD8" s="8" t="n">
        <v>128</v>
      </c>
      <c r="AE8" s="8" t="n">
        <v>4096</v>
      </c>
      <c r="AF8" s="8" t="s">
        <v>93</v>
      </c>
      <c r="AG8" s="8" t="n">
        <v>0</v>
      </c>
      <c r="AH8" s="8" t="n">
        <v>0</v>
      </c>
      <c r="AI8" s="8" t="n">
        <v>0</v>
      </c>
      <c r="AJ8" s="8" t="n">
        <v>0</v>
      </c>
      <c r="AK8" s="8" t="n">
        <v>723861477</v>
      </c>
      <c r="AL8" s="8" t="n">
        <v>723908636</v>
      </c>
      <c r="AM8" s="8" t="n">
        <v>0</v>
      </c>
      <c r="AN8" s="8" t="n">
        <v>0</v>
      </c>
    </row>
    <row r="9" customFormat="false" ht="15" hidden="false" customHeight="false" outlineLevel="0" collapsed="false">
      <c r="A9" s="8" t="s">
        <v>91</v>
      </c>
      <c r="B9" s="8" t="s">
        <v>92</v>
      </c>
      <c r="C9" s="8" t="s">
        <v>94</v>
      </c>
      <c r="D9" s="8" t="s">
        <v>94</v>
      </c>
      <c r="E9" s="8"/>
      <c r="F9" s="8" t="n">
        <v>1024</v>
      </c>
      <c r="G9" s="8" t="n">
        <v>1024</v>
      </c>
      <c r="H9" s="8" t="n">
        <v>42700000</v>
      </c>
      <c r="I9" s="8" t="n">
        <v>28</v>
      </c>
      <c r="J9" s="8" t="n">
        <v>1195600000</v>
      </c>
      <c r="K9" s="8" t="n">
        <v>20.7883</v>
      </c>
      <c r="L9" s="8" t="n">
        <v>27.5565</v>
      </c>
      <c r="M9" s="8" t="n">
        <v>10.2081</v>
      </c>
      <c r="N9" s="8" t="n">
        <v>6.7682</v>
      </c>
      <c r="O9" s="8" t="n">
        <v>1195600000</v>
      </c>
      <c r="P9" s="8" t="n">
        <v>1195682676</v>
      </c>
      <c r="Q9" s="8" t="n">
        <v>1141</v>
      </c>
      <c r="R9" s="8" t="n">
        <v>82676</v>
      </c>
      <c r="S9" s="8" t="n">
        <v>1</v>
      </c>
      <c r="T9" s="8" t="n">
        <v>0.999931</v>
      </c>
      <c r="U9" s="8" t="n">
        <v>1</v>
      </c>
      <c r="V9" s="8" t="s">
        <v>11</v>
      </c>
      <c r="W9" s="8" t="n">
        <v>1024</v>
      </c>
      <c r="X9" s="8" t="n">
        <v>4096</v>
      </c>
      <c r="Y9" s="8" t="n">
        <v>4</v>
      </c>
      <c r="Z9" s="8" t="n">
        <v>1048576</v>
      </c>
      <c r="AA9" s="8" t="n">
        <v>1024</v>
      </c>
      <c r="AB9" s="8" t="n">
        <v>1024</v>
      </c>
      <c r="AC9" s="8" t="n">
        <v>3</v>
      </c>
      <c r="AD9" s="8" t="n">
        <v>128</v>
      </c>
      <c r="AE9" s="8" t="n">
        <v>4096</v>
      </c>
      <c r="AF9" s="8" t="s">
        <v>93</v>
      </c>
      <c r="AG9" s="8" t="n">
        <v>0</v>
      </c>
      <c r="AH9" s="8" t="n">
        <v>0</v>
      </c>
      <c r="AI9" s="8" t="n">
        <v>1195600000</v>
      </c>
      <c r="AJ9" s="8" t="n">
        <v>1195682676</v>
      </c>
      <c r="AK9" s="8" t="n">
        <v>0</v>
      </c>
      <c r="AL9" s="8" t="n">
        <v>0</v>
      </c>
      <c r="AM9" s="8" t="n">
        <v>0</v>
      </c>
      <c r="AN9" s="8" t="n">
        <v>0</v>
      </c>
    </row>
    <row r="10" customFormat="false" ht="15" hidden="false" customHeight="false" outlineLevel="0" collapsed="false">
      <c r="A10" s="8" t="s">
        <v>91</v>
      </c>
      <c r="B10" s="8" t="s">
        <v>92</v>
      </c>
      <c r="C10" s="8" t="s">
        <v>95</v>
      </c>
      <c r="D10" s="8" t="s">
        <v>95</v>
      </c>
      <c r="E10" s="8"/>
      <c r="F10" s="8" t="n">
        <v>1024</v>
      </c>
      <c r="G10" s="8" t="n">
        <v>1024</v>
      </c>
      <c r="H10" s="8" t="n">
        <v>42700000</v>
      </c>
      <c r="I10" s="8" t="n">
        <v>28</v>
      </c>
      <c r="J10" s="8" t="n">
        <v>1195600000</v>
      </c>
      <c r="K10" s="8" t="n">
        <v>20.7883</v>
      </c>
      <c r="L10" s="8" t="n">
        <v>31.0179</v>
      </c>
      <c r="M10" s="8" t="n">
        <v>9.8422</v>
      </c>
      <c r="N10" s="8" t="n">
        <v>10.2296</v>
      </c>
      <c r="O10" s="8" t="n">
        <v>639795627</v>
      </c>
      <c r="P10" s="8" t="n">
        <v>640065281</v>
      </c>
      <c r="Q10" s="8" t="n">
        <v>1141</v>
      </c>
      <c r="R10" s="8" t="n">
        <v>269654</v>
      </c>
      <c r="S10" s="8" t="n">
        <v>1.868722</v>
      </c>
      <c r="T10" s="8" t="n">
        <v>1.867934</v>
      </c>
      <c r="U10" s="8" t="n">
        <v>1</v>
      </c>
      <c r="V10" s="8" t="s">
        <v>11</v>
      </c>
      <c r="W10" s="8" t="n">
        <v>1024</v>
      </c>
      <c r="X10" s="8" t="n">
        <v>4096</v>
      </c>
      <c r="Y10" s="8" t="n">
        <v>4</v>
      </c>
      <c r="Z10" s="8" t="n">
        <v>1048576</v>
      </c>
      <c r="AA10" s="8" t="n">
        <v>1024</v>
      </c>
      <c r="AB10" s="8" t="n">
        <v>1024</v>
      </c>
      <c r="AC10" s="8" t="n">
        <v>3</v>
      </c>
      <c r="AD10" s="8" t="n">
        <v>128</v>
      </c>
      <c r="AE10" s="8" t="n">
        <v>4096</v>
      </c>
      <c r="AF10" s="8" t="s">
        <v>93</v>
      </c>
      <c r="AG10" s="8" t="n">
        <v>0</v>
      </c>
      <c r="AH10" s="8" t="n">
        <v>0</v>
      </c>
      <c r="AI10" s="8" t="n">
        <v>0</v>
      </c>
      <c r="AJ10" s="8" t="n">
        <v>0</v>
      </c>
      <c r="AK10" s="8" t="n">
        <v>0</v>
      </c>
      <c r="AL10" s="8" t="n">
        <v>0</v>
      </c>
      <c r="AM10" s="8" t="n">
        <v>639795627</v>
      </c>
      <c r="AN10" s="8" t="n">
        <v>640065281</v>
      </c>
    </row>
    <row r="11" customFormat="false" ht="15" hidden="false" customHeight="false" outlineLevel="0" collapsed="false">
      <c r="A11" s="8" t="s">
        <v>91</v>
      </c>
      <c r="B11" s="8" t="s">
        <v>92</v>
      </c>
      <c r="C11" s="8" t="s">
        <v>95</v>
      </c>
      <c r="D11" s="8" t="s">
        <v>95</v>
      </c>
      <c r="E11" s="8" t="n">
        <v>0.1</v>
      </c>
      <c r="F11" s="8" t="n">
        <v>1024</v>
      </c>
      <c r="G11" s="8" t="n">
        <v>1024</v>
      </c>
      <c r="H11" s="8" t="n">
        <v>42700000</v>
      </c>
      <c r="I11" s="8" t="n">
        <v>28</v>
      </c>
      <c r="J11" s="8" t="n">
        <v>1195600000</v>
      </c>
      <c r="K11" s="8" t="n">
        <v>20.7883</v>
      </c>
      <c r="L11" s="8" t="n">
        <v>30.3721</v>
      </c>
      <c r="M11" s="8" t="n">
        <v>9.9944</v>
      </c>
      <c r="N11" s="8" t="n">
        <v>9.5838</v>
      </c>
      <c r="O11" s="8" t="n">
        <v>405314797</v>
      </c>
      <c r="P11" s="8" t="n">
        <v>405584451</v>
      </c>
      <c r="Q11" s="8" t="n">
        <v>1141</v>
      </c>
      <c r="R11" s="8" t="n">
        <v>269654</v>
      </c>
      <c r="S11" s="8" t="n">
        <v>2.949806</v>
      </c>
      <c r="T11" s="8" t="n">
        <v>2.947845</v>
      </c>
      <c r="U11" s="8" t="n">
        <v>1</v>
      </c>
      <c r="V11" s="8" t="s">
        <v>11</v>
      </c>
      <c r="W11" s="8" t="n">
        <v>1024</v>
      </c>
      <c r="X11" s="8" t="n">
        <v>4096</v>
      </c>
      <c r="Y11" s="8" t="n">
        <v>4</v>
      </c>
      <c r="Z11" s="8" t="n">
        <v>1048576</v>
      </c>
      <c r="AA11" s="8" t="n">
        <v>1024</v>
      </c>
      <c r="AB11" s="8" t="n">
        <v>1024</v>
      </c>
      <c r="AC11" s="8" t="n">
        <v>3</v>
      </c>
      <c r="AD11" s="8" t="n">
        <v>128</v>
      </c>
      <c r="AE11" s="8" t="n">
        <v>4096</v>
      </c>
      <c r="AF11" s="8" t="s">
        <v>93</v>
      </c>
      <c r="AG11" s="8" t="n">
        <v>0</v>
      </c>
      <c r="AH11" s="8" t="n">
        <v>0</v>
      </c>
      <c r="AI11" s="8" t="n">
        <v>0</v>
      </c>
      <c r="AJ11" s="8" t="n">
        <v>0</v>
      </c>
      <c r="AK11" s="8" t="n">
        <v>0</v>
      </c>
      <c r="AL11" s="8" t="n">
        <v>0</v>
      </c>
      <c r="AM11" s="8" t="n">
        <v>405314797</v>
      </c>
      <c r="AN11" s="8" t="n">
        <v>405584451</v>
      </c>
    </row>
    <row r="12" customFormat="false" ht="15" hidden="false" customHeight="false" outlineLevel="0" collapsed="false">
      <c r="A12" s="8" t="s">
        <v>91</v>
      </c>
      <c r="B12" s="8" t="s">
        <v>92</v>
      </c>
      <c r="C12" s="8" t="s">
        <v>95</v>
      </c>
      <c r="D12" s="8" t="s">
        <v>95</v>
      </c>
      <c r="E12" s="8" t="n">
        <v>1</v>
      </c>
      <c r="F12" s="8" t="n">
        <v>1024</v>
      </c>
      <c r="G12" s="8" t="n">
        <v>1024</v>
      </c>
      <c r="H12" s="8" t="n">
        <v>42700000</v>
      </c>
      <c r="I12" s="8" t="n">
        <v>28</v>
      </c>
      <c r="J12" s="8" t="n">
        <v>1195600000</v>
      </c>
      <c r="K12" s="8" t="n">
        <v>20.7883</v>
      </c>
      <c r="L12" s="8" t="n">
        <v>30.9375</v>
      </c>
      <c r="M12" s="8" t="n">
        <v>9.9524</v>
      </c>
      <c r="N12" s="8" t="n">
        <v>10.1492</v>
      </c>
      <c r="O12" s="8" t="n">
        <v>385249990</v>
      </c>
      <c r="P12" s="8" t="n">
        <v>385519644</v>
      </c>
      <c r="Q12" s="8" t="n">
        <v>1141</v>
      </c>
      <c r="R12" s="8" t="n">
        <v>269654</v>
      </c>
      <c r="S12" s="8" t="n">
        <v>3.103439</v>
      </c>
      <c r="T12" s="8" t="n">
        <v>3.101269</v>
      </c>
      <c r="U12" s="8" t="n">
        <v>1</v>
      </c>
      <c r="V12" s="8" t="s">
        <v>11</v>
      </c>
      <c r="W12" s="8" t="n">
        <v>1024</v>
      </c>
      <c r="X12" s="8" t="n">
        <v>4096</v>
      </c>
      <c r="Y12" s="8" t="n">
        <v>4</v>
      </c>
      <c r="Z12" s="8" t="n">
        <v>1048576</v>
      </c>
      <c r="AA12" s="8" t="n">
        <v>1024</v>
      </c>
      <c r="AB12" s="8" t="n">
        <v>1024</v>
      </c>
      <c r="AC12" s="8" t="n">
        <v>3</v>
      </c>
      <c r="AD12" s="8" t="n">
        <v>128</v>
      </c>
      <c r="AE12" s="8" t="n">
        <v>4096</v>
      </c>
      <c r="AF12" s="8" t="s">
        <v>93</v>
      </c>
      <c r="AG12" s="8" t="n">
        <v>0</v>
      </c>
      <c r="AH12" s="8" t="n">
        <v>0</v>
      </c>
      <c r="AI12" s="8" t="n">
        <v>0</v>
      </c>
      <c r="AJ12" s="8" t="n">
        <v>0</v>
      </c>
      <c r="AK12" s="8" t="n">
        <v>0</v>
      </c>
      <c r="AL12" s="8" t="n">
        <v>0</v>
      </c>
      <c r="AM12" s="8" t="n">
        <v>385249990</v>
      </c>
      <c r="AN12" s="8" t="n">
        <v>385519644</v>
      </c>
    </row>
    <row r="13" customFormat="false" ht="15" hidden="false" customHeight="false" outlineLevel="0" collapsed="false">
      <c r="A13" s="8" t="s">
        <v>91</v>
      </c>
      <c r="B13" s="8" t="s">
        <v>92</v>
      </c>
      <c r="C13" s="8" t="s">
        <v>95</v>
      </c>
      <c r="D13" s="8" t="s">
        <v>95</v>
      </c>
      <c r="E13" s="8" t="n">
        <v>5</v>
      </c>
      <c r="F13" s="8" t="n">
        <v>1024</v>
      </c>
      <c r="G13" s="8" t="n">
        <v>1024</v>
      </c>
      <c r="H13" s="8" t="n">
        <v>42700000</v>
      </c>
      <c r="I13" s="8" t="n">
        <v>28</v>
      </c>
      <c r="J13" s="8" t="n">
        <v>1195600000</v>
      </c>
      <c r="K13" s="8" t="n">
        <v>20.7883</v>
      </c>
      <c r="L13" s="8" t="n">
        <v>30.5255</v>
      </c>
      <c r="M13" s="8" t="n">
        <v>10.7078</v>
      </c>
      <c r="N13" s="8" t="n">
        <v>9.7372</v>
      </c>
      <c r="O13" s="8" t="n">
        <v>370154595</v>
      </c>
      <c r="P13" s="8" t="n">
        <v>370424249</v>
      </c>
      <c r="Q13" s="8" t="n">
        <v>1141</v>
      </c>
      <c r="R13" s="8" t="n">
        <v>269654</v>
      </c>
      <c r="S13" s="8" t="n">
        <v>3.230002</v>
      </c>
      <c r="T13" s="8" t="n">
        <v>3.22765</v>
      </c>
      <c r="U13" s="8" t="n">
        <v>1</v>
      </c>
      <c r="V13" s="8" t="s">
        <v>11</v>
      </c>
      <c r="W13" s="8" t="n">
        <v>1024</v>
      </c>
      <c r="X13" s="8" t="n">
        <v>4096</v>
      </c>
      <c r="Y13" s="8" t="n">
        <v>4</v>
      </c>
      <c r="Z13" s="8" t="n">
        <v>1048576</v>
      </c>
      <c r="AA13" s="8" t="n">
        <v>1024</v>
      </c>
      <c r="AB13" s="8" t="n">
        <v>1024</v>
      </c>
      <c r="AC13" s="8" t="n">
        <v>3</v>
      </c>
      <c r="AD13" s="8" t="n">
        <v>128</v>
      </c>
      <c r="AE13" s="8" t="n">
        <v>4096</v>
      </c>
      <c r="AF13" s="8" t="s">
        <v>93</v>
      </c>
      <c r="AG13" s="8" t="n">
        <v>0</v>
      </c>
      <c r="AH13" s="8" t="n">
        <v>0</v>
      </c>
      <c r="AI13" s="8" t="n">
        <v>0</v>
      </c>
      <c r="AJ13" s="8" t="n">
        <v>0</v>
      </c>
      <c r="AK13" s="8" t="n">
        <v>0</v>
      </c>
      <c r="AL13" s="8" t="n">
        <v>0</v>
      </c>
      <c r="AM13" s="8" t="n">
        <v>370154595</v>
      </c>
      <c r="AN13" s="8" t="n">
        <v>370424249</v>
      </c>
    </row>
    <row r="14" customFormat="false" ht="15" hidden="false" customHeight="false" outlineLevel="0" collapsed="false">
      <c r="A14" s="8" t="s">
        <v>91</v>
      </c>
      <c r="B14" s="8" t="s">
        <v>92</v>
      </c>
      <c r="C14" s="8" t="s">
        <v>34</v>
      </c>
      <c r="D14" s="8" t="s">
        <v>34</v>
      </c>
      <c r="E14" s="8"/>
      <c r="F14" s="8" t="n">
        <v>4096</v>
      </c>
      <c r="G14" s="8" t="n">
        <v>4096</v>
      </c>
      <c r="H14" s="8" t="n">
        <v>42700000</v>
      </c>
      <c r="I14" s="8" t="n">
        <v>28</v>
      </c>
      <c r="J14" s="8" t="n">
        <v>1195600000</v>
      </c>
      <c r="K14" s="8" t="n">
        <v>21.1554</v>
      </c>
      <c r="L14" s="8" t="n">
        <v>34.3937</v>
      </c>
      <c r="M14" s="8" t="n">
        <v>9.9165</v>
      </c>
      <c r="N14" s="8" t="n">
        <v>13.2383</v>
      </c>
      <c r="O14" s="8" t="n">
        <v>723766456</v>
      </c>
      <c r="P14" s="8" t="n">
        <v>723778560</v>
      </c>
      <c r="Q14" s="8" t="n">
        <v>286</v>
      </c>
      <c r="R14" s="8" t="n">
        <v>12104</v>
      </c>
      <c r="S14" s="8" t="n">
        <v>1.651914</v>
      </c>
      <c r="T14" s="8" t="n">
        <v>1.651886</v>
      </c>
      <c r="U14" s="8" t="n">
        <v>3</v>
      </c>
      <c r="V14" s="8" t="s">
        <v>11</v>
      </c>
      <c r="W14" s="8" t="n">
        <v>4096</v>
      </c>
      <c r="X14" s="8" t="n">
        <v>4096</v>
      </c>
      <c r="Y14" s="8" t="n">
        <v>4</v>
      </c>
      <c r="Z14" s="8" t="n">
        <v>1048576</v>
      </c>
      <c r="AA14" s="8" t="n">
        <v>4096</v>
      </c>
      <c r="AB14" s="8" t="n">
        <v>4096</v>
      </c>
      <c r="AC14" s="8" t="n">
        <v>3</v>
      </c>
      <c r="AD14" s="8" t="n">
        <v>128</v>
      </c>
      <c r="AE14" s="8" t="n">
        <v>4096</v>
      </c>
      <c r="AF14" s="8" t="s">
        <v>93</v>
      </c>
      <c r="AG14" s="8" t="n">
        <v>0</v>
      </c>
      <c r="AH14" s="8" t="n">
        <v>0</v>
      </c>
      <c r="AI14" s="8" t="n">
        <v>0</v>
      </c>
      <c r="AJ14" s="8" t="n">
        <v>0</v>
      </c>
      <c r="AK14" s="8" t="n">
        <v>723766456</v>
      </c>
      <c r="AL14" s="8" t="n">
        <v>723778560</v>
      </c>
      <c r="AM14" s="8" t="n">
        <v>0</v>
      </c>
      <c r="AN14" s="8" t="n">
        <v>0</v>
      </c>
    </row>
    <row r="15" customFormat="false" ht="15" hidden="false" customHeight="false" outlineLevel="0" collapsed="false">
      <c r="A15" s="8" t="s">
        <v>91</v>
      </c>
      <c r="B15" s="8" t="s">
        <v>92</v>
      </c>
      <c r="C15" s="8" t="s">
        <v>94</v>
      </c>
      <c r="D15" s="8" t="s">
        <v>94</v>
      </c>
      <c r="E15" s="8"/>
      <c r="F15" s="8" t="n">
        <v>4096</v>
      </c>
      <c r="G15" s="8" t="n">
        <v>4096</v>
      </c>
      <c r="H15" s="8" t="n">
        <v>42700000</v>
      </c>
      <c r="I15" s="8" t="n">
        <v>28</v>
      </c>
      <c r="J15" s="8" t="n">
        <v>1195600000</v>
      </c>
      <c r="K15" s="8" t="n">
        <v>21.1554</v>
      </c>
      <c r="L15" s="8" t="n">
        <v>28.4896</v>
      </c>
      <c r="M15" s="8" t="n">
        <v>9.832</v>
      </c>
      <c r="N15" s="8" t="n">
        <v>7.3342</v>
      </c>
      <c r="O15" s="8" t="n">
        <v>1195600000</v>
      </c>
      <c r="P15" s="8" t="n">
        <v>1195621236</v>
      </c>
      <c r="Q15" s="8" t="n">
        <v>286</v>
      </c>
      <c r="R15" s="8" t="n">
        <v>21236</v>
      </c>
      <c r="S15" s="8" t="n">
        <v>1</v>
      </c>
      <c r="T15" s="8" t="n">
        <v>0.999982</v>
      </c>
      <c r="U15" s="8" t="n">
        <v>3</v>
      </c>
      <c r="V15" s="8" t="s">
        <v>11</v>
      </c>
      <c r="W15" s="8" t="n">
        <v>4096</v>
      </c>
      <c r="X15" s="8" t="n">
        <v>4096</v>
      </c>
      <c r="Y15" s="8" t="n">
        <v>4</v>
      </c>
      <c r="Z15" s="8" t="n">
        <v>1048576</v>
      </c>
      <c r="AA15" s="8" t="n">
        <v>4096</v>
      </c>
      <c r="AB15" s="8" t="n">
        <v>4096</v>
      </c>
      <c r="AC15" s="8" t="n">
        <v>3</v>
      </c>
      <c r="AD15" s="8" t="n">
        <v>128</v>
      </c>
      <c r="AE15" s="8" t="n">
        <v>4096</v>
      </c>
      <c r="AF15" s="8" t="s">
        <v>93</v>
      </c>
      <c r="AG15" s="8" t="n">
        <v>0</v>
      </c>
      <c r="AH15" s="8" t="n">
        <v>0</v>
      </c>
      <c r="AI15" s="8" t="n">
        <v>1195600000</v>
      </c>
      <c r="AJ15" s="8" t="n">
        <v>1195621236</v>
      </c>
      <c r="AK15" s="8" t="n">
        <v>0</v>
      </c>
      <c r="AL15" s="8" t="n">
        <v>0</v>
      </c>
      <c r="AM15" s="8" t="n">
        <v>0</v>
      </c>
      <c r="AN15" s="8" t="n">
        <v>0</v>
      </c>
    </row>
    <row r="16" customFormat="false" ht="15" hidden="false" customHeight="false" outlineLevel="0" collapsed="false">
      <c r="A16" s="8" t="s">
        <v>91</v>
      </c>
      <c r="B16" s="8" t="s">
        <v>92</v>
      </c>
      <c r="C16" s="8" t="s">
        <v>95</v>
      </c>
      <c r="D16" s="8" t="s">
        <v>95</v>
      </c>
      <c r="E16" s="8"/>
      <c r="F16" s="8" t="n">
        <v>4096</v>
      </c>
      <c r="G16" s="8" t="n">
        <v>4096</v>
      </c>
      <c r="H16" s="8" t="n">
        <v>42700000</v>
      </c>
      <c r="I16" s="8" t="n">
        <v>28</v>
      </c>
      <c r="J16" s="8" t="n">
        <v>1195600000</v>
      </c>
      <c r="K16" s="8" t="n">
        <v>21.1554</v>
      </c>
      <c r="L16" s="8" t="n">
        <v>32.7766</v>
      </c>
      <c r="M16" s="8" t="n">
        <v>9.9102</v>
      </c>
      <c r="N16" s="8" t="n">
        <v>11.6212</v>
      </c>
      <c r="O16" s="8" t="n">
        <v>646044488</v>
      </c>
      <c r="P16" s="8" t="n">
        <v>646112362</v>
      </c>
      <c r="Q16" s="8" t="n">
        <v>286</v>
      </c>
      <c r="R16" s="8" t="n">
        <v>67874</v>
      </c>
      <c r="S16" s="8" t="n">
        <v>1.850647</v>
      </c>
      <c r="T16" s="8" t="n">
        <v>1.850452</v>
      </c>
      <c r="U16" s="8" t="n">
        <v>3</v>
      </c>
      <c r="V16" s="8" t="s">
        <v>11</v>
      </c>
      <c r="W16" s="8" t="n">
        <v>4096</v>
      </c>
      <c r="X16" s="8" t="n">
        <v>4096</v>
      </c>
      <c r="Y16" s="8" t="n">
        <v>4</v>
      </c>
      <c r="Z16" s="8" t="n">
        <v>1048576</v>
      </c>
      <c r="AA16" s="8" t="n">
        <v>4096</v>
      </c>
      <c r="AB16" s="8" t="n">
        <v>4096</v>
      </c>
      <c r="AC16" s="8" t="n">
        <v>3</v>
      </c>
      <c r="AD16" s="8" t="n">
        <v>128</v>
      </c>
      <c r="AE16" s="8" t="n">
        <v>4096</v>
      </c>
      <c r="AF16" s="8" t="s">
        <v>93</v>
      </c>
      <c r="AG16" s="8" t="n">
        <v>0</v>
      </c>
      <c r="AH16" s="8" t="n">
        <v>0</v>
      </c>
      <c r="AI16" s="8" t="n">
        <v>0</v>
      </c>
      <c r="AJ16" s="8" t="n">
        <v>0</v>
      </c>
      <c r="AK16" s="8" t="n">
        <v>0</v>
      </c>
      <c r="AL16" s="8" t="n">
        <v>0</v>
      </c>
      <c r="AM16" s="8" t="n">
        <v>646044488</v>
      </c>
      <c r="AN16" s="8" t="n">
        <v>646112362</v>
      </c>
    </row>
    <row r="17" customFormat="false" ht="15" hidden="false" customHeight="false" outlineLevel="0" collapsed="false">
      <c r="A17" s="8" t="s">
        <v>91</v>
      </c>
      <c r="B17" s="8" t="s">
        <v>92</v>
      </c>
      <c r="C17" s="8" t="s">
        <v>95</v>
      </c>
      <c r="D17" s="8" t="s">
        <v>95</v>
      </c>
      <c r="E17" s="8" t="n">
        <v>0.1</v>
      </c>
      <c r="F17" s="8" t="n">
        <v>4096</v>
      </c>
      <c r="G17" s="8" t="n">
        <v>4096</v>
      </c>
      <c r="H17" s="8" t="n">
        <v>42700000</v>
      </c>
      <c r="I17" s="8" t="n">
        <v>28</v>
      </c>
      <c r="J17" s="8" t="n">
        <v>1195600000</v>
      </c>
      <c r="K17" s="8" t="n">
        <v>21.1554</v>
      </c>
      <c r="L17" s="8" t="n">
        <v>30.7451</v>
      </c>
      <c r="M17" s="8" t="n">
        <v>9.9176</v>
      </c>
      <c r="N17" s="8" t="n">
        <v>9.5897</v>
      </c>
      <c r="O17" s="8" t="n">
        <v>415720791</v>
      </c>
      <c r="P17" s="8" t="n">
        <v>415788665</v>
      </c>
      <c r="Q17" s="8" t="n">
        <v>286</v>
      </c>
      <c r="R17" s="8" t="n">
        <v>67874</v>
      </c>
      <c r="S17" s="8" t="n">
        <v>2.875969</v>
      </c>
      <c r="T17" s="8" t="n">
        <v>2.875499</v>
      </c>
      <c r="U17" s="8" t="n">
        <v>3</v>
      </c>
      <c r="V17" s="8" t="s">
        <v>11</v>
      </c>
      <c r="W17" s="8" t="n">
        <v>4096</v>
      </c>
      <c r="X17" s="8" t="n">
        <v>4096</v>
      </c>
      <c r="Y17" s="8" t="n">
        <v>4</v>
      </c>
      <c r="Z17" s="8" t="n">
        <v>1048576</v>
      </c>
      <c r="AA17" s="8" t="n">
        <v>4096</v>
      </c>
      <c r="AB17" s="8" t="n">
        <v>4096</v>
      </c>
      <c r="AC17" s="8" t="n">
        <v>3</v>
      </c>
      <c r="AD17" s="8" t="n">
        <v>128</v>
      </c>
      <c r="AE17" s="8" t="n">
        <v>4096</v>
      </c>
      <c r="AF17" s="8" t="s">
        <v>93</v>
      </c>
      <c r="AG17" s="8" t="n">
        <v>0</v>
      </c>
      <c r="AH17" s="8" t="n">
        <v>0</v>
      </c>
      <c r="AI17" s="8" t="n">
        <v>0</v>
      </c>
      <c r="AJ17" s="8" t="n">
        <v>0</v>
      </c>
      <c r="AK17" s="8" t="n">
        <v>0</v>
      </c>
      <c r="AL17" s="8" t="n">
        <v>0</v>
      </c>
      <c r="AM17" s="8" t="n">
        <v>415720791</v>
      </c>
      <c r="AN17" s="8" t="n">
        <v>415788665</v>
      </c>
    </row>
    <row r="18" customFormat="false" ht="15" hidden="false" customHeight="false" outlineLevel="0" collapsed="false">
      <c r="A18" s="8" t="s">
        <v>91</v>
      </c>
      <c r="B18" s="8" t="s">
        <v>92</v>
      </c>
      <c r="C18" s="8" t="s">
        <v>95</v>
      </c>
      <c r="D18" s="8" t="s">
        <v>95</v>
      </c>
      <c r="E18" s="8" t="n">
        <v>1</v>
      </c>
      <c r="F18" s="8" t="n">
        <v>4096</v>
      </c>
      <c r="G18" s="8" t="n">
        <v>4096</v>
      </c>
      <c r="H18" s="8" t="n">
        <v>42700000</v>
      </c>
      <c r="I18" s="8" t="n">
        <v>28</v>
      </c>
      <c r="J18" s="8" t="n">
        <v>1195600000</v>
      </c>
      <c r="K18" s="8" t="n">
        <v>21.1554</v>
      </c>
      <c r="L18" s="8" t="n">
        <v>31.1061</v>
      </c>
      <c r="M18" s="8" t="n">
        <v>10.0552</v>
      </c>
      <c r="N18" s="8" t="n">
        <v>9.9507</v>
      </c>
      <c r="O18" s="8" t="n">
        <v>396405219</v>
      </c>
      <c r="P18" s="8" t="n">
        <v>396473093</v>
      </c>
      <c r="Q18" s="8" t="n">
        <v>286</v>
      </c>
      <c r="R18" s="8" t="n">
        <v>67874</v>
      </c>
      <c r="S18" s="8" t="n">
        <v>3.016106</v>
      </c>
      <c r="T18" s="8" t="n">
        <v>3.015589</v>
      </c>
      <c r="U18" s="8" t="n">
        <v>3</v>
      </c>
      <c r="V18" s="8" t="s">
        <v>11</v>
      </c>
      <c r="W18" s="8" t="n">
        <v>4096</v>
      </c>
      <c r="X18" s="8" t="n">
        <v>4096</v>
      </c>
      <c r="Y18" s="8" t="n">
        <v>4</v>
      </c>
      <c r="Z18" s="8" t="n">
        <v>1048576</v>
      </c>
      <c r="AA18" s="8" t="n">
        <v>4096</v>
      </c>
      <c r="AB18" s="8" t="n">
        <v>4096</v>
      </c>
      <c r="AC18" s="8" t="n">
        <v>3</v>
      </c>
      <c r="AD18" s="8" t="n">
        <v>128</v>
      </c>
      <c r="AE18" s="8" t="n">
        <v>4096</v>
      </c>
      <c r="AF18" s="8" t="s">
        <v>93</v>
      </c>
      <c r="AG18" s="8" t="n">
        <v>0</v>
      </c>
      <c r="AH18" s="8" t="n">
        <v>0</v>
      </c>
      <c r="AI18" s="8" t="n">
        <v>0</v>
      </c>
      <c r="AJ18" s="8" t="n">
        <v>0</v>
      </c>
      <c r="AK18" s="8" t="n">
        <v>0</v>
      </c>
      <c r="AL18" s="8" t="n">
        <v>0</v>
      </c>
      <c r="AM18" s="8" t="n">
        <v>396405219</v>
      </c>
      <c r="AN18" s="8" t="n">
        <v>396473093</v>
      </c>
    </row>
    <row r="19" customFormat="false" ht="15" hidden="false" customHeight="false" outlineLevel="0" collapsed="false">
      <c r="A19" s="8" t="s">
        <v>91</v>
      </c>
      <c r="B19" s="8" t="s">
        <v>92</v>
      </c>
      <c r="C19" s="8" t="s">
        <v>95</v>
      </c>
      <c r="D19" s="8" t="s">
        <v>95</v>
      </c>
      <c r="E19" s="8" t="n">
        <v>5</v>
      </c>
      <c r="F19" s="8" t="n">
        <v>4096</v>
      </c>
      <c r="G19" s="8" t="n">
        <v>4096</v>
      </c>
      <c r="H19" s="8" t="n">
        <v>42700000</v>
      </c>
      <c r="I19" s="8" t="n">
        <v>28</v>
      </c>
      <c r="J19" s="8" t="n">
        <v>1195600000</v>
      </c>
      <c r="K19" s="8" t="n">
        <v>21.1554</v>
      </c>
      <c r="L19" s="8" t="n">
        <v>31.7295</v>
      </c>
      <c r="M19" s="8" t="n">
        <v>9.8691</v>
      </c>
      <c r="N19" s="8" t="n">
        <v>10.5741</v>
      </c>
      <c r="O19" s="8" t="n">
        <v>378222961</v>
      </c>
      <c r="P19" s="8" t="n">
        <v>378290835</v>
      </c>
      <c r="Q19" s="8" t="n">
        <v>286</v>
      </c>
      <c r="R19" s="8" t="n">
        <v>67874</v>
      </c>
      <c r="S19" s="8" t="n">
        <v>3.161098</v>
      </c>
      <c r="T19" s="8" t="n">
        <v>3.160531</v>
      </c>
      <c r="U19" s="8" t="n">
        <v>3</v>
      </c>
      <c r="V19" s="8" t="s">
        <v>11</v>
      </c>
      <c r="W19" s="8" t="n">
        <v>4096</v>
      </c>
      <c r="X19" s="8" t="n">
        <v>4096</v>
      </c>
      <c r="Y19" s="8" t="n">
        <v>4</v>
      </c>
      <c r="Z19" s="8" t="n">
        <v>1048576</v>
      </c>
      <c r="AA19" s="8" t="n">
        <v>4096</v>
      </c>
      <c r="AB19" s="8" t="n">
        <v>4096</v>
      </c>
      <c r="AC19" s="8" t="n">
        <v>3</v>
      </c>
      <c r="AD19" s="8" t="n">
        <v>128</v>
      </c>
      <c r="AE19" s="8" t="n">
        <v>4096</v>
      </c>
      <c r="AF19" s="8" t="s">
        <v>93</v>
      </c>
      <c r="AG19" s="8" t="n">
        <v>0</v>
      </c>
      <c r="AH19" s="8" t="n">
        <v>0</v>
      </c>
      <c r="AI19" s="8" t="n">
        <v>0</v>
      </c>
      <c r="AJ19" s="8" t="n">
        <v>0</v>
      </c>
      <c r="AK19" s="8" t="n">
        <v>0</v>
      </c>
      <c r="AL19" s="8" t="n">
        <v>0</v>
      </c>
      <c r="AM19" s="8" t="n">
        <v>378222961</v>
      </c>
      <c r="AN19" s="8" t="n">
        <v>378290835</v>
      </c>
    </row>
    <row r="20" customFormat="false" ht="15" hidden="false" customHeight="false" outlineLevel="0" collapsed="false">
      <c r="A20" s="8" t="s">
        <v>91</v>
      </c>
      <c r="B20" s="8" t="s">
        <v>92</v>
      </c>
      <c r="C20" s="8" t="s">
        <v>34</v>
      </c>
      <c r="D20" s="8" t="s">
        <v>34</v>
      </c>
      <c r="E20" s="8"/>
      <c r="F20" s="8" t="n">
        <v>16384</v>
      </c>
      <c r="G20" s="8" t="n">
        <v>16384</v>
      </c>
      <c r="H20" s="8" t="n">
        <v>42700000</v>
      </c>
      <c r="I20" s="8" t="n">
        <v>28</v>
      </c>
      <c r="J20" s="8" t="n">
        <v>1195600000</v>
      </c>
      <c r="K20" s="8" t="n">
        <v>20.7318</v>
      </c>
      <c r="L20" s="8" t="n">
        <v>36.2321</v>
      </c>
      <c r="M20" s="8" t="n">
        <v>9.8915</v>
      </c>
      <c r="N20" s="8" t="n">
        <v>15.5003</v>
      </c>
      <c r="O20" s="8" t="n">
        <v>723744906</v>
      </c>
      <c r="P20" s="8" t="n">
        <v>723748236</v>
      </c>
      <c r="Q20" s="8" t="n">
        <v>72</v>
      </c>
      <c r="R20" s="8" t="n">
        <v>3330</v>
      </c>
      <c r="S20" s="8" t="n">
        <v>1.651963</v>
      </c>
      <c r="T20" s="8" t="n">
        <v>1.651956</v>
      </c>
      <c r="U20" s="8" t="n">
        <v>1</v>
      </c>
      <c r="V20" s="8" t="s">
        <v>11</v>
      </c>
      <c r="W20" s="8" t="n">
        <v>16384</v>
      </c>
      <c r="X20" s="8" t="n">
        <v>4096</v>
      </c>
      <c r="Y20" s="8" t="n">
        <v>4</v>
      </c>
      <c r="Z20" s="8" t="n">
        <v>1048576</v>
      </c>
      <c r="AA20" s="8" t="n">
        <v>16384</v>
      </c>
      <c r="AB20" s="8" t="n">
        <v>16384</v>
      </c>
      <c r="AC20" s="8" t="n">
        <v>3</v>
      </c>
      <c r="AD20" s="8" t="n">
        <v>128</v>
      </c>
      <c r="AE20" s="8" t="n">
        <v>4096</v>
      </c>
      <c r="AF20" s="8" t="s">
        <v>93</v>
      </c>
      <c r="AG20" s="8" t="n">
        <v>0</v>
      </c>
      <c r="AH20" s="8" t="n">
        <v>0</v>
      </c>
      <c r="AI20" s="8" t="n">
        <v>0</v>
      </c>
      <c r="AJ20" s="8" t="n">
        <v>0</v>
      </c>
      <c r="AK20" s="8" t="n">
        <v>723744906</v>
      </c>
      <c r="AL20" s="8" t="n">
        <v>723748236</v>
      </c>
      <c r="AM20" s="8" t="n">
        <v>0</v>
      </c>
      <c r="AN20" s="8" t="n">
        <v>0</v>
      </c>
    </row>
    <row r="21" customFormat="false" ht="15" hidden="false" customHeight="false" outlineLevel="0" collapsed="false">
      <c r="A21" s="8" t="s">
        <v>91</v>
      </c>
      <c r="B21" s="8" t="s">
        <v>92</v>
      </c>
      <c r="C21" s="8" t="s">
        <v>94</v>
      </c>
      <c r="D21" s="8" t="s">
        <v>94</v>
      </c>
      <c r="E21" s="8"/>
      <c r="F21" s="8" t="n">
        <v>16384</v>
      </c>
      <c r="G21" s="8" t="n">
        <v>16384</v>
      </c>
      <c r="H21" s="8" t="n">
        <v>42700000</v>
      </c>
      <c r="I21" s="8" t="n">
        <v>28</v>
      </c>
      <c r="J21" s="8" t="n">
        <v>1195600000</v>
      </c>
      <c r="K21" s="8" t="n">
        <v>20.7318</v>
      </c>
      <c r="L21" s="8" t="n">
        <v>27.8012</v>
      </c>
      <c r="M21" s="8" t="n">
        <v>10.232</v>
      </c>
      <c r="N21" s="8" t="n">
        <v>7.0694</v>
      </c>
      <c r="O21" s="8" t="n">
        <v>1195600000</v>
      </c>
      <c r="P21" s="8" t="n">
        <v>1195605876</v>
      </c>
      <c r="Q21" s="8" t="n">
        <v>72</v>
      </c>
      <c r="R21" s="8" t="n">
        <v>5876</v>
      </c>
      <c r="S21" s="8" t="n">
        <v>1</v>
      </c>
      <c r="T21" s="8" t="n">
        <v>0.999995</v>
      </c>
      <c r="U21" s="8" t="n">
        <v>1</v>
      </c>
      <c r="V21" s="8" t="s">
        <v>11</v>
      </c>
      <c r="W21" s="8" t="n">
        <v>16384</v>
      </c>
      <c r="X21" s="8" t="n">
        <v>4096</v>
      </c>
      <c r="Y21" s="8" t="n">
        <v>4</v>
      </c>
      <c r="Z21" s="8" t="n">
        <v>1048576</v>
      </c>
      <c r="AA21" s="8" t="n">
        <v>16384</v>
      </c>
      <c r="AB21" s="8" t="n">
        <v>16384</v>
      </c>
      <c r="AC21" s="8" t="n">
        <v>3</v>
      </c>
      <c r="AD21" s="8" t="n">
        <v>128</v>
      </c>
      <c r="AE21" s="8" t="n">
        <v>4096</v>
      </c>
      <c r="AF21" s="8" t="s">
        <v>93</v>
      </c>
      <c r="AG21" s="8" t="n">
        <v>0</v>
      </c>
      <c r="AH21" s="8" t="n">
        <v>0</v>
      </c>
      <c r="AI21" s="8" t="n">
        <v>1195600000</v>
      </c>
      <c r="AJ21" s="8" t="n">
        <v>1195605876</v>
      </c>
      <c r="AK21" s="8" t="n">
        <v>0</v>
      </c>
      <c r="AL21" s="8" t="n">
        <v>0</v>
      </c>
      <c r="AM21" s="8" t="n">
        <v>0</v>
      </c>
      <c r="AN21" s="8" t="n">
        <v>0</v>
      </c>
    </row>
    <row r="22" customFormat="false" ht="15" hidden="false" customHeight="false" outlineLevel="0" collapsed="false">
      <c r="A22" s="8" t="s">
        <v>91</v>
      </c>
      <c r="B22" s="8" t="s">
        <v>92</v>
      </c>
      <c r="C22" s="8" t="s">
        <v>95</v>
      </c>
      <c r="D22" s="8" t="s">
        <v>95</v>
      </c>
      <c r="E22" s="8"/>
      <c r="F22" s="8" t="n">
        <v>16384</v>
      </c>
      <c r="G22" s="8" t="n">
        <v>16384</v>
      </c>
      <c r="H22" s="8" t="n">
        <v>42700000</v>
      </c>
      <c r="I22" s="8" t="n">
        <v>28</v>
      </c>
      <c r="J22" s="8" t="n">
        <v>1195600000</v>
      </c>
      <c r="K22" s="8" t="n">
        <v>20.7318</v>
      </c>
      <c r="L22" s="8" t="n">
        <v>32.6821</v>
      </c>
      <c r="M22" s="8" t="n">
        <v>9.9934</v>
      </c>
      <c r="N22" s="8" t="n">
        <v>11.9503</v>
      </c>
      <c r="O22" s="8" t="n">
        <v>651538342</v>
      </c>
      <c r="P22" s="8" t="n">
        <v>651555712</v>
      </c>
      <c r="Q22" s="8" t="n">
        <v>72</v>
      </c>
      <c r="R22" s="8" t="n">
        <v>17370</v>
      </c>
      <c r="S22" s="8" t="n">
        <v>1.835042</v>
      </c>
      <c r="T22" s="8" t="n">
        <v>1.834993</v>
      </c>
      <c r="U22" s="8" t="n">
        <v>1</v>
      </c>
      <c r="V22" s="8" t="s">
        <v>11</v>
      </c>
      <c r="W22" s="8" t="n">
        <v>16384</v>
      </c>
      <c r="X22" s="8" t="n">
        <v>4096</v>
      </c>
      <c r="Y22" s="8" t="n">
        <v>4</v>
      </c>
      <c r="Z22" s="8" t="n">
        <v>1048576</v>
      </c>
      <c r="AA22" s="8" t="n">
        <v>16384</v>
      </c>
      <c r="AB22" s="8" t="n">
        <v>16384</v>
      </c>
      <c r="AC22" s="8" t="n">
        <v>3</v>
      </c>
      <c r="AD22" s="8" t="n">
        <v>128</v>
      </c>
      <c r="AE22" s="8" t="n">
        <v>4096</v>
      </c>
      <c r="AF22" s="8" t="s">
        <v>93</v>
      </c>
      <c r="AG22" s="8" t="n">
        <v>0</v>
      </c>
      <c r="AH22" s="8" t="n">
        <v>0</v>
      </c>
      <c r="AI22" s="8" t="n">
        <v>0</v>
      </c>
      <c r="AJ22" s="8" t="n">
        <v>0</v>
      </c>
      <c r="AK22" s="8" t="n">
        <v>0</v>
      </c>
      <c r="AL22" s="8" t="n">
        <v>0</v>
      </c>
      <c r="AM22" s="8" t="n">
        <v>651538342</v>
      </c>
      <c r="AN22" s="8" t="n">
        <v>651555712</v>
      </c>
    </row>
    <row r="23" customFormat="false" ht="15" hidden="false" customHeight="false" outlineLevel="0" collapsed="false">
      <c r="A23" s="8" t="s">
        <v>91</v>
      </c>
      <c r="B23" s="8" t="s">
        <v>92</v>
      </c>
      <c r="C23" s="8" t="s">
        <v>95</v>
      </c>
      <c r="D23" s="8" t="s">
        <v>95</v>
      </c>
      <c r="E23" s="8" t="n">
        <v>0.1</v>
      </c>
      <c r="F23" s="8" t="n">
        <v>16384</v>
      </c>
      <c r="G23" s="8" t="n">
        <v>16384</v>
      </c>
      <c r="H23" s="8" t="n">
        <v>42700000</v>
      </c>
      <c r="I23" s="8" t="n">
        <v>28</v>
      </c>
      <c r="J23" s="8" t="n">
        <v>1195600000</v>
      </c>
      <c r="K23" s="8" t="n">
        <v>20.7318</v>
      </c>
      <c r="L23" s="8" t="n">
        <v>30.7901</v>
      </c>
      <c r="M23" s="8" t="n">
        <v>9.9976</v>
      </c>
      <c r="N23" s="8" t="n">
        <v>10.0583</v>
      </c>
      <c r="O23" s="8" t="n">
        <v>422734809</v>
      </c>
      <c r="P23" s="8" t="n">
        <v>422752179</v>
      </c>
      <c r="Q23" s="8" t="n">
        <v>72</v>
      </c>
      <c r="R23" s="8" t="n">
        <v>17370</v>
      </c>
      <c r="S23" s="8" t="n">
        <v>2.828251</v>
      </c>
      <c r="T23" s="8" t="n">
        <v>2.828134</v>
      </c>
      <c r="U23" s="8" t="n">
        <v>1</v>
      </c>
      <c r="V23" s="8" t="s">
        <v>11</v>
      </c>
      <c r="W23" s="8" t="n">
        <v>16384</v>
      </c>
      <c r="X23" s="8" t="n">
        <v>4096</v>
      </c>
      <c r="Y23" s="8" t="n">
        <v>4</v>
      </c>
      <c r="Z23" s="8" t="n">
        <v>1048576</v>
      </c>
      <c r="AA23" s="8" t="n">
        <v>16384</v>
      </c>
      <c r="AB23" s="8" t="n">
        <v>16384</v>
      </c>
      <c r="AC23" s="8" t="n">
        <v>3</v>
      </c>
      <c r="AD23" s="8" t="n">
        <v>128</v>
      </c>
      <c r="AE23" s="8" t="n">
        <v>4096</v>
      </c>
      <c r="AF23" s="8" t="s">
        <v>93</v>
      </c>
      <c r="AG23" s="8" t="n">
        <v>0</v>
      </c>
      <c r="AH23" s="8" t="n">
        <v>0</v>
      </c>
      <c r="AI23" s="8" t="n">
        <v>0</v>
      </c>
      <c r="AJ23" s="8" t="n">
        <v>0</v>
      </c>
      <c r="AK23" s="8" t="n">
        <v>0</v>
      </c>
      <c r="AL23" s="8" t="n">
        <v>0</v>
      </c>
      <c r="AM23" s="8" t="n">
        <v>422734809</v>
      </c>
      <c r="AN23" s="8" t="n">
        <v>422752179</v>
      </c>
    </row>
    <row r="24" customFormat="false" ht="15" hidden="false" customHeight="false" outlineLevel="0" collapsed="false">
      <c r="A24" s="8" t="s">
        <v>91</v>
      </c>
      <c r="B24" s="8" t="s">
        <v>92</v>
      </c>
      <c r="C24" s="8" t="s">
        <v>95</v>
      </c>
      <c r="D24" s="8" t="s">
        <v>95</v>
      </c>
      <c r="E24" s="8" t="n">
        <v>1</v>
      </c>
      <c r="F24" s="8" t="n">
        <v>16384</v>
      </c>
      <c r="G24" s="8" t="n">
        <v>16384</v>
      </c>
      <c r="H24" s="8" t="n">
        <v>42700000</v>
      </c>
      <c r="I24" s="8" t="n">
        <v>28</v>
      </c>
      <c r="J24" s="8" t="n">
        <v>1195600000</v>
      </c>
      <c r="K24" s="8" t="n">
        <v>20.7318</v>
      </c>
      <c r="L24" s="8" t="n">
        <v>30.5885</v>
      </c>
      <c r="M24" s="8" t="n">
        <v>9.9678</v>
      </c>
      <c r="N24" s="8" t="n">
        <v>9.8567</v>
      </c>
      <c r="O24" s="8" t="n">
        <v>402258660</v>
      </c>
      <c r="P24" s="8" t="n">
        <v>402276030</v>
      </c>
      <c r="Q24" s="8" t="n">
        <v>72</v>
      </c>
      <c r="R24" s="8" t="n">
        <v>17370</v>
      </c>
      <c r="S24" s="8" t="n">
        <v>2.972217</v>
      </c>
      <c r="T24" s="8" t="n">
        <v>2.972089</v>
      </c>
      <c r="U24" s="8" t="n">
        <v>1</v>
      </c>
      <c r="V24" s="8" t="s">
        <v>11</v>
      </c>
      <c r="W24" s="8" t="n">
        <v>16384</v>
      </c>
      <c r="X24" s="8" t="n">
        <v>4096</v>
      </c>
      <c r="Y24" s="8" t="n">
        <v>4</v>
      </c>
      <c r="Z24" s="8" t="n">
        <v>1048576</v>
      </c>
      <c r="AA24" s="8" t="n">
        <v>16384</v>
      </c>
      <c r="AB24" s="8" t="n">
        <v>16384</v>
      </c>
      <c r="AC24" s="8" t="n">
        <v>3</v>
      </c>
      <c r="AD24" s="8" t="n">
        <v>128</v>
      </c>
      <c r="AE24" s="8" t="n">
        <v>4096</v>
      </c>
      <c r="AF24" s="8" t="s">
        <v>93</v>
      </c>
      <c r="AG24" s="8" t="n">
        <v>0</v>
      </c>
      <c r="AH24" s="8" t="n">
        <v>0</v>
      </c>
      <c r="AI24" s="8" t="n">
        <v>0</v>
      </c>
      <c r="AJ24" s="8" t="n">
        <v>0</v>
      </c>
      <c r="AK24" s="8" t="n">
        <v>0</v>
      </c>
      <c r="AL24" s="8" t="n">
        <v>0</v>
      </c>
      <c r="AM24" s="8" t="n">
        <v>402258660</v>
      </c>
      <c r="AN24" s="8" t="n">
        <v>402276030</v>
      </c>
    </row>
    <row r="25" customFormat="false" ht="15" hidden="false" customHeight="false" outlineLevel="0" collapsed="false">
      <c r="A25" s="8" t="s">
        <v>91</v>
      </c>
      <c r="B25" s="8" t="s">
        <v>92</v>
      </c>
      <c r="C25" s="8" t="s">
        <v>95</v>
      </c>
      <c r="D25" s="8" t="s">
        <v>95</v>
      </c>
      <c r="E25" s="8" t="n">
        <v>5</v>
      </c>
      <c r="F25" s="8" t="n">
        <v>16384</v>
      </c>
      <c r="G25" s="8" t="n">
        <v>16384</v>
      </c>
      <c r="H25" s="8" t="n">
        <v>42700000</v>
      </c>
      <c r="I25" s="8" t="n">
        <v>28</v>
      </c>
      <c r="J25" s="8" t="n">
        <v>1195600000</v>
      </c>
      <c r="K25" s="8" t="n">
        <v>20.7318</v>
      </c>
      <c r="L25" s="8" t="n">
        <v>31.6</v>
      </c>
      <c r="M25" s="8" t="n">
        <v>10.2527</v>
      </c>
      <c r="N25" s="8" t="n">
        <v>10.8682</v>
      </c>
      <c r="O25" s="8" t="n">
        <v>380795246</v>
      </c>
      <c r="P25" s="8" t="n">
        <v>380812616</v>
      </c>
      <c r="Q25" s="8" t="n">
        <v>72</v>
      </c>
      <c r="R25" s="8" t="n">
        <v>17370</v>
      </c>
      <c r="S25" s="8" t="n">
        <v>3.139745</v>
      </c>
      <c r="T25" s="8" t="n">
        <v>3.139602</v>
      </c>
      <c r="U25" s="8" t="n">
        <v>1</v>
      </c>
      <c r="V25" s="8" t="s">
        <v>11</v>
      </c>
      <c r="W25" s="8" t="n">
        <v>16384</v>
      </c>
      <c r="X25" s="8" t="n">
        <v>4096</v>
      </c>
      <c r="Y25" s="8" t="n">
        <v>4</v>
      </c>
      <c r="Z25" s="8" t="n">
        <v>1048576</v>
      </c>
      <c r="AA25" s="8" t="n">
        <v>16384</v>
      </c>
      <c r="AB25" s="8" t="n">
        <v>16384</v>
      </c>
      <c r="AC25" s="8" t="n">
        <v>3</v>
      </c>
      <c r="AD25" s="8" t="n">
        <v>128</v>
      </c>
      <c r="AE25" s="8" t="n">
        <v>4096</v>
      </c>
      <c r="AF25" s="8" t="s">
        <v>93</v>
      </c>
      <c r="AG25" s="8" t="n">
        <v>0</v>
      </c>
      <c r="AH25" s="8" t="n">
        <v>0</v>
      </c>
      <c r="AI25" s="8" t="n">
        <v>0</v>
      </c>
      <c r="AJ25" s="8" t="n">
        <v>0</v>
      </c>
      <c r="AK25" s="8" t="n">
        <v>0</v>
      </c>
      <c r="AL25" s="8" t="n">
        <v>0</v>
      </c>
      <c r="AM25" s="8" t="n">
        <v>380795246</v>
      </c>
      <c r="AN25" s="8" t="n">
        <v>380812616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5"/>
  </cols>
  <sheetData>
    <row r="1" customFormat="false" ht="15" hidden="false" customHeight="false" outlineLevel="0" collapsed="false">
      <c r="A1" s="15" t="s">
        <v>96</v>
      </c>
    </row>
    <row r="2" customFormat="false" ht="15" hidden="false" customHeight="false" outlineLevel="0" collapsed="false">
      <c r="A2" s="2" t="s">
        <v>97</v>
      </c>
    </row>
    <row r="4" customFormat="false" ht="15" hidden="false" customHeight="false" outlineLevel="0" collapsed="false">
      <c r="A4" s="5" t="s">
        <v>98</v>
      </c>
      <c r="B4" s="6"/>
      <c r="C4" s="6"/>
      <c r="D4" s="6"/>
      <c r="E4" s="6"/>
    </row>
    <row r="5" customFormat="false" ht="15" hidden="false" customHeight="false" outlineLevel="0" collapsed="false">
      <c r="A5" s="7" t="s">
        <v>28</v>
      </c>
      <c r="B5" s="7" t="s">
        <v>29</v>
      </c>
      <c r="C5" s="7" t="s">
        <v>30</v>
      </c>
      <c r="D5" s="7" t="s">
        <v>31</v>
      </c>
      <c r="E5" s="7" t="s">
        <v>32</v>
      </c>
    </row>
    <row r="6" customFormat="false" ht="15" hidden="false" customHeight="false" outlineLevel="0" collapsed="false">
      <c r="A6" s="8" t="s">
        <v>33</v>
      </c>
      <c r="B6" s="9" t="n">
        <f aca="false">SUMIFS(Data!$P:$P,Data!$C:$C,"FileStore",Data!$E:$E,"",Data!$F:$F,256)</f>
        <v>1195928436</v>
      </c>
      <c r="C6" s="9" t="n">
        <f aca="false">SUMIFS(Data!$P:$P,Data!$C:$C,"FileStore",Data!$E:$E,"",Data!$F:$F,1024)</f>
        <v>1195682676</v>
      </c>
      <c r="D6" s="9" t="n">
        <f aca="false">SUMIFS(Data!$P:$P,Data!$C:$C,"FileStore",Data!$E:$E,"",Data!$F:$F,4096)</f>
        <v>1195621236</v>
      </c>
      <c r="E6" s="9" t="n">
        <f aca="false">SUMIFS(Data!$P:$P,Data!$C:$C,"FileStore",Data!$E:$E,"",Data!$F:$F,16384)</f>
        <v>1195605876</v>
      </c>
    </row>
    <row r="7" customFormat="false" ht="15" hidden="false" customHeight="false" outlineLevel="0" collapsed="false">
      <c r="A7" s="8" t="s">
        <v>34</v>
      </c>
      <c r="B7" s="9" t="n">
        <f aca="false">SUMIFS(Data!$P:$P,Data!$C:$C,"CompressedStore",Data!$E:$E,"",Data!$F:$F,256)</f>
        <v>724616220</v>
      </c>
      <c r="C7" s="9" t="n">
        <f aca="false">SUMIFS(Data!$P:$P,Data!$C:$C,"CompressedStore",Data!$E:$E,"",Data!$F:$F,1024)</f>
        <v>723908636</v>
      </c>
      <c r="D7" s="9" t="n">
        <f aca="false">SUMIFS(Data!$P:$P,Data!$C:$C,"CompressedStore",Data!$E:$E,"",Data!$F:$F,4096)</f>
        <v>723778560</v>
      </c>
      <c r="E7" s="9" t="n">
        <f aca="false">SUMIFS(Data!$P:$P,Data!$C:$C,"CompressedStore",Data!$E:$E,"",Data!$F:$F,16384)</f>
        <v>723748236</v>
      </c>
    </row>
    <row r="8" customFormat="false" ht="15" hidden="false" customHeight="false" outlineLevel="0" collapsed="false">
      <c r="A8" s="8" t="s">
        <v>35</v>
      </c>
      <c r="B8" s="9" t="n">
        <f aca="false">SUMIFS(Data!$P:$P,Data!$C:$C,"LossyStore",Data!$E:$E,"",Data!$F:$F,256)</f>
        <v>643275922</v>
      </c>
      <c r="C8" s="9" t="n">
        <f aca="false">SUMIFS(Data!$P:$P,Data!$C:$C,"LossyStore",Data!$E:$E,"",Data!$F:$F,1024)</f>
        <v>640065281</v>
      </c>
      <c r="D8" s="9" t="n">
        <f aca="false">SUMIFS(Data!$P:$P,Data!$C:$C,"LossyStore",Data!$E:$E,"",Data!$F:$F,4096)</f>
        <v>646112362</v>
      </c>
      <c r="E8" s="9" t="n">
        <f aca="false">SUMIFS(Data!$P:$P,Data!$C:$C,"LossyStore",Data!$E:$E,"",Data!$F:$F,16384)</f>
        <v>651555712</v>
      </c>
    </row>
    <row r="9" customFormat="false" ht="15" hidden="false" customHeight="false" outlineLevel="0" collapsed="false">
      <c r="A9" s="8" t="s">
        <v>36</v>
      </c>
      <c r="B9" s="9" t="n">
        <f aca="false">SUMIFS(Data!$P:$P,Data!$C:$C,"LossyStore",Data!$E:$E,"0.1",Data!$F:$F,256)</f>
        <v>395581079</v>
      </c>
      <c r="C9" s="9" t="n">
        <f aca="false">SUMIFS(Data!$P:$P,Data!$C:$C,"LossyStore",Data!$E:$E,"0.1",Data!$F:$F,1024)</f>
        <v>405584451</v>
      </c>
      <c r="D9" s="9" t="n">
        <f aca="false">SUMIFS(Data!$P:$P,Data!$C:$C,"LossyStore",Data!$E:$E,"0.1",Data!$F:$F,4096)</f>
        <v>415788665</v>
      </c>
      <c r="E9" s="9" t="n">
        <f aca="false">SUMIFS(Data!$P:$P,Data!$C:$C,"LossyStore",Data!$E:$E,"0.1",Data!$F:$F,16384)</f>
        <v>422752179</v>
      </c>
    </row>
    <row r="10" customFormat="false" ht="15" hidden="false" customHeight="false" outlineLevel="0" collapsed="false">
      <c r="A10" s="8" t="s">
        <v>37</v>
      </c>
      <c r="B10" s="9" t="n">
        <f aca="false">SUMIFS(Data!$P:$P,Data!$C:$C,"LossyStore",Data!$E:$E,"1",Data!$F:$F,256)</f>
        <v>374923574</v>
      </c>
      <c r="C10" s="9" t="n">
        <f aca="false">SUMIFS(Data!$P:$P,Data!$C:$C,"LossyStore",Data!$E:$E,"1",Data!$F:$F,1024)</f>
        <v>385519644</v>
      </c>
      <c r="D10" s="9" t="n">
        <f aca="false">SUMIFS(Data!$P:$P,Data!$C:$C,"LossyStore",Data!$E:$E,"1",Data!$F:$F,4096)</f>
        <v>396473093</v>
      </c>
      <c r="E10" s="9" t="n">
        <f aca="false">SUMIFS(Data!$P:$P,Data!$C:$C,"LossyStore",Data!$E:$E,"1",Data!$F:$F,16384)</f>
        <v>402276030</v>
      </c>
    </row>
    <row r="11" customFormat="false" ht="15" hidden="false" customHeight="false" outlineLevel="0" collapsed="false">
      <c r="A11" s="8" t="s">
        <v>38</v>
      </c>
      <c r="B11" s="9" t="n">
        <f aca="false">SUMIFS(Data!$P:$P,Data!$C:$C,"LossyStore",Data!$E:$E,"5",Data!$F:$F,256)</f>
        <v>362075569</v>
      </c>
      <c r="C11" s="9" t="n">
        <f aca="false">SUMIFS(Data!$P:$P,Data!$C:$C,"LossyStore",Data!$E:$E,"5",Data!$F:$F,1024)</f>
        <v>370424249</v>
      </c>
      <c r="D11" s="9" t="n">
        <f aca="false">SUMIFS(Data!$P:$P,Data!$C:$C,"LossyStore",Data!$E:$E,"5",Data!$F:$F,4096)</f>
        <v>378290835</v>
      </c>
      <c r="E11" s="9" t="n">
        <f aca="false">SUMIFS(Data!$P:$P,Data!$C:$C,"LossyStore",Data!$E:$E,"5",Data!$F:$F,16384)</f>
        <v>380812616</v>
      </c>
    </row>
    <row r="35" customFormat="false" ht="15" hidden="false" customHeight="false" outlineLevel="0" collapsed="false">
      <c r="A35" s="10" t="s">
        <v>39</v>
      </c>
      <c r="B35" s="2" t="s">
        <v>99</v>
      </c>
    </row>
    <row r="36" customFormat="false" ht="15" hidden="false" customHeight="false" outlineLevel="0" collapsed="false">
      <c r="A36" s="10" t="s">
        <v>41</v>
      </c>
      <c r="B36" s="2" t="s">
        <v>100</v>
      </c>
    </row>
    <row r="38" customFormat="false" ht="15" hidden="false" customHeight="false" outlineLevel="0" collapsed="false">
      <c r="A38" s="5" t="s">
        <v>101</v>
      </c>
      <c r="B38" s="6"/>
      <c r="C38" s="6"/>
      <c r="D38" s="6"/>
      <c r="E38" s="6"/>
    </row>
    <row r="39" customFormat="false" ht="15" hidden="false" customHeight="false" outlineLevel="0" collapsed="false">
      <c r="A39" s="2" t="s">
        <v>102</v>
      </c>
    </row>
    <row r="40" customFormat="false" ht="15" hidden="false" customHeight="false" outlineLevel="0" collapsed="false">
      <c r="A40" s="7" t="s">
        <v>28</v>
      </c>
      <c r="B40" s="7" t="s">
        <v>29</v>
      </c>
      <c r="C40" s="7" t="s">
        <v>30</v>
      </c>
      <c r="D40" s="7" t="s">
        <v>31</v>
      </c>
      <c r="E40" s="7" t="s">
        <v>32</v>
      </c>
    </row>
    <row r="41" customFormat="false" ht="15" hidden="false" customHeight="false" outlineLevel="0" collapsed="false">
      <c r="A41" s="8" t="s">
        <v>33</v>
      </c>
      <c r="B41" s="9" t="n">
        <f aca="false">SUMIFS(Data!$O:$O,Data!$C:$C,"FileStore",Data!$E:$E,"",Data!$F:$F,256)</f>
        <v>1195600000</v>
      </c>
      <c r="C41" s="9" t="n">
        <f aca="false">SUMIFS(Data!$O:$O,Data!$C:$C,"FileStore",Data!$E:$E,"",Data!$F:$F,1024)</f>
        <v>1195600000</v>
      </c>
      <c r="D41" s="9" t="n">
        <f aca="false">SUMIFS(Data!$O:$O,Data!$C:$C,"FileStore",Data!$E:$E,"",Data!$F:$F,4096)</f>
        <v>1195600000</v>
      </c>
      <c r="E41" s="9" t="n">
        <f aca="false">SUMIFS(Data!$O:$O,Data!$C:$C,"FileStore",Data!$E:$E,"",Data!$F:$F,16384)</f>
        <v>1195600000</v>
      </c>
    </row>
    <row r="42" customFormat="false" ht="15" hidden="false" customHeight="false" outlineLevel="0" collapsed="false">
      <c r="A42" s="8" t="s">
        <v>34</v>
      </c>
      <c r="B42" s="9" t="n">
        <f aca="false">SUMIFS(Data!$O:$O,Data!$C:$C,"CompressedStore",Data!$E:$E,"",Data!$F:$F,256)</f>
        <v>724428841</v>
      </c>
      <c r="C42" s="9" t="n">
        <f aca="false">SUMIFS(Data!$O:$O,Data!$C:$C,"CompressedStore",Data!$E:$E,"",Data!$F:$F,1024)</f>
        <v>723861477</v>
      </c>
      <c r="D42" s="9" t="n">
        <f aca="false">SUMIFS(Data!$O:$O,Data!$C:$C,"CompressedStore",Data!$E:$E,"",Data!$F:$F,4096)</f>
        <v>723766456</v>
      </c>
      <c r="E42" s="9" t="n">
        <f aca="false">SUMIFS(Data!$O:$O,Data!$C:$C,"CompressedStore",Data!$E:$E,"",Data!$F:$F,16384)</f>
        <v>723744906</v>
      </c>
    </row>
    <row r="43" customFormat="false" ht="15" hidden="false" customHeight="false" outlineLevel="0" collapsed="false">
      <c r="A43" s="8" t="s">
        <v>35</v>
      </c>
      <c r="B43" s="9" t="n">
        <f aca="false">SUMIFS(Data!$O:$O,Data!$C:$C,"LossyStore",Data!$E:$E,"",Data!$F:$F,256)</f>
        <v>642199148</v>
      </c>
      <c r="C43" s="9" t="n">
        <f aca="false">SUMIFS(Data!$O:$O,Data!$C:$C,"LossyStore",Data!$E:$E,"",Data!$F:$F,1024)</f>
        <v>639795627</v>
      </c>
      <c r="D43" s="9" t="n">
        <f aca="false">SUMIFS(Data!$O:$O,Data!$C:$C,"LossyStore",Data!$E:$E,"",Data!$F:$F,4096)</f>
        <v>646044488</v>
      </c>
      <c r="E43" s="9" t="n">
        <f aca="false">SUMIFS(Data!$O:$O,Data!$C:$C,"LossyStore",Data!$E:$E,"",Data!$F:$F,16384)</f>
        <v>651538342</v>
      </c>
    </row>
    <row r="44" customFormat="false" ht="15" hidden="false" customHeight="false" outlineLevel="0" collapsed="false">
      <c r="A44" s="8" t="s">
        <v>36</v>
      </c>
      <c r="B44" s="9" t="n">
        <f aca="false">SUMIFS(Data!$O:$O,Data!$C:$C,"LossyStore",Data!$E:$E,"0.1",Data!$F:$F,256)</f>
        <v>394504305</v>
      </c>
      <c r="C44" s="9" t="n">
        <f aca="false">SUMIFS(Data!$O:$O,Data!$C:$C,"LossyStore",Data!$E:$E,"0.1",Data!$F:$F,1024)</f>
        <v>405314797</v>
      </c>
      <c r="D44" s="9" t="n">
        <f aca="false">SUMIFS(Data!$O:$O,Data!$C:$C,"LossyStore",Data!$E:$E,"0.1",Data!$F:$F,4096)</f>
        <v>415720791</v>
      </c>
      <c r="E44" s="9" t="n">
        <f aca="false">SUMIFS(Data!$O:$O,Data!$C:$C,"LossyStore",Data!$E:$E,"0.1",Data!$F:$F,16384)</f>
        <v>422734809</v>
      </c>
    </row>
    <row r="45" customFormat="false" ht="15" hidden="false" customHeight="false" outlineLevel="0" collapsed="false">
      <c r="A45" s="8" t="s">
        <v>37</v>
      </c>
      <c r="B45" s="9" t="n">
        <f aca="false">SUMIFS(Data!$O:$O,Data!$C:$C,"LossyStore",Data!$E:$E,"1",Data!$F:$F,256)</f>
        <v>373846800</v>
      </c>
      <c r="C45" s="9" t="n">
        <f aca="false">SUMIFS(Data!$O:$O,Data!$C:$C,"LossyStore",Data!$E:$E,"1",Data!$F:$F,1024)</f>
        <v>385249990</v>
      </c>
      <c r="D45" s="9" t="n">
        <f aca="false">SUMIFS(Data!$O:$O,Data!$C:$C,"LossyStore",Data!$E:$E,"1",Data!$F:$F,4096)</f>
        <v>396405219</v>
      </c>
      <c r="E45" s="9" t="n">
        <f aca="false">SUMIFS(Data!$O:$O,Data!$C:$C,"LossyStore",Data!$E:$E,"1",Data!$F:$F,16384)</f>
        <v>402258660</v>
      </c>
    </row>
    <row r="46" customFormat="false" ht="15" hidden="false" customHeight="false" outlineLevel="0" collapsed="false">
      <c r="A46" s="8" t="s">
        <v>38</v>
      </c>
      <c r="B46" s="9" t="n">
        <f aca="false">SUMIFS(Data!$O:$O,Data!$C:$C,"LossyStore",Data!$E:$E,"5",Data!$F:$F,256)</f>
        <v>360998795</v>
      </c>
      <c r="C46" s="9" t="n">
        <f aca="false">SUMIFS(Data!$O:$O,Data!$C:$C,"LossyStore",Data!$E:$E,"5",Data!$F:$F,1024)</f>
        <v>370154595</v>
      </c>
      <c r="D46" s="9" t="n">
        <f aca="false">SUMIFS(Data!$O:$O,Data!$C:$C,"LossyStore",Data!$E:$E,"5",Data!$F:$F,4096)</f>
        <v>378222961</v>
      </c>
      <c r="E46" s="9" t="n">
        <f aca="false">SUMIFS(Data!$O:$O,Data!$C:$C,"LossyStore",Data!$E:$E,"5",Data!$F:$F,16384)</f>
        <v>380795246</v>
      </c>
    </row>
    <row r="70" customFormat="false" ht="15" hidden="false" customHeight="false" outlineLevel="0" collapsed="false">
      <c r="A70" s="10" t="s">
        <v>39</v>
      </c>
      <c r="B70" s="2" t="s">
        <v>103</v>
      </c>
    </row>
    <row r="71" customFormat="false" ht="15" hidden="false" customHeight="false" outlineLevel="0" collapsed="false">
      <c r="A71" s="10" t="s">
        <v>41</v>
      </c>
      <c r="B71" s="2" t="s">
        <v>104</v>
      </c>
    </row>
    <row r="73" customFormat="false" ht="15" hidden="false" customHeight="false" outlineLevel="0" collapsed="false">
      <c r="A73" s="5" t="s">
        <v>105</v>
      </c>
      <c r="B73" s="6"/>
      <c r="C73" s="6"/>
      <c r="D73" s="6"/>
      <c r="E73" s="6"/>
    </row>
    <row r="74" customFormat="false" ht="15" hidden="false" customHeight="false" outlineLevel="0" collapsed="false">
      <c r="A74" s="2" t="s">
        <v>106</v>
      </c>
    </row>
    <row r="75" customFormat="false" ht="15" hidden="false" customHeight="false" outlineLevel="0" collapsed="false">
      <c r="A75" s="7" t="s">
        <v>28</v>
      </c>
      <c r="B75" s="7" t="s">
        <v>29</v>
      </c>
      <c r="C75" s="7" t="s">
        <v>30</v>
      </c>
      <c r="D75" s="7" t="s">
        <v>31</v>
      </c>
      <c r="E75" s="7" t="s">
        <v>32</v>
      </c>
    </row>
    <row r="76" customFormat="false" ht="15" hidden="false" customHeight="false" outlineLevel="0" collapsed="false">
      <c r="A76" s="8" t="s">
        <v>33</v>
      </c>
      <c r="B76" s="9" t="n">
        <f aca="false">SUMIFS(Data!$P:$P,Data!$C:$C,"FileStore",Data!$E:$E,"",Data!$F:$F,256)-SUMIFS(Data!$P:$P,Data!$C:$C,"FileStore",Data!$E:$E,"",Data!$F:$F,256)</f>
        <v>0</v>
      </c>
      <c r="C76" s="9" t="n">
        <f aca="false">SUMIFS(Data!$P:$P,Data!$C:$C,"FileStore",Data!$E:$E,"",Data!$F:$F,1024)-SUMIFS(Data!$P:$P,Data!$C:$C,"FileStore",Data!$E:$E,"",Data!$F:$F,1024)</f>
        <v>0</v>
      </c>
      <c r="D76" s="9" t="n">
        <f aca="false">SUMIFS(Data!$P:$P,Data!$C:$C,"FileStore",Data!$E:$E,"",Data!$F:$F,4096)-SUMIFS(Data!$P:$P,Data!$C:$C,"FileStore",Data!$E:$E,"",Data!$F:$F,4096)</f>
        <v>0</v>
      </c>
      <c r="E76" s="9" t="n">
        <f aca="false">SUMIFS(Data!$P:$P,Data!$C:$C,"FileStore",Data!$E:$E,"",Data!$F:$F,16384)-SUMIFS(Data!$P:$P,Data!$C:$C,"FileStore",Data!$E:$E,"",Data!$F:$F,16384)</f>
        <v>0</v>
      </c>
    </row>
    <row r="77" customFormat="false" ht="15" hidden="false" customHeight="false" outlineLevel="0" collapsed="false">
      <c r="A77" s="8" t="s">
        <v>34</v>
      </c>
      <c r="B77" s="9" t="n">
        <f aca="false">SUMIFS(Data!$P:$P,Data!$C:$C,"FileStore",Data!$E:$E,"",Data!$F:$F,256)-SUMIFS(Data!$P:$P,Data!$C:$C,"CompressedStore",Data!$E:$E,"",Data!$F:$F,256)</f>
        <v>471312216</v>
      </c>
      <c r="C77" s="9" t="n">
        <f aca="false">SUMIFS(Data!$P:$P,Data!$C:$C,"FileStore",Data!$E:$E,"",Data!$F:$F,1024)-SUMIFS(Data!$P:$P,Data!$C:$C,"CompressedStore",Data!$E:$E,"",Data!$F:$F,1024)</f>
        <v>471774040</v>
      </c>
      <c r="D77" s="9" t="n">
        <f aca="false">SUMIFS(Data!$P:$P,Data!$C:$C,"FileStore",Data!$E:$E,"",Data!$F:$F,4096)-SUMIFS(Data!$P:$P,Data!$C:$C,"CompressedStore",Data!$E:$E,"",Data!$F:$F,4096)</f>
        <v>471842676</v>
      </c>
      <c r="E77" s="9" t="n">
        <f aca="false">SUMIFS(Data!$P:$P,Data!$C:$C,"FileStore",Data!$E:$E,"",Data!$F:$F,16384)-SUMIFS(Data!$P:$P,Data!$C:$C,"CompressedStore",Data!$E:$E,"",Data!$F:$F,16384)</f>
        <v>471857640</v>
      </c>
    </row>
    <row r="78" customFormat="false" ht="15" hidden="false" customHeight="false" outlineLevel="0" collapsed="false">
      <c r="A78" s="8" t="s">
        <v>35</v>
      </c>
      <c r="B78" s="9" t="n">
        <f aca="false">SUMIFS(Data!$P:$P,Data!$C:$C,"FileStore",Data!$E:$E,"",Data!$F:$F,256)-SUMIFS(Data!$P:$P,Data!$C:$C,"LossyStore",Data!$E:$E,"",Data!$F:$F,256)</f>
        <v>552652514</v>
      </c>
      <c r="C78" s="9" t="n">
        <f aca="false">SUMIFS(Data!$P:$P,Data!$C:$C,"FileStore",Data!$E:$E,"",Data!$F:$F,1024)-SUMIFS(Data!$P:$P,Data!$C:$C,"LossyStore",Data!$E:$E,"",Data!$F:$F,1024)</f>
        <v>555617395</v>
      </c>
      <c r="D78" s="9" t="n">
        <f aca="false">SUMIFS(Data!$P:$P,Data!$C:$C,"FileStore",Data!$E:$E,"",Data!$F:$F,4096)-SUMIFS(Data!$P:$P,Data!$C:$C,"LossyStore",Data!$E:$E,"",Data!$F:$F,4096)</f>
        <v>549508874</v>
      </c>
      <c r="E78" s="9" t="n">
        <f aca="false">SUMIFS(Data!$P:$P,Data!$C:$C,"FileStore",Data!$E:$E,"",Data!$F:$F,16384)-SUMIFS(Data!$P:$P,Data!$C:$C,"LossyStore",Data!$E:$E,"",Data!$F:$F,16384)</f>
        <v>544050164</v>
      </c>
    </row>
    <row r="79" customFormat="false" ht="15" hidden="false" customHeight="false" outlineLevel="0" collapsed="false">
      <c r="A79" s="8" t="s">
        <v>36</v>
      </c>
      <c r="B79" s="9" t="n">
        <f aca="false">SUMIFS(Data!$P:$P,Data!$C:$C,"FileStore",Data!$E:$E,"",Data!$F:$F,256)-SUMIFS(Data!$P:$P,Data!$C:$C,"LossyStore",Data!$E:$E,"0.1",Data!$F:$F,256)</f>
        <v>800347357</v>
      </c>
      <c r="C79" s="9" t="n">
        <f aca="false">SUMIFS(Data!$P:$P,Data!$C:$C,"FileStore",Data!$E:$E,"",Data!$F:$F,1024)-SUMIFS(Data!$P:$P,Data!$C:$C,"LossyStore",Data!$E:$E,"0.1",Data!$F:$F,1024)</f>
        <v>790098225</v>
      </c>
      <c r="D79" s="9" t="n">
        <f aca="false">SUMIFS(Data!$P:$P,Data!$C:$C,"FileStore",Data!$E:$E,"",Data!$F:$F,4096)-SUMIFS(Data!$P:$P,Data!$C:$C,"LossyStore",Data!$E:$E,"0.1",Data!$F:$F,4096)</f>
        <v>779832571</v>
      </c>
      <c r="E79" s="9" t="n">
        <f aca="false">SUMIFS(Data!$P:$P,Data!$C:$C,"FileStore",Data!$E:$E,"",Data!$F:$F,16384)-SUMIFS(Data!$P:$P,Data!$C:$C,"LossyStore",Data!$E:$E,"0.1",Data!$F:$F,16384)</f>
        <v>772853697</v>
      </c>
    </row>
    <row r="80" customFormat="false" ht="15" hidden="false" customHeight="false" outlineLevel="0" collapsed="false">
      <c r="A80" s="8" t="s">
        <v>37</v>
      </c>
      <c r="B80" s="9" t="n">
        <f aca="false">SUMIFS(Data!$P:$P,Data!$C:$C,"FileStore",Data!$E:$E,"",Data!$F:$F,256)-SUMIFS(Data!$P:$P,Data!$C:$C,"LossyStore",Data!$E:$E,"1",Data!$F:$F,256)</f>
        <v>821004862</v>
      </c>
      <c r="C80" s="9" t="n">
        <f aca="false">SUMIFS(Data!$P:$P,Data!$C:$C,"FileStore",Data!$E:$E,"",Data!$F:$F,1024)-SUMIFS(Data!$P:$P,Data!$C:$C,"LossyStore",Data!$E:$E,"1",Data!$F:$F,1024)</f>
        <v>810163032</v>
      </c>
      <c r="D80" s="9" t="n">
        <f aca="false">SUMIFS(Data!$P:$P,Data!$C:$C,"FileStore",Data!$E:$E,"",Data!$F:$F,4096)-SUMIFS(Data!$P:$P,Data!$C:$C,"LossyStore",Data!$E:$E,"1",Data!$F:$F,4096)</f>
        <v>799148143</v>
      </c>
      <c r="E80" s="9" t="n">
        <f aca="false">SUMIFS(Data!$P:$P,Data!$C:$C,"FileStore",Data!$E:$E,"",Data!$F:$F,16384)-SUMIFS(Data!$P:$P,Data!$C:$C,"LossyStore",Data!$E:$E,"1",Data!$F:$F,16384)</f>
        <v>793329846</v>
      </c>
    </row>
    <row r="81" customFormat="false" ht="15" hidden="false" customHeight="false" outlineLevel="0" collapsed="false">
      <c r="A81" s="8" t="s">
        <v>38</v>
      </c>
      <c r="B81" s="9" t="n">
        <f aca="false">SUMIFS(Data!$P:$P,Data!$C:$C,"FileStore",Data!$E:$E,"",Data!$F:$F,256)-SUMIFS(Data!$P:$P,Data!$C:$C,"LossyStore",Data!$E:$E,"5",Data!$F:$F,256)</f>
        <v>833852867</v>
      </c>
      <c r="C81" s="9" t="n">
        <f aca="false">SUMIFS(Data!$P:$P,Data!$C:$C,"FileStore",Data!$E:$E,"",Data!$F:$F,1024)-SUMIFS(Data!$P:$P,Data!$C:$C,"LossyStore",Data!$E:$E,"5",Data!$F:$F,1024)</f>
        <v>825258427</v>
      </c>
      <c r="D81" s="9" t="n">
        <f aca="false">SUMIFS(Data!$P:$P,Data!$C:$C,"FileStore",Data!$E:$E,"",Data!$F:$F,4096)-SUMIFS(Data!$P:$P,Data!$C:$C,"LossyStore",Data!$E:$E,"5",Data!$F:$F,4096)</f>
        <v>817330401</v>
      </c>
      <c r="E81" s="9" t="n">
        <f aca="false">SUMIFS(Data!$P:$P,Data!$C:$C,"FileStore",Data!$E:$E,"",Data!$F:$F,16384)-SUMIFS(Data!$P:$P,Data!$C:$C,"LossyStore",Data!$E:$E,"5",Data!$F:$F,16384)</f>
        <v>814793260</v>
      </c>
    </row>
    <row r="105" customFormat="false" ht="15" hidden="false" customHeight="false" outlineLevel="0" collapsed="false">
      <c r="A105" s="10" t="s">
        <v>39</v>
      </c>
      <c r="B105" s="2" t="s">
        <v>107</v>
      </c>
    </row>
    <row r="106" customFormat="false" ht="15" hidden="false" customHeight="false" outlineLevel="0" collapsed="false">
      <c r="A106" s="10" t="s">
        <v>41</v>
      </c>
      <c r="B106" s="2" t="s">
        <v>108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15" hidden="false" customHeight="false" outlineLevel="0" collapsed="false">
      <c r="A1" s="15" t="s">
        <v>109</v>
      </c>
    </row>
    <row r="2" customFormat="false" ht="15" hidden="false" customHeight="false" outlineLevel="0" collapsed="false">
      <c r="A2" s="2" t="s">
        <v>110</v>
      </c>
    </row>
    <row r="4" customFormat="false" ht="15" hidden="false" customHeight="false" outlineLevel="0" collapsed="false">
      <c r="A4" s="5" t="s">
        <v>111</v>
      </c>
      <c r="B4" s="6"/>
      <c r="C4" s="6"/>
      <c r="D4" s="6"/>
      <c r="E4" s="6"/>
    </row>
    <row r="5" customFormat="false" ht="15" hidden="false" customHeight="false" outlineLevel="0" collapsed="false">
      <c r="A5" s="7" t="s">
        <v>28</v>
      </c>
      <c r="B5" s="7" t="s">
        <v>29</v>
      </c>
      <c r="C5" s="7" t="s">
        <v>30</v>
      </c>
      <c r="D5" s="7" t="s">
        <v>31</v>
      </c>
      <c r="E5" s="7" t="s">
        <v>32</v>
      </c>
    </row>
    <row r="6" customFormat="false" ht="15" hidden="false" customHeight="false" outlineLevel="0" collapsed="false">
      <c r="A6" s="8" t="s">
        <v>33</v>
      </c>
      <c r="B6" s="11" t="n">
        <f aca="false">SUMIFS(Data!$T:$T,Data!$C:$C,"FileStore",Data!$E:$E,"",Data!$F:$F,256)</f>
        <v>0.999725</v>
      </c>
      <c r="C6" s="11" t="n">
        <f aca="false">SUMIFS(Data!$T:$T,Data!$C:$C,"FileStore",Data!$E:$E,"",Data!$F:$F,1024)</f>
        <v>0.999931</v>
      </c>
      <c r="D6" s="11" t="n">
        <f aca="false">SUMIFS(Data!$T:$T,Data!$C:$C,"FileStore",Data!$E:$E,"",Data!$F:$F,4096)</f>
        <v>0.999982</v>
      </c>
      <c r="E6" s="11" t="n">
        <f aca="false">SUMIFS(Data!$T:$T,Data!$C:$C,"FileStore",Data!$E:$E,"",Data!$F:$F,16384)</f>
        <v>0.999995</v>
      </c>
    </row>
    <row r="7" customFormat="false" ht="15" hidden="false" customHeight="false" outlineLevel="0" collapsed="false">
      <c r="A7" s="8" t="s">
        <v>34</v>
      </c>
      <c r="B7" s="11" t="n">
        <f aca="false">SUMIFS(Data!$T:$T,Data!$C:$C,"CompressedStore",Data!$E:$E,"",Data!$F:$F,256)</f>
        <v>1.649977</v>
      </c>
      <c r="C7" s="11" t="n">
        <f aca="false">SUMIFS(Data!$T:$T,Data!$C:$C,"CompressedStore",Data!$E:$E,"",Data!$F:$F,1024)</f>
        <v>1.65159</v>
      </c>
      <c r="D7" s="11" t="n">
        <f aca="false">SUMIFS(Data!$T:$T,Data!$C:$C,"CompressedStore",Data!$E:$E,"",Data!$F:$F,4096)</f>
        <v>1.651886</v>
      </c>
      <c r="E7" s="11" t="n">
        <f aca="false">SUMIFS(Data!$T:$T,Data!$C:$C,"CompressedStore",Data!$E:$E,"",Data!$F:$F,16384)</f>
        <v>1.651956</v>
      </c>
    </row>
    <row r="8" customFormat="false" ht="15" hidden="false" customHeight="false" outlineLevel="0" collapsed="false">
      <c r="A8" s="8" t="s">
        <v>35</v>
      </c>
      <c r="B8" s="11" t="n">
        <f aca="false">SUMIFS(Data!$T:$T,Data!$C:$C,"LossyStore",Data!$E:$E,"",Data!$F:$F,256)</f>
        <v>1.858611</v>
      </c>
      <c r="C8" s="11" t="n">
        <f aca="false">SUMIFS(Data!$T:$T,Data!$C:$C,"LossyStore",Data!$E:$E,"",Data!$F:$F,1024)</f>
        <v>1.867934</v>
      </c>
      <c r="D8" s="11" t="n">
        <f aca="false">SUMIFS(Data!$T:$T,Data!$C:$C,"LossyStore",Data!$E:$E,"",Data!$F:$F,4096)</f>
        <v>1.850452</v>
      </c>
      <c r="E8" s="11" t="n">
        <f aca="false">SUMIFS(Data!$T:$T,Data!$C:$C,"LossyStore",Data!$E:$E,"",Data!$F:$F,16384)</f>
        <v>1.834993</v>
      </c>
    </row>
    <row r="9" customFormat="false" ht="15" hidden="false" customHeight="false" outlineLevel="0" collapsed="false">
      <c r="A9" s="8" t="s">
        <v>36</v>
      </c>
      <c r="B9" s="11" t="n">
        <f aca="false">SUMIFS(Data!$T:$T,Data!$C:$C,"LossyStore",Data!$E:$E,"0.1",Data!$F:$F,256)</f>
        <v>3.022389</v>
      </c>
      <c r="C9" s="11" t="n">
        <f aca="false">SUMIFS(Data!$T:$T,Data!$C:$C,"LossyStore",Data!$E:$E,"0.1",Data!$F:$F,1024)</f>
        <v>2.947845</v>
      </c>
      <c r="D9" s="11" t="n">
        <f aca="false">SUMIFS(Data!$T:$T,Data!$C:$C,"LossyStore",Data!$E:$E,"0.1",Data!$F:$F,4096)</f>
        <v>2.875499</v>
      </c>
      <c r="E9" s="11" t="n">
        <f aca="false">SUMIFS(Data!$T:$T,Data!$C:$C,"LossyStore",Data!$E:$E,"0.1",Data!$F:$F,16384)</f>
        <v>2.828134</v>
      </c>
    </row>
    <row r="10" customFormat="false" ht="15" hidden="false" customHeight="false" outlineLevel="0" collapsed="false">
      <c r="A10" s="8" t="s">
        <v>37</v>
      </c>
      <c r="B10" s="11" t="n">
        <f aca="false">SUMIFS(Data!$T:$T,Data!$C:$C,"LossyStore",Data!$E:$E,"1",Data!$F:$F,256)</f>
        <v>3.188917</v>
      </c>
      <c r="C10" s="11" t="n">
        <f aca="false">SUMIFS(Data!$T:$T,Data!$C:$C,"LossyStore",Data!$E:$E,"1",Data!$F:$F,1024)</f>
        <v>3.101269</v>
      </c>
      <c r="D10" s="11" t="n">
        <f aca="false">SUMIFS(Data!$T:$T,Data!$C:$C,"LossyStore",Data!$E:$E,"1",Data!$F:$F,4096)</f>
        <v>3.015589</v>
      </c>
      <c r="E10" s="11" t="n">
        <f aca="false">SUMIFS(Data!$T:$T,Data!$C:$C,"LossyStore",Data!$E:$E,"1",Data!$F:$F,16384)</f>
        <v>2.972089</v>
      </c>
    </row>
    <row r="11" customFormat="false" ht="15" hidden="false" customHeight="false" outlineLevel="0" collapsed="false">
      <c r="A11" s="8" t="s">
        <v>38</v>
      </c>
      <c r="B11" s="11" t="n">
        <f aca="false">SUMIFS(Data!$T:$T,Data!$C:$C,"LossyStore",Data!$E:$E,"5",Data!$F:$F,256)</f>
        <v>3.302073</v>
      </c>
      <c r="C11" s="11" t="n">
        <f aca="false">SUMIFS(Data!$T:$T,Data!$C:$C,"LossyStore",Data!$E:$E,"5",Data!$F:$F,1024)</f>
        <v>3.22765</v>
      </c>
      <c r="D11" s="11" t="n">
        <f aca="false">SUMIFS(Data!$T:$T,Data!$C:$C,"LossyStore",Data!$E:$E,"5",Data!$F:$F,4096)</f>
        <v>3.160531</v>
      </c>
      <c r="E11" s="11" t="n">
        <f aca="false">SUMIFS(Data!$T:$T,Data!$C:$C,"LossyStore",Data!$E:$E,"5",Data!$F:$F,16384)</f>
        <v>3.139602</v>
      </c>
    </row>
    <row r="35" customFormat="false" ht="15" hidden="false" customHeight="false" outlineLevel="0" collapsed="false">
      <c r="A35" s="10" t="s">
        <v>39</v>
      </c>
      <c r="B35" s="2" t="s">
        <v>112</v>
      </c>
    </row>
    <row r="36" customFormat="false" ht="15" hidden="false" customHeight="false" outlineLevel="0" collapsed="false">
      <c r="A36" s="10" t="s">
        <v>41</v>
      </c>
      <c r="B36" s="2" t="s">
        <v>113</v>
      </c>
    </row>
    <row r="38" customFormat="false" ht="15" hidden="false" customHeight="false" outlineLevel="0" collapsed="false">
      <c r="A38" s="5" t="s">
        <v>114</v>
      </c>
      <c r="B38" s="6"/>
      <c r="C38" s="6"/>
      <c r="D38" s="6"/>
      <c r="E38" s="6"/>
    </row>
    <row r="39" customFormat="false" ht="15" hidden="false" customHeight="false" outlineLevel="0" collapsed="false">
      <c r="A39" s="2" t="s">
        <v>115</v>
      </c>
    </row>
    <row r="40" customFormat="false" ht="15" hidden="false" customHeight="false" outlineLevel="0" collapsed="false">
      <c r="A40" s="7" t="s">
        <v>28</v>
      </c>
      <c r="B40" s="7" t="s">
        <v>29</v>
      </c>
      <c r="C40" s="7" t="s">
        <v>30</v>
      </c>
      <c r="D40" s="7" t="s">
        <v>31</v>
      </c>
      <c r="E40" s="7" t="s">
        <v>32</v>
      </c>
    </row>
    <row r="41" customFormat="false" ht="15" hidden="false" customHeight="false" outlineLevel="0" collapsed="false">
      <c r="A41" s="8" t="s">
        <v>33</v>
      </c>
      <c r="B41" s="11" t="n">
        <f aca="false">SUMIFS(Data!$S:$S,Data!$C:$C,"FileStore",Data!$E:$E,"",Data!$F:$F,256)</f>
        <v>1</v>
      </c>
      <c r="C41" s="11" t="n">
        <f aca="false">SUMIFS(Data!$S:$S,Data!$C:$C,"FileStore",Data!$E:$E,"",Data!$F:$F,1024)</f>
        <v>1</v>
      </c>
      <c r="D41" s="11" t="n">
        <f aca="false">SUMIFS(Data!$S:$S,Data!$C:$C,"FileStore",Data!$E:$E,"",Data!$F:$F,4096)</f>
        <v>1</v>
      </c>
      <c r="E41" s="11" t="n">
        <f aca="false">SUMIFS(Data!$S:$S,Data!$C:$C,"FileStore",Data!$E:$E,"",Data!$F:$F,16384)</f>
        <v>1</v>
      </c>
    </row>
    <row r="42" customFormat="false" ht="15" hidden="false" customHeight="false" outlineLevel="0" collapsed="false">
      <c r="A42" s="8" t="s">
        <v>34</v>
      </c>
      <c r="B42" s="11" t="n">
        <f aca="false">SUMIFS(Data!$S:$S,Data!$C:$C,"CompressedStore",Data!$E:$E,"",Data!$F:$F,256)</f>
        <v>1.650404</v>
      </c>
      <c r="C42" s="11" t="n">
        <f aca="false">SUMIFS(Data!$S:$S,Data!$C:$C,"CompressedStore",Data!$E:$E,"",Data!$F:$F,1024)</f>
        <v>1.651697</v>
      </c>
      <c r="D42" s="11" t="n">
        <f aca="false">SUMIFS(Data!$S:$S,Data!$C:$C,"CompressedStore",Data!$E:$E,"",Data!$F:$F,4096)</f>
        <v>1.651914</v>
      </c>
      <c r="E42" s="11" t="n">
        <f aca="false">SUMIFS(Data!$S:$S,Data!$C:$C,"CompressedStore",Data!$E:$E,"",Data!$F:$F,16384)</f>
        <v>1.651963</v>
      </c>
    </row>
    <row r="43" customFormat="false" ht="15" hidden="false" customHeight="false" outlineLevel="0" collapsed="false">
      <c r="A43" s="8" t="s">
        <v>35</v>
      </c>
      <c r="B43" s="11" t="n">
        <f aca="false">SUMIFS(Data!$S:$S,Data!$C:$C,"LossyStore",Data!$E:$E,"",Data!$F:$F,256)</f>
        <v>1.861728</v>
      </c>
      <c r="C43" s="11" t="n">
        <f aca="false">SUMIFS(Data!$S:$S,Data!$C:$C,"LossyStore",Data!$E:$E,"",Data!$F:$F,1024)</f>
        <v>1.868722</v>
      </c>
      <c r="D43" s="11" t="n">
        <f aca="false">SUMIFS(Data!$S:$S,Data!$C:$C,"LossyStore",Data!$E:$E,"",Data!$F:$F,4096)</f>
        <v>1.850647</v>
      </c>
      <c r="E43" s="11" t="n">
        <f aca="false">SUMIFS(Data!$S:$S,Data!$C:$C,"LossyStore",Data!$E:$E,"",Data!$F:$F,16384)</f>
        <v>1.835042</v>
      </c>
    </row>
    <row r="44" customFormat="false" ht="15" hidden="false" customHeight="false" outlineLevel="0" collapsed="false">
      <c r="A44" s="8" t="s">
        <v>36</v>
      </c>
      <c r="B44" s="11" t="n">
        <f aca="false">SUMIFS(Data!$S:$S,Data!$C:$C,"LossyStore",Data!$E:$E,"0.1",Data!$F:$F,256)</f>
        <v>3.030639</v>
      </c>
      <c r="C44" s="11" t="n">
        <f aca="false">SUMIFS(Data!$S:$S,Data!$C:$C,"LossyStore",Data!$E:$E,"0.1",Data!$F:$F,1024)</f>
        <v>2.949806</v>
      </c>
      <c r="D44" s="11" t="n">
        <f aca="false">SUMIFS(Data!$S:$S,Data!$C:$C,"LossyStore",Data!$E:$E,"0.1",Data!$F:$F,4096)</f>
        <v>2.875969</v>
      </c>
      <c r="E44" s="11" t="n">
        <f aca="false">SUMIFS(Data!$S:$S,Data!$C:$C,"LossyStore",Data!$E:$E,"0.1",Data!$F:$F,16384)</f>
        <v>2.828251</v>
      </c>
    </row>
    <row r="45" customFormat="false" ht="15" hidden="false" customHeight="false" outlineLevel="0" collapsed="false">
      <c r="A45" s="8" t="s">
        <v>37</v>
      </c>
      <c r="B45" s="11" t="n">
        <f aca="false">SUMIFS(Data!$S:$S,Data!$C:$C,"LossyStore",Data!$E:$E,"1",Data!$F:$F,256)</f>
        <v>3.198101</v>
      </c>
      <c r="C45" s="11" t="n">
        <f aca="false">SUMIFS(Data!$S:$S,Data!$C:$C,"LossyStore",Data!$E:$E,"1",Data!$F:$F,1024)</f>
        <v>3.103439</v>
      </c>
      <c r="D45" s="11" t="n">
        <f aca="false">SUMIFS(Data!$S:$S,Data!$C:$C,"LossyStore",Data!$E:$E,"1",Data!$F:$F,4096)</f>
        <v>3.016106</v>
      </c>
      <c r="E45" s="11" t="n">
        <f aca="false">SUMIFS(Data!$S:$S,Data!$C:$C,"LossyStore",Data!$E:$E,"1",Data!$F:$F,16384)</f>
        <v>2.972217</v>
      </c>
    </row>
    <row r="46" customFormat="false" ht="15" hidden="false" customHeight="false" outlineLevel="0" collapsed="false">
      <c r="A46" s="8" t="s">
        <v>38</v>
      </c>
      <c r="B46" s="11" t="n">
        <f aca="false">SUMIFS(Data!$S:$S,Data!$C:$C,"LossyStore",Data!$E:$E,"5",Data!$F:$F,256)</f>
        <v>3.311922</v>
      </c>
      <c r="C46" s="11" t="n">
        <f aca="false">SUMIFS(Data!$S:$S,Data!$C:$C,"LossyStore",Data!$E:$E,"5",Data!$F:$F,1024)</f>
        <v>3.230002</v>
      </c>
      <c r="D46" s="11" t="n">
        <f aca="false">SUMIFS(Data!$S:$S,Data!$C:$C,"LossyStore",Data!$E:$E,"5",Data!$F:$F,4096)</f>
        <v>3.161098</v>
      </c>
      <c r="E46" s="11" t="n">
        <f aca="false">SUMIFS(Data!$S:$S,Data!$C:$C,"LossyStore",Data!$E:$E,"5",Data!$F:$F,16384)</f>
        <v>3.139745</v>
      </c>
    </row>
    <row r="70" customFormat="false" ht="15" hidden="false" customHeight="false" outlineLevel="0" collapsed="false">
      <c r="A70" s="10" t="s">
        <v>39</v>
      </c>
      <c r="B70" s="2" t="s">
        <v>116</v>
      </c>
    </row>
    <row r="71" customFormat="false" ht="15" hidden="false" customHeight="false" outlineLevel="0" collapsed="false">
      <c r="A71" s="10" t="s">
        <v>41</v>
      </c>
      <c r="B71" s="2"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15" hidden="false" customHeight="false" outlineLevel="0" collapsed="false">
      <c r="A1" s="15" t="s">
        <v>118</v>
      </c>
    </row>
    <row r="2" customFormat="false" ht="15" hidden="false" customHeight="false" outlineLevel="0" collapsed="false">
      <c r="A2" s="2" t="s">
        <v>119</v>
      </c>
    </row>
    <row r="4" customFormat="false" ht="15" hidden="false" customHeight="false" outlineLevel="0" collapsed="false">
      <c r="A4" s="5" t="s">
        <v>120</v>
      </c>
      <c r="B4" s="6"/>
      <c r="C4" s="6"/>
      <c r="D4" s="6"/>
      <c r="E4" s="6"/>
    </row>
    <row r="5" customFormat="false" ht="15" hidden="false" customHeight="false" outlineLevel="0" collapsed="false">
      <c r="A5" s="7" t="s">
        <v>28</v>
      </c>
      <c r="B5" s="7" t="s">
        <v>29</v>
      </c>
      <c r="C5" s="7" t="s">
        <v>30</v>
      </c>
      <c r="D5" s="7" t="s">
        <v>31</v>
      </c>
      <c r="E5" s="7" t="s">
        <v>32</v>
      </c>
    </row>
    <row r="6" customFormat="false" ht="15" hidden="false" customHeight="false" outlineLevel="0" collapsed="false">
      <c r="A6" s="8" t="s">
        <v>33</v>
      </c>
      <c r="B6" s="12" t="n">
        <f aca="false">SUMIFS(Data!$L:$L,Data!$C:$C,"FileStore",Data!$E:$E,"",Data!$F:$F,256)</f>
        <v>27.8315</v>
      </c>
      <c r="C6" s="12" t="n">
        <f aca="false">SUMIFS(Data!$L:$L,Data!$C:$C,"FileStore",Data!$E:$E,"",Data!$F:$F,1024)</f>
        <v>27.5565</v>
      </c>
      <c r="D6" s="12" t="n">
        <f aca="false">SUMIFS(Data!$L:$L,Data!$C:$C,"FileStore",Data!$E:$E,"",Data!$F:$F,4096)</f>
        <v>28.4896</v>
      </c>
      <c r="E6" s="12" t="n">
        <f aca="false">SUMIFS(Data!$L:$L,Data!$C:$C,"FileStore",Data!$E:$E,"",Data!$F:$F,16384)</f>
        <v>27.8012</v>
      </c>
    </row>
    <row r="7" customFormat="false" ht="15" hidden="false" customHeight="false" outlineLevel="0" collapsed="false">
      <c r="A7" s="8" t="s">
        <v>34</v>
      </c>
      <c r="B7" s="12" t="n">
        <f aca="false">SUMIFS(Data!$L:$L,Data!$C:$C,"CompressedStore",Data!$E:$E,"",Data!$F:$F,256)</f>
        <v>34.0164</v>
      </c>
      <c r="C7" s="12" t="n">
        <f aca="false">SUMIFS(Data!$L:$L,Data!$C:$C,"CompressedStore",Data!$E:$E,"",Data!$F:$F,1024)</f>
        <v>33.1633</v>
      </c>
      <c r="D7" s="12" t="n">
        <f aca="false">SUMIFS(Data!$L:$L,Data!$C:$C,"CompressedStore",Data!$E:$E,"",Data!$F:$F,4096)</f>
        <v>34.3937</v>
      </c>
      <c r="E7" s="12" t="n">
        <f aca="false">SUMIFS(Data!$L:$L,Data!$C:$C,"CompressedStore",Data!$E:$E,"",Data!$F:$F,16384)</f>
        <v>36.2321</v>
      </c>
    </row>
    <row r="8" customFormat="false" ht="15" hidden="false" customHeight="false" outlineLevel="0" collapsed="false">
      <c r="A8" s="8" t="s">
        <v>35</v>
      </c>
      <c r="B8" s="12" t="n">
        <f aca="false">SUMIFS(Data!$L:$L,Data!$C:$C,"LossyStore",Data!$E:$E,"",Data!$F:$F,256)</f>
        <v>32.017</v>
      </c>
      <c r="C8" s="12" t="n">
        <f aca="false">SUMIFS(Data!$L:$L,Data!$C:$C,"LossyStore",Data!$E:$E,"",Data!$F:$F,1024)</f>
        <v>31.0179</v>
      </c>
      <c r="D8" s="12" t="n">
        <f aca="false">SUMIFS(Data!$L:$L,Data!$C:$C,"LossyStore",Data!$E:$E,"",Data!$F:$F,4096)</f>
        <v>32.7766</v>
      </c>
      <c r="E8" s="12" t="n">
        <f aca="false">SUMIFS(Data!$L:$L,Data!$C:$C,"LossyStore",Data!$E:$E,"",Data!$F:$F,16384)</f>
        <v>32.6821</v>
      </c>
    </row>
    <row r="9" customFormat="false" ht="15" hidden="false" customHeight="false" outlineLevel="0" collapsed="false">
      <c r="A9" s="8" t="s">
        <v>36</v>
      </c>
      <c r="B9" s="12" t="n">
        <f aca="false">SUMIFS(Data!$L:$L,Data!$C:$C,"LossyStore",Data!$E:$E,"0.1",Data!$F:$F,256)</f>
        <v>31.9136</v>
      </c>
      <c r="C9" s="12" t="n">
        <f aca="false">SUMIFS(Data!$L:$L,Data!$C:$C,"LossyStore",Data!$E:$E,"0.1",Data!$F:$F,1024)</f>
        <v>30.3721</v>
      </c>
      <c r="D9" s="12" t="n">
        <f aca="false">SUMIFS(Data!$L:$L,Data!$C:$C,"LossyStore",Data!$E:$E,"0.1",Data!$F:$F,4096)</f>
        <v>30.7451</v>
      </c>
      <c r="E9" s="12" t="n">
        <f aca="false">SUMIFS(Data!$L:$L,Data!$C:$C,"LossyStore",Data!$E:$E,"0.1",Data!$F:$F,16384)</f>
        <v>30.7901</v>
      </c>
    </row>
    <row r="10" customFormat="false" ht="15" hidden="false" customHeight="false" outlineLevel="0" collapsed="false">
      <c r="A10" s="8" t="s">
        <v>37</v>
      </c>
      <c r="B10" s="12" t="n">
        <f aca="false">SUMIFS(Data!$L:$L,Data!$C:$C,"LossyStore",Data!$E:$E,"1",Data!$F:$F,256)</f>
        <v>31.7757</v>
      </c>
      <c r="C10" s="12" t="n">
        <f aca="false">SUMIFS(Data!$L:$L,Data!$C:$C,"LossyStore",Data!$E:$E,"1",Data!$F:$F,1024)</f>
        <v>30.9375</v>
      </c>
      <c r="D10" s="12" t="n">
        <f aca="false">SUMIFS(Data!$L:$L,Data!$C:$C,"LossyStore",Data!$E:$E,"1",Data!$F:$F,4096)</f>
        <v>31.1061</v>
      </c>
      <c r="E10" s="12" t="n">
        <f aca="false">SUMIFS(Data!$L:$L,Data!$C:$C,"LossyStore",Data!$E:$E,"1",Data!$F:$F,16384)</f>
        <v>30.5885</v>
      </c>
    </row>
    <row r="11" customFormat="false" ht="15" hidden="false" customHeight="false" outlineLevel="0" collapsed="false">
      <c r="A11" s="8" t="s">
        <v>38</v>
      </c>
      <c r="B11" s="12" t="n">
        <f aca="false">SUMIFS(Data!$L:$L,Data!$C:$C,"LossyStore",Data!$E:$E,"5",Data!$F:$F,256)</f>
        <v>31.8938</v>
      </c>
      <c r="C11" s="12" t="n">
        <f aca="false">SUMIFS(Data!$L:$L,Data!$C:$C,"LossyStore",Data!$E:$E,"5",Data!$F:$F,1024)</f>
        <v>30.5255</v>
      </c>
      <c r="D11" s="12" t="n">
        <f aca="false">SUMIFS(Data!$L:$L,Data!$C:$C,"LossyStore",Data!$E:$E,"5",Data!$F:$F,4096)</f>
        <v>31.7295</v>
      </c>
      <c r="E11" s="12" t="n">
        <f aca="false">SUMIFS(Data!$L:$L,Data!$C:$C,"LossyStore",Data!$E:$E,"5",Data!$F:$F,16384)</f>
        <v>31.6</v>
      </c>
    </row>
    <row r="12" customFormat="false" ht="15" hidden="false" customHeight="false" outlineLevel="0" collapsed="false">
      <c r="A12" s="13" t="s">
        <v>47</v>
      </c>
      <c r="B12" s="14" t="n">
        <f aca="false">SUMIFS(Data!$K:$K,Data!$C:$C,"FileStore",Data!$E:$E,"",Data!$F:$F,256)</f>
        <v>20.7321</v>
      </c>
      <c r="C12" s="14" t="n">
        <f aca="false">SUMIFS(Data!$K:$K,Data!$C:$C,"FileStore",Data!$E:$E,"",Data!$F:$F,1024)</f>
        <v>20.7883</v>
      </c>
      <c r="D12" s="14" t="n">
        <f aca="false">SUMIFS(Data!$K:$K,Data!$C:$C,"FileStore",Data!$E:$E,"",Data!$F:$F,4096)</f>
        <v>21.1554</v>
      </c>
      <c r="E12" s="14" t="n">
        <f aca="false">SUMIFS(Data!$K:$K,Data!$C:$C,"FileStore",Data!$E:$E,"",Data!$F:$F,16384)</f>
        <v>20.7318</v>
      </c>
    </row>
    <row r="36" customFormat="false" ht="15" hidden="false" customHeight="false" outlineLevel="0" collapsed="false">
      <c r="A36" s="10" t="s">
        <v>39</v>
      </c>
      <c r="B36" s="2" t="s">
        <v>121</v>
      </c>
    </row>
    <row r="37" customFormat="false" ht="15" hidden="false" customHeight="false" outlineLevel="0" collapsed="false">
      <c r="A37" s="10" t="s">
        <v>41</v>
      </c>
      <c r="B37" s="2" t="s">
        <v>122</v>
      </c>
    </row>
    <row r="39" customFormat="false" ht="15" hidden="false" customHeight="false" outlineLevel="0" collapsed="false">
      <c r="A39" s="5" t="s">
        <v>123</v>
      </c>
      <c r="B39" s="6"/>
      <c r="C39" s="6"/>
      <c r="D39" s="6"/>
      <c r="E39" s="6"/>
    </row>
    <row r="40" customFormat="false" ht="15" hidden="false" customHeight="false" outlineLevel="0" collapsed="false">
      <c r="A40" s="2" t="s">
        <v>124</v>
      </c>
    </row>
    <row r="41" customFormat="false" ht="15" hidden="false" customHeight="false" outlineLevel="0" collapsed="false">
      <c r="A41" s="7" t="s">
        <v>28</v>
      </c>
      <c r="B41" s="7" t="s">
        <v>29</v>
      </c>
      <c r="C41" s="7" t="s">
        <v>30</v>
      </c>
      <c r="D41" s="7" t="s">
        <v>31</v>
      </c>
      <c r="E41" s="7" t="s">
        <v>32</v>
      </c>
    </row>
    <row r="42" customFormat="false" ht="15" hidden="false" customHeight="false" outlineLevel="0" collapsed="false">
      <c r="A42" s="8" t="s">
        <v>33</v>
      </c>
      <c r="B42" s="12" t="n">
        <f aca="false">SUMIFS(Data!$N:$N,Data!$C:$C,"FileStore",Data!$E:$E,"",Data!$F:$F,256)</f>
        <v>7.0994</v>
      </c>
      <c r="C42" s="12" t="n">
        <f aca="false">SUMIFS(Data!$N:$N,Data!$C:$C,"FileStore",Data!$E:$E,"",Data!$F:$F,1024)</f>
        <v>6.7682</v>
      </c>
      <c r="D42" s="12" t="n">
        <f aca="false">SUMIFS(Data!$N:$N,Data!$C:$C,"FileStore",Data!$E:$E,"",Data!$F:$F,4096)</f>
        <v>7.3342</v>
      </c>
      <c r="E42" s="12" t="n">
        <f aca="false">SUMIFS(Data!$N:$N,Data!$C:$C,"FileStore",Data!$E:$E,"",Data!$F:$F,16384)</f>
        <v>7.0694</v>
      </c>
    </row>
    <row r="43" customFormat="false" ht="15" hidden="false" customHeight="false" outlineLevel="0" collapsed="false">
      <c r="A43" s="8" t="s">
        <v>34</v>
      </c>
      <c r="B43" s="12" t="n">
        <f aca="false">SUMIFS(Data!$N:$N,Data!$C:$C,"CompressedStore",Data!$E:$E,"",Data!$F:$F,256)</f>
        <v>13.2843</v>
      </c>
      <c r="C43" s="12" t="n">
        <f aca="false">SUMIFS(Data!$N:$N,Data!$C:$C,"CompressedStore",Data!$E:$E,"",Data!$F:$F,1024)</f>
        <v>12.375</v>
      </c>
      <c r="D43" s="12" t="n">
        <f aca="false">SUMIFS(Data!$N:$N,Data!$C:$C,"CompressedStore",Data!$E:$E,"",Data!$F:$F,4096)</f>
        <v>13.2383</v>
      </c>
      <c r="E43" s="12" t="n">
        <f aca="false">SUMIFS(Data!$N:$N,Data!$C:$C,"CompressedStore",Data!$E:$E,"",Data!$F:$F,16384)</f>
        <v>15.5003</v>
      </c>
    </row>
    <row r="44" customFormat="false" ht="15" hidden="false" customHeight="false" outlineLevel="0" collapsed="false">
      <c r="A44" s="8" t="s">
        <v>35</v>
      </c>
      <c r="B44" s="12" t="n">
        <f aca="false">SUMIFS(Data!$N:$N,Data!$C:$C,"LossyStore",Data!$E:$E,"",Data!$F:$F,256)</f>
        <v>11.2849</v>
      </c>
      <c r="C44" s="12" t="n">
        <f aca="false">SUMIFS(Data!$N:$N,Data!$C:$C,"LossyStore",Data!$E:$E,"",Data!$F:$F,1024)</f>
        <v>10.2296</v>
      </c>
      <c r="D44" s="12" t="n">
        <f aca="false">SUMIFS(Data!$N:$N,Data!$C:$C,"LossyStore",Data!$E:$E,"",Data!$F:$F,4096)</f>
        <v>11.6212</v>
      </c>
      <c r="E44" s="12" t="n">
        <f aca="false">SUMIFS(Data!$N:$N,Data!$C:$C,"LossyStore",Data!$E:$E,"",Data!$F:$F,16384)</f>
        <v>11.9503</v>
      </c>
    </row>
    <row r="45" customFormat="false" ht="15" hidden="false" customHeight="false" outlineLevel="0" collapsed="false">
      <c r="A45" s="8" t="s">
        <v>36</v>
      </c>
      <c r="B45" s="12" t="n">
        <f aca="false">SUMIFS(Data!$N:$N,Data!$C:$C,"LossyStore",Data!$E:$E,"0.1",Data!$F:$F,256)</f>
        <v>11.1815</v>
      </c>
      <c r="C45" s="12" t="n">
        <f aca="false">SUMIFS(Data!$N:$N,Data!$C:$C,"LossyStore",Data!$E:$E,"0.1",Data!$F:$F,1024)</f>
        <v>9.5838</v>
      </c>
      <c r="D45" s="12" t="n">
        <f aca="false">SUMIFS(Data!$N:$N,Data!$C:$C,"LossyStore",Data!$E:$E,"0.1",Data!$F:$F,4096)</f>
        <v>9.5897</v>
      </c>
      <c r="E45" s="12" t="n">
        <f aca="false">SUMIFS(Data!$N:$N,Data!$C:$C,"LossyStore",Data!$E:$E,"0.1",Data!$F:$F,16384)</f>
        <v>10.0583</v>
      </c>
    </row>
    <row r="46" customFormat="false" ht="15" hidden="false" customHeight="false" outlineLevel="0" collapsed="false">
      <c r="A46" s="8" t="s">
        <v>37</v>
      </c>
      <c r="B46" s="12" t="n">
        <f aca="false">SUMIFS(Data!$N:$N,Data!$C:$C,"LossyStore",Data!$E:$E,"1",Data!$F:$F,256)</f>
        <v>11.0436</v>
      </c>
      <c r="C46" s="12" t="n">
        <f aca="false">SUMIFS(Data!$N:$N,Data!$C:$C,"LossyStore",Data!$E:$E,"1",Data!$F:$F,1024)</f>
        <v>10.1492</v>
      </c>
      <c r="D46" s="12" t="n">
        <f aca="false">SUMIFS(Data!$N:$N,Data!$C:$C,"LossyStore",Data!$E:$E,"1",Data!$F:$F,4096)</f>
        <v>9.9507</v>
      </c>
      <c r="E46" s="12" t="n">
        <f aca="false">SUMIFS(Data!$N:$N,Data!$C:$C,"LossyStore",Data!$E:$E,"1",Data!$F:$F,16384)</f>
        <v>9.8567</v>
      </c>
    </row>
    <row r="47" customFormat="false" ht="15" hidden="false" customHeight="false" outlineLevel="0" collapsed="false">
      <c r="A47" s="8" t="s">
        <v>38</v>
      </c>
      <c r="B47" s="12" t="n">
        <f aca="false">SUMIFS(Data!$N:$N,Data!$C:$C,"LossyStore",Data!$E:$E,"5",Data!$F:$F,256)</f>
        <v>11.1617</v>
      </c>
      <c r="C47" s="12" t="n">
        <f aca="false">SUMIFS(Data!$N:$N,Data!$C:$C,"LossyStore",Data!$E:$E,"5",Data!$F:$F,1024)</f>
        <v>9.7372</v>
      </c>
      <c r="D47" s="12" t="n">
        <f aca="false">SUMIFS(Data!$N:$N,Data!$C:$C,"LossyStore",Data!$E:$E,"5",Data!$F:$F,4096)</f>
        <v>10.5741</v>
      </c>
      <c r="E47" s="12" t="n">
        <f aca="false">SUMIFS(Data!$N:$N,Data!$C:$C,"LossyStore",Data!$E:$E,"5",Data!$F:$F,16384)</f>
        <v>10.8682</v>
      </c>
    </row>
    <row r="49" customFormat="false" ht="15" hidden="false" customHeight="false" outlineLevel="0" collapsed="false">
      <c r="A49" s="10" t="s">
        <v>39</v>
      </c>
      <c r="B49" s="2" t="s">
        <v>125</v>
      </c>
    </row>
    <row r="50" customFormat="false" ht="15" hidden="false" customHeight="false" outlineLevel="0" collapsed="false">
      <c r="A50" s="10" t="s">
        <v>41</v>
      </c>
      <c r="B50" s="2" t="s">
        <v>126</v>
      </c>
    </row>
    <row r="52" customFormat="false" ht="15" hidden="false" customHeight="false" outlineLevel="0" collapsed="false">
      <c r="A52" s="5" t="s">
        <v>127</v>
      </c>
      <c r="B52" s="6"/>
      <c r="C52" s="6"/>
      <c r="D52" s="6"/>
      <c r="E52" s="6"/>
    </row>
    <row r="53" customFormat="false" ht="15" hidden="false" customHeight="false" outlineLevel="0" collapsed="false">
      <c r="A53" s="7" t="s">
        <v>28</v>
      </c>
      <c r="B53" s="7" t="s">
        <v>29</v>
      </c>
      <c r="C53" s="7" t="s">
        <v>30</v>
      </c>
      <c r="D53" s="7" t="s">
        <v>31</v>
      </c>
      <c r="E53" s="7" t="s">
        <v>32</v>
      </c>
    </row>
    <row r="54" customFormat="false" ht="15" hidden="false" customHeight="false" outlineLevel="0" collapsed="false">
      <c r="A54" s="8" t="s">
        <v>33</v>
      </c>
      <c r="B54" s="12" t="n">
        <f aca="false">SUMIFS(Data!$M:$M,Data!$C:$C,"FileStore",Data!$E:$E,"",Data!$F:$F,256)</f>
        <v>10.9249</v>
      </c>
      <c r="C54" s="12" t="n">
        <f aca="false">SUMIFS(Data!$M:$M,Data!$C:$C,"FileStore",Data!$E:$E,"",Data!$F:$F,1024)</f>
        <v>10.2081</v>
      </c>
      <c r="D54" s="12" t="n">
        <f aca="false">SUMIFS(Data!$M:$M,Data!$C:$C,"FileStore",Data!$E:$E,"",Data!$F:$F,4096)</f>
        <v>9.832</v>
      </c>
      <c r="E54" s="12" t="n">
        <f aca="false">SUMIFS(Data!$M:$M,Data!$C:$C,"FileStore",Data!$E:$E,"",Data!$F:$F,16384)</f>
        <v>10.232</v>
      </c>
    </row>
    <row r="55" customFormat="false" ht="15" hidden="false" customHeight="false" outlineLevel="0" collapsed="false">
      <c r="A55" s="8" t="s">
        <v>34</v>
      </c>
      <c r="B55" s="12" t="n">
        <f aca="false">SUMIFS(Data!$M:$M,Data!$C:$C,"CompressedStore",Data!$E:$E,"",Data!$F:$F,256)</f>
        <v>9.6512</v>
      </c>
      <c r="C55" s="12" t="n">
        <f aca="false">SUMIFS(Data!$M:$M,Data!$C:$C,"CompressedStore",Data!$E:$E,"",Data!$F:$F,1024)</f>
        <v>9.5181</v>
      </c>
      <c r="D55" s="12" t="n">
        <f aca="false">SUMIFS(Data!$M:$M,Data!$C:$C,"CompressedStore",Data!$E:$E,"",Data!$F:$F,4096)</f>
        <v>9.9165</v>
      </c>
      <c r="E55" s="12" t="n">
        <f aca="false">SUMIFS(Data!$M:$M,Data!$C:$C,"CompressedStore",Data!$E:$E,"",Data!$F:$F,16384)</f>
        <v>9.8915</v>
      </c>
    </row>
    <row r="56" customFormat="false" ht="15" hidden="false" customHeight="false" outlineLevel="0" collapsed="false">
      <c r="A56" s="8" t="s">
        <v>35</v>
      </c>
      <c r="B56" s="12" t="n">
        <f aca="false">SUMIFS(Data!$M:$M,Data!$C:$C,"LossyStore",Data!$E:$E,"",Data!$F:$F,256)</f>
        <v>10.3771</v>
      </c>
      <c r="C56" s="12" t="n">
        <f aca="false">SUMIFS(Data!$M:$M,Data!$C:$C,"LossyStore",Data!$E:$E,"",Data!$F:$F,1024)</f>
        <v>9.8422</v>
      </c>
      <c r="D56" s="12" t="n">
        <f aca="false">SUMIFS(Data!$M:$M,Data!$C:$C,"LossyStore",Data!$E:$E,"",Data!$F:$F,4096)</f>
        <v>9.9102</v>
      </c>
      <c r="E56" s="12" t="n">
        <f aca="false">SUMIFS(Data!$M:$M,Data!$C:$C,"LossyStore",Data!$E:$E,"",Data!$F:$F,16384)</f>
        <v>9.9934</v>
      </c>
    </row>
    <row r="57" customFormat="false" ht="15" hidden="false" customHeight="false" outlineLevel="0" collapsed="false">
      <c r="A57" s="8" t="s">
        <v>36</v>
      </c>
      <c r="B57" s="12" t="n">
        <f aca="false">SUMIFS(Data!$M:$M,Data!$C:$C,"LossyStore",Data!$E:$E,"0.1",Data!$F:$F,256)</f>
        <v>9.9668</v>
      </c>
      <c r="C57" s="12" t="n">
        <f aca="false">SUMIFS(Data!$M:$M,Data!$C:$C,"LossyStore",Data!$E:$E,"0.1",Data!$F:$F,1024)</f>
        <v>9.9944</v>
      </c>
      <c r="D57" s="12" t="n">
        <f aca="false">SUMIFS(Data!$M:$M,Data!$C:$C,"LossyStore",Data!$E:$E,"0.1",Data!$F:$F,4096)</f>
        <v>9.9176</v>
      </c>
      <c r="E57" s="12" t="n">
        <f aca="false">SUMIFS(Data!$M:$M,Data!$C:$C,"LossyStore",Data!$E:$E,"0.1",Data!$F:$F,16384)</f>
        <v>9.9976</v>
      </c>
    </row>
    <row r="58" customFormat="false" ht="15" hidden="false" customHeight="false" outlineLevel="0" collapsed="false">
      <c r="A58" s="8" t="s">
        <v>37</v>
      </c>
      <c r="B58" s="12" t="n">
        <f aca="false">SUMIFS(Data!$M:$M,Data!$C:$C,"LossyStore",Data!$E:$E,"1",Data!$F:$F,256)</f>
        <v>9.9096</v>
      </c>
      <c r="C58" s="12" t="n">
        <f aca="false">SUMIFS(Data!$M:$M,Data!$C:$C,"LossyStore",Data!$E:$E,"1",Data!$F:$F,1024)</f>
        <v>9.9524</v>
      </c>
      <c r="D58" s="12" t="n">
        <f aca="false">SUMIFS(Data!$M:$M,Data!$C:$C,"LossyStore",Data!$E:$E,"1",Data!$F:$F,4096)</f>
        <v>10.0552</v>
      </c>
      <c r="E58" s="12" t="n">
        <f aca="false">SUMIFS(Data!$M:$M,Data!$C:$C,"LossyStore",Data!$E:$E,"1",Data!$F:$F,16384)</f>
        <v>9.9678</v>
      </c>
    </row>
    <row r="59" customFormat="false" ht="15" hidden="false" customHeight="false" outlineLevel="0" collapsed="false">
      <c r="A59" s="8" t="s">
        <v>38</v>
      </c>
      <c r="B59" s="12" t="n">
        <f aca="false">SUMIFS(Data!$M:$M,Data!$C:$C,"LossyStore",Data!$E:$E,"5",Data!$F:$F,256)</f>
        <v>9.9197</v>
      </c>
      <c r="C59" s="12" t="n">
        <f aca="false">SUMIFS(Data!$M:$M,Data!$C:$C,"LossyStore",Data!$E:$E,"5",Data!$F:$F,1024)</f>
        <v>10.7078</v>
      </c>
      <c r="D59" s="12" t="n">
        <f aca="false">SUMIFS(Data!$M:$M,Data!$C:$C,"LossyStore",Data!$E:$E,"5",Data!$F:$F,4096)</f>
        <v>9.8691</v>
      </c>
      <c r="E59" s="12" t="n">
        <f aca="false">SUMIFS(Data!$M:$M,Data!$C:$C,"LossyStore",Data!$E:$E,"5",Data!$F:$F,16384)</f>
        <v>10.2527</v>
      </c>
    </row>
    <row r="60" customFormat="false" ht="15" hidden="false" customHeight="false" outlineLevel="0" collapsed="false">
      <c r="A60" s="13" t="s">
        <v>47</v>
      </c>
      <c r="B60" s="14" t="n">
        <f aca="false">SUMIFS(Data!$K:$K,Data!$C:$C,"FileStore",Data!$E:$E,"",Data!$F:$F,256)</f>
        <v>20.7321</v>
      </c>
      <c r="C60" s="14" t="n">
        <f aca="false">SUMIFS(Data!$K:$K,Data!$C:$C,"FileStore",Data!$E:$E,"",Data!$F:$F,1024)</f>
        <v>20.7883</v>
      </c>
      <c r="D60" s="14" t="n">
        <f aca="false">SUMIFS(Data!$K:$K,Data!$C:$C,"FileStore",Data!$E:$E,"",Data!$F:$F,4096)</f>
        <v>21.1554</v>
      </c>
      <c r="E60" s="14" t="n">
        <f aca="false">SUMIFS(Data!$K:$K,Data!$C:$C,"FileStore",Data!$E:$E,"",Data!$F:$F,16384)</f>
        <v>20.7318</v>
      </c>
    </row>
    <row r="84" customFormat="false" ht="15" hidden="false" customHeight="false" outlineLevel="0" collapsed="false">
      <c r="A84" s="10" t="s">
        <v>39</v>
      </c>
      <c r="B84" s="2" t="s">
        <v>128</v>
      </c>
    </row>
    <row r="85" customFormat="false" ht="15" hidden="false" customHeight="false" outlineLevel="0" collapsed="false">
      <c r="A85" s="10" t="s">
        <v>41</v>
      </c>
      <c r="B85" s="2"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4"/>
  </cols>
  <sheetData>
    <row r="1" customFormat="false" ht="15" hidden="false" customHeight="false" outlineLevel="0" collapsed="false">
      <c r="A1" s="15" t="s">
        <v>130</v>
      </c>
    </row>
    <row r="2" customFormat="false" ht="15" hidden="false" customHeight="false" outlineLevel="0" collapsed="false">
      <c r="A2" s="2" t="s">
        <v>131</v>
      </c>
    </row>
    <row r="4" customFormat="false" ht="15" hidden="false" customHeight="false" outlineLevel="0" collapsed="false">
      <c r="A4" s="5" t="s">
        <v>132</v>
      </c>
      <c r="B4" s="6"/>
      <c r="C4" s="6"/>
      <c r="D4" s="6"/>
      <c r="E4" s="6"/>
    </row>
    <row r="5" customFormat="false" ht="15" hidden="false" customHeight="false" outlineLevel="0" collapsed="false">
      <c r="A5" s="7" t="s">
        <v>28</v>
      </c>
      <c r="B5" s="7" t="s">
        <v>29</v>
      </c>
      <c r="C5" s="7" t="s">
        <v>30</v>
      </c>
      <c r="D5" s="7" t="s">
        <v>31</v>
      </c>
      <c r="E5" s="7" t="s">
        <v>32</v>
      </c>
    </row>
    <row r="6" customFormat="false" ht="15" hidden="false" customHeight="false" outlineLevel="0" collapsed="false">
      <c r="A6" s="8" t="s">
        <v>33</v>
      </c>
      <c r="B6" s="16" t="n">
        <f aca="false">1195600000/(SUMIFS(Data!$L:$L,Data!$C:$C,"FileStore",Data!$E:$E,"",Data!$F:$F,256))/1000000</f>
        <v>42.9585182257514</v>
      </c>
      <c r="C6" s="16" t="n">
        <f aca="false">1195600000/(SUMIFS(Data!$L:$L,Data!$C:$C,"FileStore",Data!$E:$E,"",Data!$F:$F,1024))/1000000</f>
        <v>43.3872226153539</v>
      </c>
      <c r="D6" s="16" t="n">
        <f aca="false">1195600000/(SUMIFS(Data!$L:$L,Data!$C:$C,"FileStore",Data!$E:$E,"",Data!$F:$F,4096))/1000000</f>
        <v>41.9661911715152</v>
      </c>
      <c r="E6" s="16" t="n">
        <f aca="false">1195600000/(SUMIFS(Data!$L:$L,Data!$C:$C,"FileStore",Data!$E:$E,"",Data!$F:$F,16384))/1000000</f>
        <v>43.0053378990835</v>
      </c>
    </row>
    <row r="7" customFormat="false" ht="15" hidden="false" customHeight="false" outlineLevel="0" collapsed="false">
      <c r="A7" s="8" t="s">
        <v>34</v>
      </c>
      <c r="B7" s="16" t="n">
        <f aca="false">1195600000/(SUMIFS(Data!$L:$L,Data!$C:$C,"CompressedStore",Data!$E:$E,"",Data!$F:$F,256))/1000000</f>
        <v>35.1477522606743</v>
      </c>
      <c r="C7" s="16" t="n">
        <f aca="false">1195600000/(SUMIFS(Data!$L:$L,Data!$C:$C,"CompressedStore",Data!$E:$E,"",Data!$F:$F,1024))/1000000</f>
        <v>36.0519007457038</v>
      </c>
      <c r="D7" s="16" t="n">
        <f aca="false">1195600000/(SUMIFS(Data!$L:$L,Data!$C:$C,"CompressedStore",Data!$E:$E,"",Data!$F:$F,4096))/1000000</f>
        <v>34.7621802830169</v>
      </c>
      <c r="E7" s="16" t="n">
        <f aca="false">1195600000/(SUMIFS(Data!$L:$L,Data!$C:$C,"CompressedStore",Data!$E:$E,"",Data!$F:$F,16384))/1000000</f>
        <v>32.9983633297546</v>
      </c>
    </row>
    <row r="8" customFormat="false" ht="15" hidden="false" customHeight="false" outlineLevel="0" collapsed="false">
      <c r="A8" s="8" t="s">
        <v>35</v>
      </c>
      <c r="B8" s="16" t="n">
        <f aca="false">1195600000/(SUMIFS(Data!$L:$L,Data!$C:$C,"LossyStore",Data!$E:$E,"",Data!$F:$F,256))/1000000</f>
        <v>37.342661710966</v>
      </c>
      <c r="C8" s="16" t="n">
        <f aca="false">1195600000/(SUMIFS(Data!$L:$L,Data!$C:$C,"LossyStore",Data!$E:$E,"",Data!$F:$F,1024))/1000000</f>
        <v>38.545485026388</v>
      </c>
      <c r="D8" s="16" t="n">
        <f aca="false">1195600000/(SUMIFS(Data!$L:$L,Data!$C:$C,"LossyStore",Data!$E:$E,"",Data!$F:$F,4096))/1000000</f>
        <v>36.4772429111012</v>
      </c>
      <c r="E8" s="16" t="n">
        <f aca="false">1195600000/(SUMIFS(Data!$L:$L,Data!$C:$C,"LossyStore",Data!$E:$E,"",Data!$F:$F,16384))/1000000</f>
        <v>36.5827165329033</v>
      </c>
    </row>
    <row r="9" customFormat="false" ht="15" hidden="false" customHeight="false" outlineLevel="0" collapsed="false">
      <c r="A9" s="8" t="s">
        <v>36</v>
      </c>
      <c r="B9" s="16" t="n">
        <f aca="false">1195600000/(SUMIFS(Data!$L:$L,Data!$C:$C,"LossyStore",Data!$E:$E,"0.1",Data!$F:$F,256))/1000000</f>
        <v>37.4636518600221</v>
      </c>
      <c r="C9" s="16" t="n">
        <f aca="false">1195600000/(SUMIFS(Data!$L:$L,Data!$C:$C,"LossyStore",Data!$E:$E,"0.1",Data!$F:$F,1024))/1000000</f>
        <v>39.3650751841328</v>
      </c>
      <c r="D9" s="16" t="n">
        <f aca="false">1195600000/(SUMIFS(Data!$L:$L,Data!$C:$C,"LossyStore",Data!$E:$E,"0.1",Data!$F:$F,4096))/1000000</f>
        <v>38.88749751993</v>
      </c>
      <c r="E9" s="16" t="n">
        <f aca="false">1195600000/(SUMIFS(Data!$L:$L,Data!$C:$C,"LossyStore",Data!$E:$E,"0.1",Data!$F:$F,16384))/1000000</f>
        <v>38.8306631027506</v>
      </c>
    </row>
    <row r="10" customFormat="false" ht="15" hidden="false" customHeight="false" outlineLevel="0" collapsed="false">
      <c r="A10" s="8" t="s">
        <v>37</v>
      </c>
      <c r="B10" s="16" t="n">
        <f aca="false">1195600000/(SUMIFS(Data!$L:$L,Data!$C:$C,"LossyStore",Data!$E:$E,"1",Data!$F:$F,256))/1000000</f>
        <v>37.6262364007717</v>
      </c>
      <c r="C10" s="16" t="n">
        <f aca="false">1195600000/(SUMIFS(Data!$L:$L,Data!$C:$C,"LossyStore",Data!$E:$E,"1",Data!$F:$F,1024))/1000000</f>
        <v>38.6456565656566</v>
      </c>
      <c r="D10" s="16" t="n">
        <f aca="false">1195600000/(SUMIFS(Data!$L:$L,Data!$C:$C,"LossyStore",Data!$E:$E,"1",Data!$F:$F,4096))/1000000</f>
        <v>38.4361909721887</v>
      </c>
      <c r="E10" s="16" t="n">
        <f aca="false">1195600000/(SUMIFS(Data!$L:$L,Data!$C:$C,"LossyStore",Data!$E:$E,"1",Data!$F:$F,16384))/1000000</f>
        <v>39.0865848276313</v>
      </c>
    </row>
    <row r="11" customFormat="false" ht="15" hidden="false" customHeight="false" outlineLevel="0" collapsed="false">
      <c r="A11" s="8" t="s">
        <v>38</v>
      </c>
      <c r="B11" s="16" t="n">
        <f aca="false">1195600000/(SUMIFS(Data!$L:$L,Data!$C:$C,"LossyStore",Data!$E:$E,"5",Data!$F:$F,256))/1000000</f>
        <v>37.4869096815055</v>
      </c>
      <c r="C11" s="16" t="n">
        <f aca="false">1195600000/(SUMIFS(Data!$L:$L,Data!$C:$C,"LossyStore",Data!$E:$E,"5",Data!$F:$F,1024))/1000000</f>
        <v>39.1672536076395</v>
      </c>
      <c r="D11" s="16" t="n">
        <f aca="false">1195600000/(SUMIFS(Data!$L:$L,Data!$C:$C,"LossyStore",Data!$E:$E,"5",Data!$F:$F,4096))/1000000</f>
        <v>37.6810223924108</v>
      </c>
      <c r="E11" s="16" t="n">
        <f aca="false">1195600000/(SUMIFS(Data!$L:$L,Data!$C:$C,"LossyStore",Data!$E:$E,"5",Data!$F:$F,16384))/1000000</f>
        <v>37.8354430379747</v>
      </c>
    </row>
    <row r="12" customFormat="false" ht="15" hidden="false" customHeight="false" outlineLevel="0" collapsed="false">
      <c r="A12" s="13" t="s">
        <v>47</v>
      </c>
      <c r="B12" s="17" t="n">
        <f aca="false">1195600000/(SUMIFS(Data!$K:$K,Data!$C:$C,"FileStore",Data!$E:$E,"",Data!$F:$F,256))/1000000</f>
        <v>57.6690253278732</v>
      </c>
      <c r="C12" s="17" t="n">
        <f aca="false">1195600000/(SUMIFS(Data!$K:$K,Data!$C:$C,"FileStore",Data!$E:$E,"",Data!$F:$F,1024))/1000000</f>
        <v>57.5131203609723</v>
      </c>
      <c r="D12" s="17" t="n">
        <f aca="false">1195600000/(SUMIFS(Data!$K:$K,Data!$C:$C,"FileStore",Data!$E:$E,"",Data!$F:$F,4096))/1000000</f>
        <v>56.5151214347164</v>
      </c>
      <c r="E12" s="17" t="n">
        <f aca="false">1195600000/(SUMIFS(Data!$K:$K,Data!$C:$C,"FileStore",Data!$E:$E,"",Data!$F:$F,16384))/1000000</f>
        <v>57.6698598288619</v>
      </c>
    </row>
    <row r="36" customFormat="false" ht="15" hidden="false" customHeight="false" outlineLevel="0" collapsed="false">
      <c r="A36" s="10" t="s">
        <v>39</v>
      </c>
      <c r="B36" s="2" t="s">
        <v>133</v>
      </c>
    </row>
    <row r="37" customFormat="false" ht="15" hidden="false" customHeight="false" outlineLevel="0" collapsed="false">
      <c r="A37" s="10" t="s">
        <v>41</v>
      </c>
      <c r="B37" s="2" t="s">
        <v>134</v>
      </c>
    </row>
    <row r="39" customFormat="false" ht="15" hidden="false" customHeight="false" outlineLevel="0" collapsed="false">
      <c r="A39" s="5" t="s">
        <v>135</v>
      </c>
      <c r="B39" s="6"/>
      <c r="C39" s="6"/>
      <c r="D39" s="6"/>
      <c r="E39" s="6"/>
    </row>
    <row r="40" customFormat="false" ht="15" hidden="false" customHeight="false" outlineLevel="0" collapsed="false">
      <c r="A40" s="7" t="s">
        <v>28</v>
      </c>
      <c r="B40" s="7" t="s">
        <v>29</v>
      </c>
      <c r="C40" s="7" t="s">
        <v>30</v>
      </c>
      <c r="D40" s="7" t="s">
        <v>31</v>
      </c>
      <c r="E40" s="7" t="s">
        <v>32</v>
      </c>
    </row>
    <row r="41" customFormat="false" ht="15" hidden="false" customHeight="false" outlineLevel="0" collapsed="false">
      <c r="A41" s="8" t="s">
        <v>33</v>
      </c>
      <c r="B41" s="16" t="n">
        <f aca="false">1195600000/(SUMIFS(Data!$N:$N,Data!$C:$C,"FileStore",Data!$E:$E,"",Data!$F:$F,256))/1000000</f>
        <v>168.408597909683</v>
      </c>
      <c r="C41" s="16" t="n">
        <f aca="false">1195600000/(SUMIFS(Data!$N:$N,Data!$C:$C,"FileStore",Data!$E:$E,"",Data!$F:$F,1024))/1000000</f>
        <v>176.649626193079</v>
      </c>
      <c r="D41" s="16" t="n">
        <f aca="false">1195600000/(SUMIFS(Data!$N:$N,Data!$C:$C,"FileStore",Data!$E:$E,"",Data!$F:$F,4096))/1000000</f>
        <v>163.01709797933</v>
      </c>
      <c r="E41" s="16" t="n">
        <f aca="false">1195600000/(SUMIFS(Data!$N:$N,Data!$C:$C,"FileStore",Data!$E:$E,"",Data!$F:$F,16384))/1000000</f>
        <v>169.123263643308</v>
      </c>
    </row>
    <row r="42" customFormat="false" ht="15" hidden="false" customHeight="false" outlineLevel="0" collapsed="false">
      <c r="A42" s="8" t="s">
        <v>34</v>
      </c>
      <c r="B42" s="16" t="n">
        <f aca="false">1195600000/(SUMIFS(Data!$N:$N,Data!$C:$C,"CompressedStore",Data!$E:$E,"",Data!$F:$F,256))/1000000</f>
        <v>90.0009785987971</v>
      </c>
      <c r="C42" s="16" t="n">
        <f aca="false">1195600000/(SUMIFS(Data!$N:$N,Data!$C:$C,"CompressedStore",Data!$E:$E,"",Data!$F:$F,1024))/1000000</f>
        <v>96.6141414141414</v>
      </c>
      <c r="D42" s="16" t="n">
        <f aca="false">1195600000/(SUMIFS(Data!$N:$N,Data!$C:$C,"CompressedStore",Data!$E:$E,"",Data!$F:$F,4096))/1000000</f>
        <v>90.3137109749741</v>
      </c>
      <c r="E42" s="16" t="n">
        <f aca="false">1195600000/(SUMIFS(Data!$N:$N,Data!$C:$C,"CompressedStore",Data!$E:$E,"",Data!$F:$F,16384))/1000000</f>
        <v>77.1339909550138</v>
      </c>
    </row>
    <row r="43" customFormat="false" ht="15" hidden="false" customHeight="false" outlineLevel="0" collapsed="false">
      <c r="A43" s="8" t="s">
        <v>35</v>
      </c>
      <c r="B43" s="16" t="n">
        <f aca="false">1195600000/(SUMIFS(Data!$N:$N,Data!$C:$C,"LossyStore",Data!$E:$E,"",Data!$F:$F,256))/1000000</f>
        <v>105.946884775231</v>
      </c>
      <c r="C43" s="16" t="n">
        <f aca="false">1195600000/(SUMIFS(Data!$N:$N,Data!$C:$C,"LossyStore",Data!$E:$E,"",Data!$F:$F,1024))/1000000</f>
        <v>116.876515210761</v>
      </c>
      <c r="D43" s="16" t="n">
        <f aca="false">1195600000/(SUMIFS(Data!$N:$N,Data!$C:$C,"LossyStore",Data!$E:$E,"",Data!$F:$F,4096))/1000000</f>
        <v>102.880941727188</v>
      </c>
      <c r="E43" s="16" t="n">
        <f aca="false">1195600000/(SUMIFS(Data!$N:$N,Data!$C:$C,"LossyStore",Data!$E:$E,"",Data!$F:$F,16384))/1000000</f>
        <v>100.047697547342</v>
      </c>
    </row>
    <row r="44" customFormat="false" ht="15" hidden="false" customHeight="false" outlineLevel="0" collapsed="false">
      <c r="A44" s="8" t="s">
        <v>36</v>
      </c>
      <c r="B44" s="16" t="n">
        <f aca="false">1195600000/(SUMIFS(Data!$N:$N,Data!$C:$C,"LossyStore",Data!$E:$E,"0.1",Data!$F:$F,256))/1000000</f>
        <v>106.926619863167</v>
      </c>
      <c r="C44" s="16" t="n">
        <f aca="false">1195600000/(SUMIFS(Data!$N:$N,Data!$C:$C,"LossyStore",Data!$E:$E,"0.1",Data!$F:$F,1024))/1000000</f>
        <v>124.752185980509</v>
      </c>
      <c r="D44" s="16" t="n">
        <f aca="false">1195600000/(SUMIFS(Data!$N:$N,Data!$C:$C,"LossyStore",Data!$E:$E,"0.1",Data!$F:$F,4096))/1000000</f>
        <v>124.675433016674</v>
      </c>
      <c r="E44" s="16" t="n">
        <f aca="false">1195600000/(SUMIFS(Data!$N:$N,Data!$C:$C,"LossyStore",Data!$E:$E,"0.1",Data!$F:$F,16384))/1000000</f>
        <v>118.867005358758</v>
      </c>
    </row>
    <row r="45" customFormat="false" ht="15" hidden="false" customHeight="false" outlineLevel="0" collapsed="false">
      <c r="A45" s="8" t="s">
        <v>37</v>
      </c>
      <c r="B45" s="16" t="n">
        <f aca="false">1195600000/(SUMIFS(Data!$N:$N,Data!$C:$C,"LossyStore",Data!$E:$E,"1",Data!$F:$F,256))/1000000</f>
        <v>108.261798688833</v>
      </c>
      <c r="C45" s="16" t="n">
        <f aca="false">1195600000/(SUMIFS(Data!$N:$N,Data!$C:$C,"LossyStore",Data!$E:$E,"1",Data!$F:$F,1024))/1000000</f>
        <v>117.802388365585</v>
      </c>
      <c r="D45" s="16" t="n">
        <f aca="false">1195600000/(SUMIFS(Data!$N:$N,Data!$C:$C,"LossyStore",Data!$E:$E,"1",Data!$F:$F,4096))/1000000</f>
        <v>120.152351090878</v>
      </c>
      <c r="E45" s="16" t="n">
        <f aca="false">1195600000/(SUMIFS(Data!$N:$N,Data!$C:$C,"LossyStore",Data!$E:$E,"1",Data!$F:$F,16384))/1000000</f>
        <v>121.29820325261</v>
      </c>
    </row>
    <row r="46" customFormat="false" ht="15" hidden="false" customHeight="false" outlineLevel="0" collapsed="false">
      <c r="A46" s="8" t="s">
        <v>38</v>
      </c>
      <c r="B46" s="16" t="n">
        <f aca="false">1195600000/(SUMIFS(Data!$N:$N,Data!$C:$C,"LossyStore",Data!$E:$E,"5",Data!$F:$F,256))/1000000</f>
        <v>107.116299488429</v>
      </c>
      <c r="C46" s="16" t="n">
        <f aca="false">1195600000/(SUMIFS(Data!$N:$N,Data!$C:$C,"LossyStore",Data!$E:$E,"5",Data!$F:$F,1024))/1000000</f>
        <v>122.78683810541</v>
      </c>
      <c r="D46" s="16" t="n">
        <f aca="false">1195600000/(SUMIFS(Data!$N:$N,Data!$C:$C,"LossyStore",Data!$E:$E,"5",Data!$F:$F,4096))/1000000</f>
        <v>113.068724525019</v>
      </c>
      <c r="E46" s="16" t="n">
        <f aca="false">1195600000/(SUMIFS(Data!$N:$N,Data!$C:$C,"LossyStore",Data!$E:$E,"5",Data!$F:$F,16384))/1000000</f>
        <v>110.009017132552</v>
      </c>
    </row>
    <row r="70" customFormat="false" ht="15" hidden="false" customHeight="false" outlineLevel="0" collapsed="false">
      <c r="A70" s="10" t="s">
        <v>39</v>
      </c>
      <c r="B70" s="2" t="s">
        <v>136</v>
      </c>
    </row>
    <row r="71" customFormat="false" ht="15" hidden="false" customHeight="false" outlineLevel="0" collapsed="false">
      <c r="A71" s="10" t="s">
        <v>41</v>
      </c>
      <c r="B71" s="2" t="s">
        <v>137</v>
      </c>
    </row>
    <row r="73" customFormat="false" ht="15" hidden="false" customHeight="false" outlineLevel="0" collapsed="false">
      <c r="A73" s="5" t="s">
        <v>138</v>
      </c>
      <c r="B73" s="6"/>
      <c r="C73" s="6"/>
      <c r="D73" s="6"/>
      <c r="E73" s="6"/>
    </row>
    <row r="74" customFormat="false" ht="15" hidden="false" customHeight="false" outlineLevel="0" collapsed="false">
      <c r="A74" s="7" t="s">
        <v>28</v>
      </c>
      <c r="B74" s="7" t="s">
        <v>29</v>
      </c>
      <c r="C74" s="7" t="s">
        <v>30</v>
      </c>
      <c r="D74" s="7" t="s">
        <v>31</v>
      </c>
      <c r="E74" s="7" t="s">
        <v>32</v>
      </c>
    </row>
    <row r="75" customFormat="false" ht="15" hidden="false" customHeight="false" outlineLevel="0" collapsed="false">
      <c r="A75" s="8" t="s">
        <v>33</v>
      </c>
      <c r="B75" s="16" t="n">
        <f aca="false">1195600000/(SUMIFS(Data!$M:$M,Data!$C:$C,"FileStore",Data!$E:$E,"",Data!$F:$F,256))/1000000</f>
        <v>109.438072659704</v>
      </c>
      <c r="C75" s="16" t="n">
        <f aca="false">1195600000/(SUMIFS(Data!$M:$M,Data!$C:$C,"FileStore",Data!$E:$E,"",Data!$F:$F,1024))/1000000</f>
        <v>117.122677089762</v>
      </c>
      <c r="D75" s="16" t="n">
        <f aca="false">1195600000/(SUMIFS(Data!$M:$M,Data!$C:$C,"FileStore",Data!$E:$E,"",Data!$F:$F,4096))/1000000</f>
        <v>121.60292921074</v>
      </c>
      <c r="E75" s="16" t="n">
        <f aca="false">1195600000/(SUMIFS(Data!$M:$M,Data!$C:$C,"FileStore",Data!$E:$E,"",Data!$F:$F,16384))/1000000</f>
        <v>116.849100860047</v>
      </c>
    </row>
    <row r="76" customFormat="false" ht="15" hidden="false" customHeight="false" outlineLevel="0" collapsed="false">
      <c r="A76" s="8" t="s">
        <v>34</v>
      </c>
      <c r="B76" s="16" t="n">
        <f aca="false">1195600000/(SUMIFS(Data!$M:$M,Data!$C:$C,"CompressedStore",Data!$E:$E,"",Data!$F:$F,256))/1000000</f>
        <v>123.880968169761</v>
      </c>
      <c r="C76" s="16" t="n">
        <f aca="false">1195600000/(SUMIFS(Data!$M:$M,Data!$C:$C,"CompressedStore",Data!$E:$E,"",Data!$F:$F,1024))/1000000</f>
        <v>125.613305176453</v>
      </c>
      <c r="D76" s="16" t="n">
        <f aca="false">1195600000/(SUMIFS(Data!$M:$M,Data!$C:$C,"CompressedStore",Data!$E:$E,"",Data!$F:$F,4096))/1000000</f>
        <v>120.566732213987</v>
      </c>
      <c r="E76" s="16" t="n">
        <f aca="false">1195600000/(SUMIFS(Data!$M:$M,Data!$C:$C,"CompressedStore",Data!$E:$E,"",Data!$F:$F,16384))/1000000</f>
        <v>120.871455289895</v>
      </c>
    </row>
    <row r="77" customFormat="false" ht="15" hidden="false" customHeight="false" outlineLevel="0" collapsed="false">
      <c r="A77" s="8" t="s">
        <v>35</v>
      </c>
      <c r="B77" s="16" t="n">
        <f aca="false">1195600000/(SUMIFS(Data!$M:$M,Data!$C:$C,"LossyStore",Data!$E:$E,"",Data!$F:$F,256))/1000000</f>
        <v>115.21523354309</v>
      </c>
      <c r="C77" s="16" t="n">
        <f aca="false">1195600000/(SUMIFS(Data!$M:$M,Data!$C:$C,"LossyStore",Data!$E:$E,"",Data!$F:$F,1024))/1000000</f>
        <v>121.476905569893</v>
      </c>
      <c r="D77" s="16" t="n">
        <f aca="false">1195600000/(SUMIFS(Data!$M:$M,Data!$C:$C,"LossyStore",Data!$E:$E,"",Data!$F:$F,4096))/1000000</f>
        <v>120.643377530221</v>
      </c>
      <c r="E77" s="16" t="n">
        <f aca="false">1195600000/(SUMIFS(Data!$M:$M,Data!$C:$C,"LossyStore",Data!$E:$E,"",Data!$F:$F,16384))/1000000</f>
        <v>119.638961714732</v>
      </c>
    </row>
    <row r="78" customFormat="false" ht="15" hidden="false" customHeight="false" outlineLevel="0" collapsed="false">
      <c r="A78" s="8" t="s">
        <v>36</v>
      </c>
      <c r="B78" s="16" t="n">
        <f aca="false">1195600000/(SUMIFS(Data!$M:$M,Data!$C:$C,"LossyStore",Data!$E:$E,"0.1",Data!$F:$F,256))/1000000</f>
        <v>119.958261427941</v>
      </c>
      <c r="C78" s="16" t="n">
        <f aca="false">1195600000/(SUMIFS(Data!$M:$M,Data!$C:$C,"LossyStore",Data!$E:$E,"0.1",Data!$F:$F,1024))/1000000</f>
        <v>119.626991115024</v>
      </c>
      <c r="D78" s="16" t="n">
        <f aca="false">1195600000/(SUMIFS(Data!$M:$M,Data!$C:$C,"LossyStore",Data!$E:$E,"0.1",Data!$F:$F,4096))/1000000</f>
        <v>120.553359683794</v>
      </c>
      <c r="E78" s="16" t="n">
        <f aca="false">1195600000/(SUMIFS(Data!$M:$M,Data!$C:$C,"LossyStore",Data!$E:$E,"0.1",Data!$F:$F,16384))/1000000</f>
        <v>119.588701288309</v>
      </c>
    </row>
    <row r="79" customFormat="false" ht="15" hidden="false" customHeight="false" outlineLevel="0" collapsed="false">
      <c r="A79" s="8" t="s">
        <v>37</v>
      </c>
      <c r="B79" s="16" t="n">
        <f aca="false">1195600000/(SUMIFS(Data!$M:$M,Data!$C:$C,"LossyStore",Data!$E:$E,"1",Data!$F:$F,256))/1000000</f>
        <v>120.650682166788</v>
      </c>
      <c r="C79" s="16" t="n">
        <f aca="false">1195600000/(SUMIFS(Data!$M:$M,Data!$C:$C,"LossyStore",Data!$E:$E,"1",Data!$F:$F,1024))/1000000</f>
        <v>120.131827498895</v>
      </c>
      <c r="D79" s="16" t="n">
        <f aca="false">1195600000/(SUMIFS(Data!$M:$M,Data!$C:$C,"LossyStore",Data!$E:$E,"1",Data!$F:$F,4096))/1000000</f>
        <v>118.903651841833</v>
      </c>
      <c r="E79" s="16" t="n">
        <f aca="false">1195600000/(SUMIFS(Data!$M:$M,Data!$C:$C,"LossyStore",Data!$E:$E,"1",Data!$F:$F,16384))/1000000</f>
        <v>119.946226850458</v>
      </c>
    </row>
    <row r="80" customFormat="false" ht="15" hidden="false" customHeight="false" outlineLevel="0" collapsed="false">
      <c r="A80" s="8" t="s">
        <v>38</v>
      </c>
      <c r="B80" s="16" t="n">
        <f aca="false">1195600000/(SUMIFS(Data!$M:$M,Data!$C:$C,"LossyStore",Data!$E:$E,"5",Data!$F:$F,256))/1000000</f>
        <v>120.527838543504</v>
      </c>
      <c r="C80" s="16" t="n">
        <f aca="false">1195600000/(SUMIFS(Data!$M:$M,Data!$C:$C,"LossyStore",Data!$E:$E,"5",Data!$F:$F,1024))/1000000</f>
        <v>111.656922990717</v>
      </c>
      <c r="D80" s="16" t="n">
        <f aca="false">1195600000/(SUMIFS(Data!$M:$M,Data!$C:$C,"LossyStore",Data!$E:$E,"5",Data!$F:$F,4096))/1000000</f>
        <v>121.145798502396</v>
      </c>
      <c r="E80" s="16" t="n">
        <f aca="false">1195600000/(SUMIFS(Data!$M:$M,Data!$C:$C,"LossyStore",Data!$E:$E,"5",Data!$F:$F,16384))/1000000</f>
        <v>116.613184819608</v>
      </c>
    </row>
    <row r="81" customFormat="false" ht="15" hidden="false" customHeight="false" outlineLevel="0" collapsed="false">
      <c r="A81" s="13" t="s">
        <v>47</v>
      </c>
      <c r="B81" s="17" t="n">
        <f aca="false">1195600000/(SUMIFS(Data!$K:$K,Data!$C:$C,"FileStore",Data!$E:$E,"",Data!$F:$F,256))/1000000</f>
        <v>57.6690253278732</v>
      </c>
      <c r="C81" s="17" t="n">
        <f aca="false">1195600000/(SUMIFS(Data!$K:$K,Data!$C:$C,"FileStore",Data!$E:$E,"",Data!$F:$F,1024))/1000000</f>
        <v>57.5131203609723</v>
      </c>
      <c r="D81" s="17" t="n">
        <f aca="false">1195600000/(SUMIFS(Data!$K:$K,Data!$C:$C,"FileStore",Data!$E:$E,"",Data!$F:$F,4096))/1000000</f>
        <v>56.5151214347164</v>
      </c>
      <c r="E81" s="17" t="n">
        <f aca="false">1195600000/(SUMIFS(Data!$K:$K,Data!$C:$C,"FileStore",Data!$E:$E,"",Data!$F:$F,16384))/1000000</f>
        <v>57.6698598288619</v>
      </c>
    </row>
    <row r="105" customFormat="false" ht="15" hidden="false" customHeight="false" outlineLevel="0" collapsed="false">
      <c r="A105" s="10" t="s">
        <v>39</v>
      </c>
      <c r="B105" s="2" t="s">
        <v>139</v>
      </c>
    </row>
    <row r="106" customFormat="false" ht="15" hidden="false" customHeight="false" outlineLevel="0" collapsed="false">
      <c r="A106" s="10" t="s">
        <v>41</v>
      </c>
      <c r="B106" s="2" t="s">
        <v>140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5"/>
  </cols>
  <sheetData>
    <row r="1" customFormat="false" ht="15" hidden="false" customHeight="false" outlineLevel="0" collapsed="false">
      <c r="A1" s="15" t="s">
        <v>141</v>
      </c>
    </row>
    <row r="2" customFormat="false" ht="15" hidden="false" customHeight="false" outlineLevel="0" collapsed="false">
      <c r="A2" s="2" t="s">
        <v>142</v>
      </c>
    </row>
    <row r="4" customFormat="false" ht="15" hidden="false" customHeight="false" outlineLevel="0" collapsed="false">
      <c r="A4" s="5" t="s">
        <v>143</v>
      </c>
      <c r="B4" s="6"/>
      <c r="C4" s="6"/>
      <c r="D4" s="6"/>
      <c r="E4" s="6"/>
    </row>
    <row r="5" customFormat="false" ht="15" hidden="false" customHeight="false" outlineLevel="0" collapsed="false">
      <c r="A5" s="7" t="s">
        <v>28</v>
      </c>
      <c r="B5" s="7" t="s">
        <v>29</v>
      </c>
      <c r="C5" s="7" t="s">
        <v>30</v>
      </c>
      <c r="D5" s="7" t="s">
        <v>31</v>
      </c>
      <c r="E5" s="7" t="s">
        <v>32</v>
      </c>
    </row>
    <row r="6" customFormat="false" ht="15" hidden="false" customHeight="false" outlineLevel="0" collapsed="false">
      <c r="A6" s="8" t="s">
        <v>33</v>
      </c>
      <c r="B6" s="9" t="n">
        <f aca="false">SUMIFS(Data!$R:$R,Data!$C:$C,"FileStore",Data!$E:$E,"",Data!$F:$F,256)</f>
        <v>328436</v>
      </c>
      <c r="C6" s="9" t="n">
        <f aca="false">SUMIFS(Data!$R:$R,Data!$C:$C,"FileStore",Data!$E:$E,"",Data!$F:$F,1024)</f>
        <v>82676</v>
      </c>
      <c r="D6" s="9" t="n">
        <f aca="false">SUMIFS(Data!$R:$R,Data!$C:$C,"FileStore",Data!$E:$E,"",Data!$F:$F,4096)</f>
        <v>21236</v>
      </c>
      <c r="E6" s="9" t="n">
        <f aca="false">SUMIFS(Data!$R:$R,Data!$C:$C,"FileStore",Data!$E:$E,"",Data!$F:$F,16384)</f>
        <v>5876</v>
      </c>
    </row>
    <row r="7" customFormat="false" ht="15" hidden="false" customHeight="false" outlineLevel="0" collapsed="false">
      <c r="A7" s="8" t="s">
        <v>34</v>
      </c>
      <c r="B7" s="9" t="n">
        <f aca="false">SUMIFS(Data!$R:$R,Data!$C:$C,"CompressedStore",Data!$E:$E,"",Data!$F:$F,256)</f>
        <v>187379</v>
      </c>
      <c r="C7" s="9" t="n">
        <f aca="false">SUMIFS(Data!$R:$R,Data!$C:$C,"CompressedStore",Data!$E:$E,"",Data!$F:$F,1024)</f>
        <v>47159</v>
      </c>
      <c r="D7" s="9" t="n">
        <f aca="false">SUMIFS(Data!$R:$R,Data!$C:$C,"CompressedStore",Data!$E:$E,"",Data!$F:$F,4096)</f>
        <v>12104</v>
      </c>
      <c r="E7" s="9" t="n">
        <f aca="false">SUMIFS(Data!$R:$R,Data!$C:$C,"CompressedStore",Data!$E:$E,"",Data!$F:$F,16384)</f>
        <v>3330</v>
      </c>
    </row>
    <row r="8" customFormat="false" ht="15" hidden="false" customHeight="false" outlineLevel="0" collapsed="false">
      <c r="A8" s="8" t="s">
        <v>35</v>
      </c>
      <c r="B8" s="9" t="n">
        <f aca="false">SUMIFS(Data!$R:$R,Data!$C:$C,"LossyStore",Data!$E:$E,"",Data!$F:$F,256)</f>
        <v>1076774</v>
      </c>
      <c r="C8" s="9" t="n">
        <f aca="false">SUMIFS(Data!$R:$R,Data!$C:$C,"LossyStore",Data!$E:$E,"",Data!$F:$F,1024)</f>
        <v>269654</v>
      </c>
      <c r="D8" s="9" t="n">
        <f aca="false">SUMIFS(Data!$R:$R,Data!$C:$C,"LossyStore",Data!$E:$E,"",Data!$F:$F,4096)</f>
        <v>67874</v>
      </c>
      <c r="E8" s="9" t="n">
        <f aca="false">SUMIFS(Data!$R:$R,Data!$C:$C,"LossyStore",Data!$E:$E,"",Data!$F:$F,16384)</f>
        <v>17370</v>
      </c>
    </row>
    <row r="9" customFormat="false" ht="15" hidden="false" customHeight="false" outlineLevel="0" collapsed="false">
      <c r="A9" s="8" t="s">
        <v>36</v>
      </c>
      <c r="B9" s="9" t="n">
        <f aca="false">SUMIFS(Data!$R:$R,Data!$C:$C,"LossyStore",Data!$E:$E,"0.1",Data!$F:$F,256)</f>
        <v>1076774</v>
      </c>
      <c r="C9" s="9" t="n">
        <f aca="false">SUMIFS(Data!$R:$R,Data!$C:$C,"LossyStore",Data!$E:$E,"0.1",Data!$F:$F,1024)</f>
        <v>269654</v>
      </c>
      <c r="D9" s="9" t="n">
        <f aca="false">SUMIFS(Data!$R:$R,Data!$C:$C,"LossyStore",Data!$E:$E,"0.1",Data!$F:$F,4096)</f>
        <v>67874</v>
      </c>
      <c r="E9" s="9" t="n">
        <f aca="false">SUMIFS(Data!$R:$R,Data!$C:$C,"LossyStore",Data!$E:$E,"0.1",Data!$F:$F,16384)</f>
        <v>17370</v>
      </c>
    </row>
    <row r="10" customFormat="false" ht="15" hidden="false" customHeight="false" outlineLevel="0" collapsed="false">
      <c r="A10" s="8" t="s">
        <v>37</v>
      </c>
      <c r="B10" s="9" t="n">
        <f aca="false">SUMIFS(Data!$R:$R,Data!$C:$C,"LossyStore",Data!$E:$E,"1",Data!$F:$F,256)</f>
        <v>1076774</v>
      </c>
      <c r="C10" s="9" t="n">
        <f aca="false">SUMIFS(Data!$R:$R,Data!$C:$C,"LossyStore",Data!$E:$E,"1",Data!$F:$F,1024)</f>
        <v>269654</v>
      </c>
      <c r="D10" s="9" t="n">
        <f aca="false">SUMIFS(Data!$R:$R,Data!$C:$C,"LossyStore",Data!$E:$E,"1",Data!$F:$F,4096)</f>
        <v>67874</v>
      </c>
      <c r="E10" s="9" t="n">
        <f aca="false">SUMIFS(Data!$R:$R,Data!$C:$C,"LossyStore",Data!$E:$E,"1",Data!$F:$F,16384)</f>
        <v>17370</v>
      </c>
    </row>
    <row r="11" customFormat="false" ht="15" hidden="false" customHeight="false" outlineLevel="0" collapsed="false">
      <c r="A11" s="8" t="s">
        <v>38</v>
      </c>
      <c r="B11" s="9" t="n">
        <f aca="false">SUMIFS(Data!$R:$R,Data!$C:$C,"LossyStore",Data!$E:$E,"5",Data!$F:$F,256)</f>
        <v>1076774</v>
      </c>
      <c r="C11" s="9" t="n">
        <f aca="false">SUMIFS(Data!$R:$R,Data!$C:$C,"LossyStore",Data!$E:$E,"5",Data!$F:$F,1024)</f>
        <v>269654</v>
      </c>
      <c r="D11" s="9" t="n">
        <f aca="false">SUMIFS(Data!$R:$R,Data!$C:$C,"LossyStore",Data!$E:$E,"5",Data!$F:$F,4096)</f>
        <v>67874</v>
      </c>
      <c r="E11" s="9" t="n">
        <f aca="false">SUMIFS(Data!$R:$R,Data!$C:$C,"LossyStore",Data!$E:$E,"5",Data!$F:$F,16384)</f>
        <v>17370</v>
      </c>
    </row>
    <row r="35" customFormat="false" ht="15" hidden="false" customHeight="false" outlineLevel="0" collapsed="false">
      <c r="A35" s="10" t="s">
        <v>39</v>
      </c>
      <c r="B35" s="2" t="s">
        <v>144</v>
      </c>
    </row>
    <row r="36" customFormat="false" ht="15" hidden="false" customHeight="false" outlineLevel="0" collapsed="false">
      <c r="A36" s="10" t="s">
        <v>41</v>
      </c>
      <c r="B36" s="2" t="s">
        <v>145</v>
      </c>
    </row>
    <row r="38" customFormat="false" ht="15" hidden="false" customHeight="false" outlineLevel="0" collapsed="false">
      <c r="A38" s="5" t="s">
        <v>146</v>
      </c>
      <c r="B38" s="6"/>
      <c r="C38" s="6"/>
      <c r="D38" s="6"/>
      <c r="E38" s="6"/>
    </row>
    <row r="39" customFormat="false" ht="15" hidden="false" customHeight="false" outlineLevel="0" collapsed="false">
      <c r="A39" s="2" t="s">
        <v>147</v>
      </c>
    </row>
    <row r="40" customFormat="false" ht="15" hidden="false" customHeight="false" outlineLevel="0" collapsed="false">
      <c r="A40" s="7" t="s">
        <v>28</v>
      </c>
      <c r="B40" s="7" t="s">
        <v>29</v>
      </c>
      <c r="C40" s="7" t="s">
        <v>30</v>
      </c>
      <c r="D40" s="7" t="s">
        <v>31</v>
      </c>
      <c r="E40" s="7" t="s">
        <v>32</v>
      </c>
    </row>
    <row r="41" customFormat="false" ht="15" hidden="false" customHeight="false" outlineLevel="0" collapsed="false">
      <c r="A41" s="8" t="s">
        <v>33</v>
      </c>
      <c r="B41" s="9" t="n">
        <f aca="false">SUMIFS(Data!$Q:$Q,Data!$C:$C,"FileStore",Data!$E:$E,"",Data!$F:$F,256)</f>
        <v>4561</v>
      </c>
      <c r="C41" s="9" t="n">
        <f aca="false">SUMIFS(Data!$Q:$Q,Data!$C:$C,"FileStore",Data!$E:$E,"",Data!$F:$F,1024)</f>
        <v>1141</v>
      </c>
      <c r="D41" s="9" t="n">
        <f aca="false">SUMIFS(Data!$Q:$Q,Data!$C:$C,"FileStore",Data!$E:$E,"",Data!$F:$F,4096)</f>
        <v>286</v>
      </c>
      <c r="E41" s="9" t="n">
        <f aca="false">SUMIFS(Data!$Q:$Q,Data!$C:$C,"FileStore",Data!$E:$E,"",Data!$F:$F,16384)</f>
        <v>72</v>
      </c>
    </row>
    <row r="42" customFormat="false" ht="15" hidden="false" customHeight="false" outlineLevel="0" collapsed="false">
      <c r="A42" s="8" t="s">
        <v>34</v>
      </c>
      <c r="B42" s="9" t="n">
        <f aca="false">SUMIFS(Data!$Q:$Q,Data!$C:$C,"CompressedStore",Data!$E:$E,"",Data!$F:$F,256)</f>
        <v>4561</v>
      </c>
      <c r="C42" s="9" t="n">
        <f aca="false">SUMIFS(Data!$Q:$Q,Data!$C:$C,"CompressedStore",Data!$E:$E,"",Data!$F:$F,1024)</f>
        <v>1141</v>
      </c>
      <c r="D42" s="9" t="n">
        <f aca="false">SUMIFS(Data!$Q:$Q,Data!$C:$C,"CompressedStore",Data!$E:$E,"",Data!$F:$F,4096)</f>
        <v>286</v>
      </c>
      <c r="E42" s="9" t="n">
        <f aca="false">SUMIFS(Data!$Q:$Q,Data!$C:$C,"CompressedStore",Data!$E:$E,"",Data!$F:$F,16384)</f>
        <v>72</v>
      </c>
    </row>
    <row r="43" customFormat="false" ht="15" hidden="false" customHeight="false" outlineLevel="0" collapsed="false">
      <c r="A43" s="8" t="s">
        <v>35</v>
      </c>
      <c r="B43" s="9" t="n">
        <f aca="false">SUMIFS(Data!$Q:$Q,Data!$C:$C,"LossyStore",Data!$E:$E,"",Data!$F:$F,256)</f>
        <v>4561</v>
      </c>
      <c r="C43" s="9" t="n">
        <f aca="false">SUMIFS(Data!$Q:$Q,Data!$C:$C,"LossyStore",Data!$E:$E,"",Data!$F:$F,1024)</f>
        <v>1141</v>
      </c>
      <c r="D43" s="9" t="n">
        <f aca="false">SUMIFS(Data!$Q:$Q,Data!$C:$C,"LossyStore",Data!$E:$E,"",Data!$F:$F,4096)</f>
        <v>286</v>
      </c>
      <c r="E43" s="9" t="n">
        <f aca="false">SUMIFS(Data!$Q:$Q,Data!$C:$C,"LossyStore",Data!$E:$E,"",Data!$F:$F,16384)</f>
        <v>72</v>
      </c>
    </row>
    <row r="44" customFormat="false" ht="15" hidden="false" customHeight="false" outlineLevel="0" collapsed="false">
      <c r="A44" s="8" t="s">
        <v>36</v>
      </c>
      <c r="B44" s="9" t="n">
        <f aca="false">SUMIFS(Data!$Q:$Q,Data!$C:$C,"LossyStore",Data!$E:$E,"0.1",Data!$F:$F,256)</f>
        <v>4561</v>
      </c>
      <c r="C44" s="9" t="n">
        <f aca="false">SUMIFS(Data!$Q:$Q,Data!$C:$C,"LossyStore",Data!$E:$E,"0.1",Data!$F:$F,1024)</f>
        <v>1141</v>
      </c>
      <c r="D44" s="9" t="n">
        <f aca="false">SUMIFS(Data!$Q:$Q,Data!$C:$C,"LossyStore",Data!$E:$E,"0.1",Data!$F:$F,4096)</f>
        <v>286</v>
      </c>
      <c r="E44" s="9" t="n">
        <f aca="false">SUMIFS(Data!$Q:$Q,Data!$C:$C,"LossyStore",Data!$E:$E,"0.1",Data!$F:$F,16384)</f>
        <v>72</v>
      </c>
    </row>
    <row r="45" customFormat="false" ht="15" hidden="false" customHeight="false" outlineLevel="0" collapsed="false">
      <c r="A45" s="8" t="s">
        <v>37</v>
      </c>
      <c r="B45" s="9" t="n">
        <f aca="false">SUMIFS(Data!$Q:$Q,Data!$C:$C,"LossyStore",Data!$E:$E,"1",Data!$F:$F,256)</f>
        <v>4561</v>
      </c>
      <c r="C45" s="9" t="n">
        <f aca="false">SUMIFS(Data!$Q:$Q,Data!$C:$C,"LossyStore",Data!$E:$E,"1",Data!$F:$F,1024)</f>
        <v>1141</v>
      </c>
      <c r="D45" s="9" t="n">
        <f aca="false">SUMIFS(Data!$Q:$Q,Data!$C:$C,"LossyStore",Data!$E:$E,"1",Data!$F:$F,4096)</f>
        <v>286</v>
      </c>
      <c r="E45" s="9" t="n">
        <f aca="false">SUMIFS(Data!$Q:$Q,Data!$C:$C,"LossyStore",Data!$E:$E,"1",Data!$F:$F,16384)</f>
        <v>72</v>
      </c>
    </row>
    <row r="46" customFormat="false" ht="15" hidden="false" customHeight="false" outlineLevel="0" collapsed="false">
      <c r="A46" s="8" t="s">
        <v>38</v>
      </c>
      <c r="B46" s="9" t="n">
        <f aca="false">SUMIFS(Data!$Q:$Q,Data!$C:$C,"LossyStore",Data!$E:$E,"5",Data!$F:$F,256)</f>
        <v>4561</v>
      </c>
      <c r="C46" s="9" t="n">
        <f aca="false">SUMIFS(Data!$Q:$Q,Data!$C:$C,"LossyStore",Data!$E:$E,"5",Data!$F:$F,1024)</f>
        <v>1141</v>
      </c>
      <c r="D46" s="9" t="n">
        <f aca="false">SUMIFS(Data!$Q:$Q,Data!$C:$C,"LossyStore",Data!$E:$E,"5",Data!$F:$F,4096)</f>
        <v>286</v>
      </c>
      <c r="E46" s="9" t="n">
        <f aca="false">SUMIFS(Data!$Q:$Q,Data!$C:$C,"LossyStore",Data!$E:$E,"5",Data!$F:$F,16384)</f>
        <v>72</v>
      </c>
    </row>
    <row r="48" customFormat="false" ht="15" hidden="false" customHeight="false" outlineLevel="0" collapsed="false">
      <c r="A48" s="10" t="s">
        <v>39</v>
      </c>
      <c r="B48" s="2" t="s">
        <v>148</v>
      </c>
    </row>
    <row r="49" customFormat="false" ht="15" hidden="false" customHeight="false" outlineLevel="0" collapsed="false">
      <c r="A49" s="10" t="s">
        <v>41</v>
      </c>
      <c r="B49" s="2" t="s">
        <v>149</v>
      </c>
    </row>
    <row r="51" customFormat="false" ht="15" hidden="false" customHeight="false" outlineLevel="0" collapsed="false">
      <c r="A51" s="5" t="s">
        <v>150</v>
      </c>
      <c r="B51" s="6"/>
      <c r="C51" s="6"/>
      <c r="D51" s="6"/>
      <c r="E51" s="6"/>
    </row>
    <row r="52" customFormat="false" ht="15" hidden="false" customHeight="false" outlineLevel="0" collapsed="false">
      <c r="A52" s="7" t="s">
        <v>28</v>
      </c>
      <c r="B52" s="7" t="s">
        <v>29</v>
      </c>
      <c r="C52" s="7" t="s">
        <v>30</v>
      </c>
      <c r="D52" s="7" t="s">
        <v>31</v>
      </c>
      <c r="E52" s="7" t="s">
        <v>32</v>
      </c>
    </row>
    <row r="53" customFormat="false" ht="15" hidden="false" customHeight="false" outlineLevel="0" collapsed="false">
      <c r="A53" s="8" t="s">
        <v>33</v>
      </c>
      <c r="B53" s="16" t="n">
        <f aca="false">SUMIFS(Data!$R:$R,Data!$C:$C,"FileStore",Data!$E:$E,"",Data!$F:$F,256)/MAX(1,SUMIFS(Data!$Q:$Q,Data!$C:$C,"FileStore",Data!$E:$E,"",Data!$F:$F,256))</f>
        <v>72.0096470072353</v>
      </c>
      <c r="C53" s="16" t="n">
        <f aca="false">SUMIFS(Data!$R:$R,Data!$C:$C,"FileStore",Data!$E:$E,"",Data!$F:$F,1024)/MAX(1,SUMIFS(Data!$Q:$Q,Data!$C:$C,"FileStore",Data!$E:$E,"",Data!$F:$F,1024))</f>
        <v>72.4592462751972</v>
      </c>
      <c r="D53" s="16" t="n">
        <f aca="false">SUMIFS(Data!$R:$R,Data!$C:$C,"FileStore",Data!$E:$E,"",Data!$F:$F,4096)/MAX(1,SUMIFS(Data!$Q:$Q,Data!$C:$C,"FileStore",Data!$E:$E,"",Data!$F:$F,4096))</f>
        <v>74.2517482517483</v>
      </c>
      <c r="E53" s="16" t="n">
        <f aca="false">SUMIFS(Data!$R:$R,Data!$C:$C,"FileStore",Data!$E:$E,"",Data!$F:$F,16384)/MAX(1,SUMIFS(Data!$Q:$Q,Data!$C:$C,"FileStore",Data!$E:$E,"",Data!$F:$F,16384))</f>
        <v>81.6111111111111</v>
      </c>
    </row>
    <row r="54" customFormat="false" ht="15" hidden="false" customHeight="false" outlineLevel="0" collapsed="false">
      <c r="A54" s="8" t="s">
        <v>34</v>
      </c>
      <c r="B54" s="16" t="n">
        <f aca="false">SUMIFS(Data!$R:$R,Data!$C:$C,"CompressedStore",Data!$E:$E,"",Data!$F:$F,256)/MAX(1,SUMIFS(Data!$Q:$Q,Data!$C:$C,"CompressedStore",Data!$E:$E,"",Data!$F:$F,256))</f>
        <v>41.0828765621574</v>
      </c>
      <c r="C54" s="16" t="n">
        <f aca="false">SUMIFS(Data!$R:$R,Data!$C:$C,"CompressedStore",Data!$E:$E,"",Data!$F:$F,1024)/MAX(1,SUMIFS(Data!$Q:$Q,Data!$C:$C,"CompressedStore",Data!$E:$E,"",Data!$F:$F,1024))</f>
        <v>41.3312883435583</v>
      </c>
      <c r="D54" s="16" t="n">
        <f aca="false">SUMIFS(Data!$R:$R,Data!$C:$C,"CompressedStore",Data!$E:$E,"",Data!$F:$F,4096)/MAX(1,SUMIFS(Data!$Q:$Q,Data!$C:$C,"CompressedStore",Data!$E:$E,"",Data!$F:$F,4096))</f>
        <v>42.3216783216783</v>
      </c>
      <c r="E54" s="16" t="n">
        <f aca="false">SUMIFS(Data!$R:$R,Data!$C:$C,"CompressedStore",Data!$E:$E,"",Data!$F:$F,16384)/MAX(1,SUMIFS(Data!$Q:$Q,Data!$C:$C,"CompressedStore",Data!$E:$E,"",Data!$F:$F,16384))</f>
        <v>46.25</v>
      </c>
    </row>
    <row r="55" customFormat="false" ht="15" hidden="false" customHeight="false" outlineLevel="0" collapsed="false">
      <c r="A55" s="8" t="s">
        <v>35</v>
      </c>
      <c r="B55" s="16" t="n">
        <f aca="false">SUMIFS(Data!$R:$R,Data!$C:$C,"LossyStore",Data!$E:$E,"",Data!$F:$F,256)/MAX(1,SUMIFS(Data!$Q:$Q,Data!$C:$C,"LossyStore",Data!$E:$E,"",Data!$F:$F,256))</f>
        <v>236.082876562157</v>
      </c>
      <c r="C55" s="16" t="n">
        <f aca="false">SUMIFS(Data!$R:$R,Data!$C:$C,"LossyStore",Data!$E:$E,"",Data!$F:$F,1024)/MAX(1,SUMIFS(Data!$Q:$Q,Data!$C:$C,"LossyStore",Data!$E:$E,"",Data!$F:$F,1024))</f>
        <v>236.331288343558</v>
      </c>
      <c r="D55" s="16" t="n">
        <f aca="false">SUMIFS(Data!$R:$R,Data!$C:$C,"LossyStore",Data!$E:$E,"",Data!$F:$F,4096)/MAX(1,SUMIFS(Data!$Q:$Q,Data!$C:$C,"LossyStore",Data!$E:$E,"",Data!$F:$F,4096))</f>
        <v>237.321678321678</v>
      </c>
      <c r="E55" s="16" t="n">
        <f aca="false">SUMIFS(Data!$R:$R,Data!$C:$C,"LossyStore",Data!$E:$E,"",Data!$F:$F,16384)/MAX(1,SUMIFS(Data!$Q:$Q,Data!$C:$C,"LossyStore",Data!$E:$E,"",Data!$F:$F,16384))</f>
        <v>241.25</v>
      </c>
    </row>
    <row r="56" customFormat="false" ht="15" hidden="false" customHeight="false" outlineLevel="0" collapsed="false">
      <c r="A56" s="8" t="s">
        <v>36</v>
      </c>
      <c r="B56" s="16" t="n">
        <f aca="false">SUMIFS(Data!$R:$R,Data!$C:$C,"LossyStore",Data!$E:$E,"0.1",Data!$F:$F,256)/MAX(1,SUMIFS(Data!$Q:$Q,Data!$C:$C,"LossyStore",Data!$E:$E,"0.1",Data!$F:$F,256))</f>
        <v>236.082876562157</v>
      </c>
      <c r="C56" s="16" t="n">
        <f aca="false">SUMIFS(Data!$R:$R,Data!$C:$C,"LossyStore",Data!$E:$E,"0.1",Data!$F:$F,1024)/MAX(1,SUMIFS(Data!$Q:$Q,Data!$C:$C,"LossyStore",Data!$E:$E,"0.1",Data!$F:$F,1024))</f>
        <v>236.331288343558</v>
      </c>
      <c r="D56" s="16" t="n">
        <f aca="false">SUMIFS(Data!$R:$R,Data!$C:$C,"LossyStore",Data!$E:$E,"0.1",Data!$F:$F,4096)/MAX(1,SUMIFS(Data!$Q:$Q,Data!$C:$C,"LossyStore",Data!$E:$E,"0.1",Data!$F:$F,4096))</f>
        <v>237.321678321678</v>
      </c>
      <c r="E56" s="16" t="n">
        <f aca="false">SUMIFS(Data!$R:$R,Data!$C:$C,"LossyStore",Data!$E:$E,"0.1",Data!$F:$F,16384)/MAX(1,SUMIFS(Data!$Q:$Q,Data!$C:$C,"LossyStore",Data!$E:$E,"0.1",Data!$F:$F,16384))</f>
        <v>241.25</v>
      </c>
    </row>
    <row r="57" customFormat="false" ht="15" hidden="false" customHeight="false" outlineLevel="0" collapsed="false">
      <c r="A57" s="8" t="s">
        <v>37</v>
      </c>
      <c r="B57" s="16" t="n">
        <f aca="false">SUMIFS(Data!$R:$R,Data!$C:$C,"LossyStore",Data!$E:$E,"1",Data!$F:$F,256)/MAX(1,SUMIFS(Data!$Q:$Q,Data!$C:$C,"LossyStore",Data!$E:$E,"1",Data!$F:$F,256))</f>
        <v>236.082876562157</v>
      </c>
      <c r="C57" s="16" t="n">
        <f aca="false">SUMIFS(Data!$R:$R,Data!$C:$C,"LossyStore",Data!$E:$E,"1",Data!$F:$F,1024)/MAX(1,SUMIFS(Data!$Q:$Q,Data!$C:$C,"LossyStore",Data!$E:$E,"1",Data!$F:$F,1024))</f>
        <v>236.331288343558</v>
      </c>
      <c r="D57" s="16" t="n">
        <f aca="false">SUMIFS(Data!$R:$R,Data!$C:$C,"LossyStore",Data!$E:$E,"1",Data!$F:$F,4096)/MAX(1,SUMIFS(Data!$Q:$Q,Data!$C:$C,"LossyStore",Data!$E:$E,"1",Data!$F:$F,4096))</f>
        <v>237.321678321678</v>
      </c>
      <c r="E57" s="16" t="n">
        <f aca="false">SUMIFS(Data!$R:$R,Data!$C:$C,"LossyStore",Data!$E:$E,"1",Data!$F:$F,16384)/MAX(1,SUMIFS(Data!$Q:$Q,Data!$C:$C,"LossyStore",Data!$E:$E,"1",Data!$F:$F,16384))</f>
        <v>241.25</v>
      </c>
    </row>
    <row r="58" customFormat="false" ht="15" hidden="false" customHeight="false" outlineLevel="0" collapsed="false">
      <c r="A58" s="8" t="s">
        <v>38</v>
      </c>
      <c r="B58" s="16" t="n">
        <f aca="false">SUMIFS(Data!$R:$R,Data!$C:$C,"LossyStore",Data!$E:$E,"5",Data!$F:$F,256)/MAX(1,SUMIFS(Data!$Q:$Q,Data!$C:$C,"LossyStore",Data!$E:$E,"5",Data!$F:$F,256))</f>
        <v>236.082876562157</v>
      </c>
      <c r="C58" s="16" t="n">
        <f aca="false">SUMIFS(Data!$R:$R,Data!$C:$C,"LossyStore",Data!$E:$E,"5",Data!$F:$F,1024)/MAX(1,SUMIFS(Data!$Q:$Q,Data!$C:$C,"LossyStore",Data!$E:$E,"5",Data!$F:$F,1024))</f>
        <v>236.331288343558</v>
      </c>
      <c r="D58" s="16" t="n">
        <f aca="false">SUMIFS(Data!$R:$R,Data!$C:$C,"LossyStore",Data!$E:$E,"5",Data!$F:$F,4096)/MAX(1,SUMIFS(Data!$Q:$Q,Data!$C:$C,"LossyStore",Data!$E:$E,"5",Data!$F:$F,4096))</f>
        <v>237.321678321678</v>
      </c>
      <c r="E58" s="16" t="n">
        <f aca="false">SUMIFS(Data!$R:$R,Data!$C:$C,"LossyStore",Data!$E:$E,"5",Data!$F:$F,16384)/MAX(1,SUMIFS(Data!$Q:$Q,Data!$C:$C,"LossyStore",Data!$E:$E,"5",Data!$F:$F,16384))</f>
        <v>241.25</v>
      </c>
    </row>
    <row r="82" customFormat="false" ht="15" hidden="false" customHeight="false" outlineLevel="0" collapsed="false">
      <c r="A82" s="10" t="s">
        <v>39</v>
      </c>
      <c r="B82" s="2" t="s">
        <v>151</v>
      </c>
    </row>
    <row r="83" customFormat="false" ht="15" hidden="false" customHeight="false" outlineLevel="0" collapsed="false">
      <c r="A83" s="10" t="s">
        <v>41</v>
      </c>
      <c r="B83" s="2" t="s">
        <v>152</v>
      </c>
    </row>
    <row r="85" customFormat="false" ht="15" hidden="false" customHeight="false" outlineLevel="0" collapsed="false">
      <c r="A85" s="5" t="s">
        <v>153</v>
      </c>
      <c r="B85" s="6"/>
      <c r="C85" s="6"/>
      <c r="D85" s="6"/>
      <c r="E85" s="6"/>
    </row>
    <row r="86" customFormat="false" ht="15" hidden="false" customHeight="false" outlineLevel="0" collapsed="false">
      <c r="A86" s="7" t="s">
        <v>28</v>
      </c>
      <c r="B86" s="7" t="s">
        <v>29</v>
      </c>
      <c r="C86" s="7" t="s">
        <v>30</v>
      </c>
      <c r="D86" s="7" t="s">
        <v>31</v>
      </c>
      <c r="E86" s="7" t="s">
        <v>32</v>
      </c>
    </row>
    <row r="87" customFormat="false" ht="15" hidden="false" customHeight="false" outlineLevel="0" collapsed="false">
      <c r="A87" s="8" t="s">
        <v>33</v>
      </c>
      <c r="B87" s="11" t="n">
        <f aca="false">100*SUMIFS(Data!$R:$R,Data!$C:$C,"FileStore",Data!$E:$E,"",Data!$F:$F,256)/MAX(1,SUMIFS(Data!$P:$P,Data!$C:$C,"FileStore",Data!$E:$E,"",Data!$F:$F,256))</f>
        <v>0.0274628472836146</v>
      </c>
      <c r="C87" s="11" t="n">
        <f aca="false">100*SUMIFS(Data!$R:$R,Data!$C:$C,"FileStore",Data!$E:$E,"",Data!$F:$F,1024)/MAX(1,SUMIFS(Data!$P:$P,Data!$C:$C,"FileStore",Data!$E:$E,"",Data!$F:$F,1024))</f>
        <v>0.00691454360420958</v>
      </c>
      <c r="D87" s="11" t="n">
        <f aca="false">100*SUMIFS(Data!$R:$R,Data!$C:$C,"FileStore",Data!$E:$E,"",Data!$F:$F,4096)/MAX(1,SUMIFS(Data!$P:$P,Data!$C:$C,"FileStore",Data!$E:$E,"",Data!$F:$F,4096))</f>
        <v>0.00177614777661912</v>
      </c>
      <c r="E87" s="11" t="n">
        <f aca="false">100*SUMIFS(Data!$R:$R,Data!$C:$C,"FileStore",Data!$E:$E,"",Data!$F:$F,16384)/MAX(1,SUMIFS(Data!$P:$P,Data!$C:$C,"FileStore",Data!$E:$E,"",Data!$F:$F,16384))</f>
        <v>0.000491466303231852</v>
      </c>
    </row>
    <row r="88" customFormat="false" ht="15" hidden="false" customHeight="false" outlineLevel="0" collapsed="false">
      <c r="A88" s="8" t="s">
        <v>34</v>
      </c>
      <c r="B88" s="11" t="n">
        <f aca="false">100*SUMIFS(Data!$R:$R,Data!$C:$C,"CompressedStore",Data!$E:$E,"",Data!$F:$F,256)/MAX(1,SUMIFS(Data!$P:$P,Data!$C:$C,"CompressedStore",Data!$E:$E,"",Data!$F:$F,256))</f>
        <v>0.0258590678524971</v>
      </c>
      <c r="C88" s="11" t="n">
        <f aca="false">100*SUMIFS(Data!$R:$R,Data!$C:$C,"CompressedStore",Data!$E:$E,"",Data!$F:$F,1024)/MAX(1,SUMIFS(Data!$P:$P,Data!$C:$C,"CompressedStore",Data!$E:$E,"",Data!$F:$F,1024))</f>
        <v>0.00651449611936941</v>
      </c>
      <c r="D88" s="11" t="n">
        <f aca="false">100*SUMIFS(Data!$R:$R,Data!$C:$C,"CompressedStore",Data!$E:$E,"",Data!$F:$F,4096)/MAX(1,SUMIFS(Data!$P:$P,Data!$C:$C,"CompressedStore",Data!$E:$E,"",Data!$F:$F,4096))</f>
        <v>0.00167233469861279</v>
      </c>
      <c r="E88" s="11" t="n">
        <f aca="false">100*SUMIFS(Data!$R:$R,Data!$C:$C,"CompressedStore",Data!$E:$E,"",Data!$F:$F,16384)/MAX(1,SUMIFS(Data!$P:$P,Data!$C:$C,"CompressedStore",Data!$E:$E,"",Data!$F:$F,16384))</f>
        <v>0.000460104748358931</v>
      </c>
    </row>
    <row r="89" customFormat="false" ht="15" hidden="false" customHeight="false" outlineLevel="0" collapsed="false">
      <c r="A89" s="8" t="s">
        <v>35</v>
      </c>
      <c r="B89" s="11" t="n">
        <f aca="false">100*SUMIFS(Data!$R:$R,Data!$C:$C,"LossyStore",Data!$E:$E,"",Data!$F:$F,256)/MAX(1,SUMIFS(Data!$P:$P,Data!$C:$C,"LossyStore",Data!$E:$E,"",Data!$F:$F,256))</f>
        <v>0.167389134766962</v>
      </c>
      <c r="C89" s="11" t="n">
        <f aca="false">100*SUMIFS(Data!$R:$R,Data!$C:$C,"LossyStore",Data!$E:$E,"",Data!$F:$F,1024)/MAX(1,SUMIFS(Data!$P:$P,Data!$C:$C,"LossyStore",Data!$E:$E,"",Data!$F:$F,1024))</f>
        <v>0.0421291402618665</v>
      </c>
      <c r="D89" s="11" t="n">
        <f aca="false">100*SUMIFS(Data!$R:$R,Data!$C:$C,"LossyStore",Data!$E:$E,"",Data!$F:$F,4096)/MAX(1,SUMIFS(Data!$P:$P,Data!$C:$C,"LossyStore",Data!$E:$E,"",Data!$F:$F,4096))</f>
        <v>0.0105049839612881</v>
      </c>
      <c r="E89" s="11" t="n">
        <f aca="false">100*SUMIFS(Data!$R:$R,Data!$C:$C,"LossyStore",Data!$E:$E,"",Data!$F:$F,16384)/MAX(1,SUMIFS(Data!$P:$P,Data!$C:$C,"LossyStore",Data!$E:$E,"",Data!$F:$F,16384))</f>
        <v>0.00266592705429309</v>
      </c>
    </row>
    <row r="90" customFormat="false" ht="15" hidden="false" customHeight="false" outlineLevel="0" collapsed="false">
      <c r="A90" s="8" t="s">
        <v>36</v>
      </c>
      <c r="B90" s="11" t="n">
        <f aca="false">100*SUMIFS(Data!$R:$R,Data!$C:$C,"LossyStore",Data!$E:$E,"0.1",Data!$F:$F,256)/MAX(1,SUMIFS(Data!$P:$P,Data!$C:$C,"LossyStore",Data!$E:$E,"0.1",Data!$F:$F,256))</f>
        <v>0.272200582171929</v>
      </c>
      <c r="C90" s="11" t="n">
        <f aca="false">100*SUMIFS(Data!$R:$R,Data!$C:$C,"LossyStore",Data!$E:$E,"0.1",Data!$F:$F,1024)/MAX(1,SUMIFS(Data!$P:$P,Data!$C:$C,"LossyStore",Data!$E:$E,"0.1",Data!$F:$F,1024))</f>
        <v>0.0664852903840734</v>
      </c>
      <c r="D90" s="11" t="n">
        <f aca="false">100*SUMIFS(Data!$R:$R,Data!$C:$C,"LossyStore",Data!$E:$E,"0.1",Data!$F:$F,4096)/MAX(1,SUMIFS(Data!$P:$P,Data!$C:$C,"LossyStore",Data!$E:$E,"0.1",Data!$F:$F,4096))</f>
        <v>0.0163241583317333</v>
      </c>
      <c r="E90" s="11" t="n">
        <f aca="false">100*SUMIFS(Data!$R:$R,Data!$C:$C,"LossyStore",Data!$E:$E,"0.1",Data!$F:$F,16384)/MAX(1,SUMIFS(Data!$P:$P,Data!$C:$C,"LossyStore",Data!$E:$E,"0.1",Data!$F:$F,16384))</f>
        <v>0.00410879017609984</v>
      </c>
    </row>
    <row r="91" customFormat="false" ht="15" hidden="false" customHeight="false" outlineLevel="0" collapsed="false">
      <c r="A91" s="8" t="s">
        <v>37</v>
      </c>
      <c r="B91" s="11" t="n">
        <f aca="false">100*SUMIFS(Data!$R:$R,Data!$C:$C,"LossyStore",Data!$E:$E,"1",Data!$F:$F,256)/MAX(1,SUMIFS(Data!$P:$P,Data!$C:$C,"LossyStore",Data!$E:$E,"1",Data!$F:$F,256))</f>
        <v>0.287198265105624</v>
      </c>
      <c r="C91" s="11" t="n">
        <f aca="false">100*SUMIFS(Data!$R:$R,Data!$C:$C,"LossyStore",Data!$E:$E,"1",Data!$F:$F,1024)/MAX(1,SUMIFS(Data!$P:$P,Data!$C:$C,"LossyStore",Data!$E:$E,"1",Data!$F:$F,1024))</f>
        <v>0.0699455927075924</v>
      </c>
      <c r="D91" s="11" t="n">
        <f aca="false">100*SUMIFS(Data!$R:$R,Data!$C:$C,"LossyStore",Data!$E:$E,"1",Data!$F:$F,4096)/MAX(1,SUMIFS(Data!$P:$P,Data!$C:$C,"LossyStore",Data!$E:$E,"1",Data!$F:$F,4096))</f>
        <v>0.0171194467413707</v>
      </c>
      <c r="E91" s="11" t="n">
        <f aca="false">100*SUMIFS(Data!$R:$R,Data!$C:$C,"LossyStore",Data!$E:$E,"1",Data!$F:$F,16384)/MAX(1,SUMIFS(Data!$P:$P,Data!$C:$C,"LossyStore",Data!$E:$E,"1",Data!$F:$F,16384))</f>
        <v>0.00431793065075242</v>
      </c>
    </row>
    <row r="92" customFormat="false" ht="15" hidden="false" customHeight="false" outlineLevel="0" collapsed="false">
      <c r="A92" s="8" t="s">
        <v>38</v>
      </c>
      <c r="B92" s="11" t="n">
        <f aca="false">100*SUMIFS(Data!$R:$R,Data!$C:$C,"LossyStore",Data!$E:$E,"5",Data!$F:$F,256)/MAX(1,SUMIFS(Data!$P:$P,Data!$C:$C,"LossyStore",Data!$E:$E,"5",Data!$F:$F,256))</f>
        <v>0.297389299966825</v>
      </c>
      <c r="C92" s="11" t="n">
        <f aca="false">100*SUMIFS(Data!$R:$R,Data!$C:$C,"LossyStore",Data!$E:$E,"5",Data!$F:$F,1024)/MAX(1,SUMIFS(Data!$P:$P,Data!$C:$C,"LossyStore",Data!$E:$E,"5",Data!$F:$F,1024))</f>
        <v>0.0727959901998748</v>
      </c>
      <c r="D92" s="11" t="n">
        <f aca="false">100*SUMIFS(Data!$R:$R,Data!$C:$C,"LossyStore",Data!$E:$E,"5",Data!$F:$F,4096)/MAX(1,SUMIFS(Data!$P:$P,Data!$C:$C,"LossyStore",Data!$E:$E,"5",Data!$F:$F,4096))</f>
        <v>0.0179422797805821</v>
      </c>
      <c r="E92" s="11" t="n">
        <f aca="false">100*SUMIFS(Data!$R:$R,Data!$C:$C,"LossyStore",Data!$E:$E,"5",Data!$F:$F,16384)/MAX(1,SUMIFS(Data!$P:$P,Data!$C:$C,"LossyStore",Data!$E:$E,"5",Data!$F:$F,16384))</f>
        <v>0.00456129846286395</v>
      </c>
    </row>
    <row r="94" customFormat="false" ht="15" hidden="false" customHeight="false" outlineLevel="0" collapsed="false">
      <c r="A94" s="10" t="s">
        <v>39</v>
      </c>
      <c r="B94" s="2" t="s">
        <v>154</v>
      </c>
    </row>
    <row r="95" customFormat="false" ht="15" hidden="false" customHeight="false" outlineLevel="0" collapsed="false">
      <c r="A95" s="10" t="s">
        <v>41</v>
      </c>
      <c r="B95" s="2"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5" min="2" style="0" width="15"/>
  </cols>
  <sheetData>
    <row r="1" customFormat="false" ht="15" hidden="false" customHeight="false" outlineLevel="0" collapsed="false">
      <c r="A1" s="15" t="s">
        <v>156</v>
      </c>
    </row>
    <row r="2" customFormat="false" ht="15" hidden="false" customHeight="false" outlineLevel="0" collapsed="false">
      <c r="A2" s="18" t="s">
        <v>157</v>
      </c>
      <c r="B2" s="19"/>
      <c r="C2" s="19"/>
      <c r="D2" s="19"/>
      <c r="E2" s="19"/>
    </row>
    <row r="4" customFormat="false" ht="15" hidden="false" customHeight="false" outlineLevel="0" collapsed="false">
      <c r="A4" s="5" t="s">
        <v>158</v>
      </c>
      <c r="B4" s="6"/>
      <c r="C4" s="6"/>
      <c r="D4" s="6"/>
      <c r="E4" s="6"/>
    </row>
    <row r="5" customFormat="false" ht="15" hidden="false" customHeight="false" outlineLevel="0" collapsed="false">
      <c r="A5" s="7" t="s">
        <v>28</v>
      </c>
      <c r="B5" s="7" t="s">
        <v>29</v>
      </c>
      <c r="C5" s="7" t="s">
        <v>30</v>
      </c>
      <c r="D5" s="7" t="s">
        <v>31</v>
      </c>
      <c r="E5" s="7" t="s">
        <v>32</v>
      </c>
    </row>
    <row r="6" customFormat="false" ht="15" hidden="false" customHeight="false" outlineLevel="0" collapsed="false">
      <c r="A6" s="8" t="s">
        <v>33</v>
      </c>
      <c r="B6" s="16" t="n">
        <f aca="false">100*SUMIFS(Data!$N:$N,Data!$C:$C,"FileStore",Data!$E:$E,"",Data!$F:$F,256)/MAX(0.0001,SUMIFS(Data!$L:$L,Data!$C:$C,"FileStore",Data!$E:$E,"",Data!$F:$F,256))</f>
        <v>25.5085065483355</v>
      </c>
      <c r="C6" s="16" t="n">
        <f aca="false">100*SUMIFS(Data!$N:$N,Data!$C:$C,"FileStore",Data!$E:$E,"",Data!$F:$F,1024)/MAX(0.0001,SUMIFS(Data!$L:$L,Data!$C:$C,"FileStore",Data!$E:$E,"",Data!$F:$F,1024))</f>
        <v>24.56117431459</v>
      </c>
      <c r="D6" s="16" t="n">
        <f aca="false">100*SUMIFS(Data!$N:$N,Data!$C:$C,"FileStore",Data!$E:$E,"",Data!$F:$F,4096)/MAX(0.0001,SUMIFS(Data!$L:$L,Data!$C:$C,"FileStore",Data!$E:$E,"",Data!$F:$F,4096))</f>
        <v>25.7434291811749</v>
      </c>
      <c r="E6" s="16" t="n">
        <f aca="false">100*SUMIFS(Data!$N:$N,Data!$C:$C,"FileStore",Data!$E:$E,"",Data!$F:$F,16384)/MAX(0.0001,SUMIFS(Data!$L:$L,Data!$C:$C,"FileStore",Data!$E:$E,"",Data!$F:$F,16384))</f>
        <v>25.4283987741536</v>
      </c>
    </row>
    <row r="7" customFormat="false" ht="15" hidden="false" customHeight="false" outlineLevel="0" collapsed="false">
      <c r="A7" s="8" t="s">
        <v>34</v>
      </c>
      <c r="B7" s="16" t="n">
        <f aca="false">100*SUMIFS(Data!$N:$N,Data!$C:$C,"CompressedStore",Data!$E:$E,"",Data!$F:$F,256)/MAX(0.0001,SUMIFS(Data!$L:$L,Data!$C:$C,"CompressedStore",Data!$E:$E,"",Data!$F:$F,256))</f>
        <v>39.0526334356369</v>
      </c>
      <c r="C7" s="16" t="n">
        <f aca="false">100*SUMIFS(Data!$N:$N,Data!$C:$C,"CompressedStore",Data!$E:$E,"",Data!$F:$F,1024)/MAX(0.0001,SUMIFS(Data!$L:$L,Data!$C:$C,"CompressedStore",Data!$E:$E,"",Data!$F:$F,1024))</f>
        <v>37.3153455777923</v>
      </c>
      <c r="D7" s="16" t="n">
        <f aca="false">100*SUMIFS(Data!$N:$N,Data!$C:$C,"CompressedStore",Data!$E:$E,"",Data!$F:$F,4096)/MAX(0.0001,SUMIFS(Data!$L:$L,Data!$C:$C,"CompressedStore",Data!$E:$E,"",Data!$F:$F,4096))</f>
        <v>38.4904793610458</v>
      </c>
      <c r="E7" s="16" t="n">
        <f aca="false">100*SUMIFS(Data!$N:$N,Data!$C:$C,"CompressedStore",Data!$E:$E,"",Data!$F:$F,16384)/MAX(0.0001,SUMIFS(Data!$L:$L,Data!$C:$C,"CompressedStore",Data!$E:$E,"",Data!$F:$F,16384))</f>
        <v>42.7805730277848</v>
      </c>
    </row>
    <row r="8" customFormat="false" ht="15" hidden="false" customHeight="false" outlineLevel="0" collapsed="false">
      <c r="A8" s="8" t="s">
        <v>35</v>
      </c>
      <c r="B8" s="16" t="n">
        <f aca="false">100*SUMIFS(Data!$N:$N,Data!$C:$C,"LossyStore",Data!$E:$E,"",Data!$F:$F,256)/MAX(0.0001,SUMIFS(Data!$L:$L,Data!$C:$C,"LossyStore",Data!$E:$E,"",Data!$F:$F,256))</f>
        <v>35.2465877502577</v>
      </c>
      <c r="C8" s="16" t="n">
        <f aca="false">100*SUMIFS(Data!$N:$N,Data!$C:$C,"LossyStore",Data!$E:$E,"",Data!$F:$F,1024)/MAX(0.0001,SUMIFS(Data!$L:$L,Data!$C:$C,"LossyStore",Data!$E:$E,"",Data!$F:$F,1024))</f>
        <v>32.9796665796202</v>
      </c>
      <c r="D8" s="16" t="n">
        <f aca="false">100*SUMIFS(Data!$N:$N,Data!$C:$C,"LossyStore",Data!$E:$E,"",Data!$F:$F,4096)/MAX(0.0001,SUMIFS(Data!$L:$L,Data!$C:$C,"LossyStore",Data!$E:$E,"",Data!$F:$F,4096))</f>
        <v>35.4557824789637</v>
      </c>
      <c r="E8" s="16" t="n">
        <f aca="false">100*SUMIFS(Data!$N:$N,Data!$C:$C,"LossyStore",Data!$E:$E,"",Data!$F:$F,16384)/MAX(0.0001,SUMIFS(Data!$L:$L,Data!$C:$C,"LossyStore",Data!$E:$E,"",Data!$F:$F,16384))</f>
        <v>36.5652757931712</v>
      </c>
    </row>
    <row r="9" customFormat="false" ht="15" hidden="false" customHeight="false" outlineLevel="0" collapsed="false">
      <c r="A9" s="8" t="s">
        <v>36</v>
      </c>
      <c r="B9" s="16" t="n">
        <f aca="false">100*SUMIFS(Data!$N:$N,Data!$C:$C,"LossyStore",Data!$E:$E,"0.1",Data!$F:$F,256)/MAX(0.0001,SUMIFS(Data!$L:$L,Data!$C:$C,"LossyStore",Data!$E:$E,"0.1",Data!$F:$F,256))</f>
        <v>35.036786824426</v>
      </c>
      <c r="C9" s="16" t="n">
        <f aca="false">100*SUMIFS(Data!$N:$N,Data!$C:$C,"LossyStore",Data!$E:$E,"0.1",Data!$F:$F,1024)/MAX(0.0001,SUMIFS(Data!$L:$L,Data!$C:$C,"LossyStore",Data!$E:$E,"0.1",Data!$F:$F,1024))</f>
        <v>31.554617560195</v>
      </c>
      <c r="D9" s="16" t="n">
        <f aca="false">100*SUMIFS(Data!$N:$N,Data!$C:$C,"LossyStore",Data!$E:$E,"0.1",Data!$F:$F,4096)/MAX(0.0001,SUMIFS(Data!$L:$L,Data!$C:$C,"LossyStore",Data!$E:$E,"0.1",Data!$F:$F,4096))</f>
        <v>31.1909865311871</v>
      </c>
      <c r="E9" s="16" t="n">
        <f aca="false">100*SUMIFS(Data!$N:$N,Data!$C:$C,"LossyStore",Data!$E:$E,"0.1",Data!$F:$F,16384)/MAX(0.0001,SUMIFS(Data!$L:$L,Data!$C:$C,"LossyStore",Data!$E:$E,"0.1",Data!$F:$F,16384))</f>
        <v>32.6673183913011</v>
      </c>
    </row>
    <row r="10" customFormat="false" ht="15" hidden="false" customHeight="false" outlineLevel="0" collapsed="false">
      <c r="A10" s="8" t="s">
        <v>37</v>
      </c>
      <c r="B10" s="16" t="n">
        <f aca="false">100*SUMIFS(Data!$N:$N,Data!$C:$C,"LossyStore",Data!$E:$E,"1",Data!$F:$F,256)/MAX(0.0001,SUMIFS(Data!$L:$L,Data!$C:$C,"LossyStore",Data!$E:$E,"1",Data!$F:$F,256))</f>
        <v>34.7548598457312</v>
      </c>
      <c r="C10" s="16" t="n">
        <f aca="false">100*SUMIFS(Data!$N:$N,Data!$C:$C,"LossyStore",Data!$E:$E,"1",Data!$F:$F,1024)/MAX(0.0001,SUMIFS(Data!$L:$L,Data!$C:$C,"LossyStore",Data!$E:$E,"1",Data!$F:$F,1024))</f>
        <v>32.805494949495</v>
      </c>
      <c r="D10" s="16" t="n">
        <f aca="false">100*SUMIFS(Data!$N:$N,Data!$C:$C,"LossyStore",Data!$E:$E,"1",Data!$F:$F,4096)/MAX(0.0001,SUMIFS(Data!$L:$L,Data!$C:$C,"LossyStore",Data!$E:$E,"1",Data!$F:$F,4096))</f>
        <v>31.9895454589293</v>
      </c>
      <c r="E10" s="16" t="n">
        <f aca="false">100*SUMIFS(Data!$N:$N,Data!$C:$C,"LossyStore",Data!$E:$E,"1",Data!$F:$F,16384)/MAX(0.0001,SUMIFS(Data!$L:$L,Data!$C:$C,"LossyStore",Data!$E:$E,"1",Data!$F:$F,16384))</f>
        <v>32.2235480654494</v>
      </c>
    </row>
    <row r="11" customFormat="false" ht="15" hidden="false" customHeight="false" outlineLevel="0" collapsed="false">
      <c r="A11" s="8" t="s">
        <v>38</v>
      </c>
      <c r="B11" s="16" t="n">
        <f aca="false">100*SUMIFS(Data!$N:$N,Data!$C:$C,"LossyStore",Data!$E:$E,"5",Data!$F:$F,256)/MAX(0.0001,SUMIFS(Data!$L:$L,Data!$C:$C,"LossyStore",Data!$E:$E,"5",Data!$F:$F,256))</f>
        <v>34.996456991641</v>
      </c>
      <c r="C11" s="16" t="n">
        <f aca="false">100*SUMIFS(Data!$N:$N,Data!$C:$C,"LossyStore",Data!$E:$E,"5",Data!$F:$F,1024)/MAX(0.0001,SUMIFS(Data!$L:$L,Data!$C:$C,"LossyStore",Data!$E:$E,"5",Data!$F:$F,1024))</f>
        <v>31.8985765998919</v>
      </c>
      <c r="D11" s="16" t="n">
        <f aca="false">100*SUMIFS(Data!$N:$N,Data!$C:$C,"LossyStore",Data!$E:$E,"5",Data!$F:$F,4096)/MAX(0.0001,SUMIFS(Data!$L:$L,Data!$C:$C,"LossyStore",Data!$E:$E,"5",Data!$F:$F,4096))</f>
        <v>33.3257693944121</v>
      </c>
      <c r="E11" s="16" t="n">
        <f aca="false">100*SUMIFS(Data!$N:$N,Data!$C:$C,"LossyStore",Data!$E:$E,"5",Data!$F:$F,16384)/MAX(0.0001,SUMIFS(Data!$L:$L,Data!$C:$C,"LossyStore",Data!$E:$E,"5",Data!$F:$F,16384))</f>
        <v>34.3930379746835</v>
      </c>
    </row>
    <row r="35" customFormat="false" ht="15" hidden="false" customHeight="false" outlineLevel="0" collapsed="false">
      <c r="A35" s="10" t="s">
        <v>39</v>
      </c>
      <c r="B35" s="2" t="s">
        <v>159</v>
      </c>
    </row>
    <row r="36" customFormat="false" ht="15" hidden="false" customHeight="false" outlineLevel="0" collapsed="false">
      <c r="A36" s="10" t="s">
        <v>41</v>
      </c>
      <c r="B36" s="2" t="s">
        <v>160</v>
      </c>
    </row>
    <row r="38" customFormat="false" ht="15" hidden="false" customHeight="false" outlineLevel="0" collapsed="false">
      <c r="A38" s="5" t="s">
        <v>161</v>
      </c>
      <c r="B38" s="6"/>
      <c r="C38" s="6"/>
      <c r="D38" s="6"/>
      <c r="E38" s="6"/>
    </row>
    <row r="39" customFormat="false" ht="15" hidden="false" customHeight="false" outlineLevel="0" collapsed="false">
      <c r="A39" s="2" t="s">
        <v>162</v>
      </c>
    </row>
    <row r="40" customFormat="false" ht="15" hidden="false" customHeight="false" outlineLevel="0" collapsed="false">
      <c r="A40" s="7" t="s">
        <v>163</v>
      </c>
      <c r="B40" s="7" t="s">
        <v>29</v>
      </c>
      <c r="C40" s="7" t="s">
        <v>30</v>
      </c>
      <c r="D40" s="7" t="s">
        <v>31</v>
      </c>
      <c r="E40" s="7" t="s">
        <v>32</v>
      </c>
    </row>
    <row r="41" customFormat="false" ht="15" hidden="false" customHeight="false" outlineLevel="0" collapsed="false">
      <c r="A41" s="8" t="s">
        <v>164</v>
      </c>
      <c r="B41" s="11" t="n">
        <f aca="false">SUMIFS(Data!$K:$K,Data!$C:$C,"FileStore",Data!$E:$E,"",Data!$F:$F,256)</f>
        <v>20.7321</v>
      </c>
      <c r="C41" s="11" t="n">
        <f aca="false">SUMIFS(Data!$K:$K,Data!$C:$C,"FileStore",Data!$E:$E,"",Data!$F:$F,1024)</f>
        <v>20.7883</v>
      </c>
      <c r="D41" s="11" t="n">
        <f aca="false">SUMIFS(Data!$K:$K,Data!$C:$C,"FileStore",Data!$E:$E,"",Data!$F:$F,4096)</f>
        <v>21.1554</v>
      </c>
      <c r="E41" s="11" t="n">
        <f aca="false">SUMIFS(Data!$K:$K,Data!$C:$C,"FileStore",Data!$E:$E,"",Data!$F:$F,16384)</f>
        <v>20.7318</v>
      </c>
    </row>
    <row r="42" customFormat="false" ht="15" hidden="false" customHeight="false" outlineLevel="0" collapsed="false">
      <c r="A42" s="8" t="s">
        <v>165</v>
      </c>
      <c r="B42" s="16" t="n">
        <f aca="false">1195600000/(SUMIFS(Data!$K:$K,Data!$C:$C,"FileStore",Data!$E:$E,"",Data!$F:$F,256))/1000000</f>
        <v>57.6690253278732</v>
      </c>
      <c r="C42" s="16" t="n">
        <f aca="false">1195600000/(SUMIFS(Data!$K:$K,Data!$C:$C,"FileStore",Data!$E:$E,"",Data!$F:$F,1024))/1000000</f>
        <v>57.5131203609723</v>
      </c>
      <c r="D42" s="16" t="n">
        <f aca="false">1195600000/(SUMIFS(Data!$K:$K,Data!$C:$C,"FileStore",Data!$E:$E,"",Data!$F:$F,4096))/1000000</f>
        <v>56.5151214347164</v>
      </c>
      <c r="E42" s="16" t="n">
        <f aca="false">1195600000/(SUMIFS(Data!$K:$K,Data!$C:$C,"FileStore",Data!$E:$E,"",Data!$F:$F,16384))/1000000</f>
        <v>57.6698598288619</v>
      </c>
    </row>
    <row r="44" customFormat="false" ht="15" hidden="false" customHeight="false" outlineLevel="0" collapsed="false">
      <c r="A44" s="10" t="s">
        <v>39</v>
      </c>
      <c r="B44" s="2" t="s">
        <v>166</v>
      </c>
    </row>
    <row r="45" customFormat="false" ht="15" hidden="false" customHeight="false" outlineLevel="0" collapsed="false">
      <c r="A45" s="10" t="s">
        <v>41</v>
      </c>
      <c r="B45" s="2" t="s">
        <v>167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12"/>
  </cols>
  <sheetData>
    <row r="1" customFormat="false" ht="15" hidden="false" customHeight="false" outlineLevel="0" collapsed="false">
      <c r="A1" s="15" t="s">
        <v>168</v>
      </c>
    </row>
    <row r="2" customFormat="false" ht="15" hidden="false" customHeight="false" outlineLevel="0" collapsed="false">
      <c r="A2" s="2" t="s">
        <v>169</v>
      </c>
    </row>
    <row r="4" customFormat="false" ht="15" hidden="false" customHeight="false" outlineLevel="0" collapsed="false">
      <c r="A4" s="3" t="s">
        <v>170</v>
      </c>
      <c r="B4" s="4" t="s">
        <v>171</v>
      </c>
    </row>
    <row r="6" customFormat="false" ht="15" hidden="false" customHeight="false" outlineLevel="0" collapsed="false">
      <c r="A6" s="3" t="s">
        <v>172</v>
      </c>
      <c r="B6" s="4" t="s">
        <v>173</v>
      </c>
    </row>
    <row r="8" customFormat="false" ht="15" hidden="false" customHeight="false" outlineLevel="0" collapsed="false">
      <c r="A8" s="3" t="s">
        <v>174</v>
      </c>
      <c r="B8" s="4"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2026-10-08T05:40:10Z</dcterms:created>
  <dc:creator>openpyxl</dc:creator>
  <dc:description/>
  <dc:language>en-US</dc:language>
  <cp:lastModifiedBy/>
  <dcterms:modified xsi:type="dcterms:W3CDTF">2026-10-08T07:40:12Z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