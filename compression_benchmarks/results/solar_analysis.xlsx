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12.xml.rels" ContentType="application/vnd.openxmlformats-package.relationships+xml"/>
  <Override PartName="/xl/worksheets/_rels/sheet11.xml.rels" ContentType="application/vnd.openxmlformats-package.relationships+xml"/>
  <Override PartName="/xl/worksheets/_rels/sheet10.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2.xml" ContentType="application/vnd.openxmlformats-officedocument.drawingml.chart+xml"/>
  <Override PartName="/xl/charts/chart11.xml" ContentType="application/vnd.openxmlformats-officedocument.drawingml.chart+xml"/>
  <Override PartName="/xl/charts/chart10.xml" ContentType="application/vnd.openxmlformats-officedocument.drawingml.chart+xml"/>
  <Override PartName="/xl/charts/chart9.xml" ContentType="application/vnd.openxmlformats-officedocument.drawingml.chart+xml"/>
  <Override PartName="/xl/charts/chart8.xml" ContentType="application/vnd.openxmlformats-officedocument.drawingml.chart+xml"/>
  <Override PartName="/xl/charts/chart18.xml" ContentType="application/vnd.openxmlformats-officedocument.drawingml.chart+xml"/>
  <Override PartName="/xl/charts/chart6.xml" ContentType="application/vnd.openxmlformats-officedocument.drawingml.chart+xml"/>
  <Override PartName="/xl/charts/chart17.xml" ContentType="application/vnd.openxmlformats-officedocument.drawingml.chart+xml"/>
  <Override PartName="/xl/charts/chart5.xml" ContentType="application/vnd.openxmlformats-officedocument.drawingml.chart+xml"/>
  <Override PartName="/xl/charts/chart16.xml" ContentType="application/vnd.openxmlformats-officedocument.drawingml.chart+xml"/>
  <Override PartName="/xl/charts/chart4.xml" ContentType="application/vnd.openxmlformats-officedocument.drawingml.chart+xml"/>
  <Override PartName="/xl/charts/chart15.xml" ContentType="application/vnd.openxmlformats-officedocument.drawingml.chart+xml"/>
  <Override PartName="/xl/charts/chart3.xml" ContentType="application/vnd.openxmlformats-officedocument.drawingml.chart+xml"/>
  <Override PartName="/xl/charts/chart14.xml" ContentType="application/vnd.openxmlformats-officedocument.drawingml.chart+xml"/>
  <Override PartName="/xl/charts/chart2.xml" ContentType="application/vnd.openxmlformats-officedocument.drawingml.chart+xml"/>
  <Override PartName="/xl/charts/chart1.xml" ContentType="application/vnd.openxmlformats-officedocument.drawingml.chart+xml"/>
  <Override PartName="/xl/charts/chart13.xml" ContentType="application/vnd.openxmlformats-officedocument.drawingml.chart+xml"/>
  <Override PartName="/xl/charts/chart7.xml" ContentType="application/vnd.openxmlformats-officedocument.drawingml.chart+xml"/>
  <Override PartName="/xl/drawings/_rels/drawing6.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 Me" sheetId="1" state="visible" r:id="rId2"/>
    <sheet name="Standalone" sheetId="2" state="visible" r:id="rId3"/>
    <sheet name="Chained" sheetId="3" state="visible" r:id="rId4"/>
    <sheet name="Float Column" sheetId="4" state="visible" r:id="rId5"/>
    <sheet name="Lossy Breakdown" sheetId="5" state="visible" r:id="rId6"/>
    <sheet name="A1 Ratio by Unit" sheetId="6" state="visible" r:id="rId7"/>
    <sheet name="Dataset" sheetId="7" state="visible" r:id="rId8"/>
    <sheet name="A2 Chaining Cost" sheetId="8" state="visible" r:id="rId9"/>
    <sheet name="A3 Accuracy and Float" sheetId="9" state="visible" r:id="rId10"/>
    <sheet name="A4 Overhead and Timing" sheetId="10" state="visible" r:id="rId11"/>
    <sheet name="A5 Float Column Detail" sheetId="11" state="visible" r:id="rId12"/>
    <sheet name="A6 Lossy Stage Breakdown" sheetId="12" state="visible" r:id="rId13"/>
    <sheet name="Anomalies" sheetId="13"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<sst xmlns="http://schemas.openxmlformats.org/spreadsheetml/2006/main" count="1001" uniqueCount="341">
  <si>
    <t xml:space="preserve">Solar panel readings — replay store compression, full scale</t>
  </si>
  <si>
    <t xml:space="preserve">Measured through the real SQL query path, not by calling the codecs directly. One run per configuration (N=1).</t>
  </si>
  <si>
    <t xml:space="preserve">WHAT WAS MEASURED</t>
  </si>
  <si>
    <t xml:space="preserve">Input</t>
  </si>
  <si>
    <t xml:space="preserve">42,700,000 rows x 28 B = 1,195,600,000 B (1.11 GiB) of DEBS solar panel readings</t>
  </si>
  <si>
    <t xml:space="preserve">Unit sizes</t>
  </si>
  <si>
    <t xml:space="preserve">256, 1024, 4096, 16384 KB. 16 and 64 KB were dropped: at this volume they are granule bookkeeping, not a codec measurement.</t>
  </si>
  <si>
    <t xml:space="preserve">Standalone</t>
  </si>
  <si>
    <t xml:space="preserve">6 configurations. NO MemoryStore -- standing alone it holds ~8 MB and would have wrapped ~150 times, measuring an evicting store.</t>
  </si>
  <si>
    <t xml:space="preserve">Chained</t>
  </si>
  <si>
    <t xml:space="preserve">5 configurations, MemoryStore -&gt; FileStore -&gt; tail.</t>
  </si>
  <si>
    <t xml:space="preserve">Float column</t>
  </si>
  <si>
    <t xml:space="preserve">9 accuracy bounds from lossless to 20%, write-only, at default unit sizes.</t>
  </si>
  <si>
    <t xml:space="preserve">Repeats</t>
  </si>
  <si>
    <t xml:space="preserve">N=1. Byte counts are deterministic and exact; TIMINGS are single samples and should not be read to better than a few percent.</t>
  </si>
  <si>
    <t xml:space="preserve">HEADLINE FINDINGS</t>
  </si>
  <si>
    <t xml:space="preserve">Solar is hard</t>
  </si>
  <si>
    <t xml:space="preserve">Best ratio 3.31 (LossyStore, 5%, 256 KB) against wind's 8.33. Predicted by the data: producerId is a shuffled permutation of 0..42.7M so nothing can compress it, and the timestamp has no repeating delta.</t>
  </si>
  <si>
    <t xml:space="preserve">Smaller is better</t>
  </si>
  <si>
    <t xml:space="preserve">Every BOUNDED configuration compresses BETTER at smaller units, monotonically. This is the opposite of the usual expectation. See Anomalies.</t>
  </si>
  <si>
    <t xml:space="preserve">zstd does not care</t>
  </si>
  <si>
    <t xml:space="preserve">CompressedStore is 1.650 -&gt; 1.652 across a 64x change in unit size. Flat.</t>
  </si>
  <si>
    <t xml:space="preserve">Chaining is free here</t>
  </si>
  <si>
    <t xml:space="preserve">Chained ratios are within 0.5% of standalone. FileStore keeps only 0.35-0.93% of the stream raw, because its 4 MB flush threshold is tiny relative to 1.2 GB.</t>
  </si>
  <si>
    <t xml:space="preserve">The bound buys a lot</t>
  </si>
  <si>
    <t xml:space="preserve">The float column is 51% of a lossless store and stored RAW. The very first bound, 0.01%, removes 73.6% of it.</t>
  </si>
  <si>
    <t xml:space="preserve">Decode is now flat</t>
  </si>
  <si>
    <t xml:space="preserve">85-95 s at every unit size. Before the per-cursor decode buffer was added, a 16384 KB unit would have cost 64x a 256 KB one.</t>
  </si>
  <si>
    <t xml:space="preserve">HOW TO READ THIS WORKBOOK</t>
  </si>
  <si>
    <t xml:space="preserve">Green figures</t>
  </si>
  <si>
    <t xml:space="preserve">Formulas computed by the sheet. Black figures are measurements.</t>
  </si>
  <si>
    <t xml:space="preserve">Data sheets</t>
  </si>
  <si>
    <t xml:space="preserve">Standalone, Chained and Float Column hold the CSVs verbatim. Everything else is derived from them by formula, so correcting a measurement moves the analysis.</t>
  </si>
  <si>
    <t xml:space="preserve">ratio_on_data</t>
  </si>
  <si>
    <t xml:space="preserve">bytes_in / data_out -- framing excluded. Compares codecs.</t>
  </si>
  <si>
    <t xml:space="preserve">ratio_on_disk</t>
  </si>
  <si>
    <t xml:space="preserve">bytes_in / disk_bytes -- framing included. What it costs to keep.</t>
  </si>
  <si>
    <t xml:space="preserve">ratio_on_tail</t>
  </si>
  <si>
    <t xml:space="preserve">Chained only. Excludes the bytes FileStore is still holding raw, so it is what the tail codec achieved on what it was actually handed.</t>
  </si>
  <si>
    <t xml:space="preserve">Anomalies sheet</t>
  </si>
  <si>
    <t xml:space="preserve">Read it before quoting any single number. Four results here are not what a reader would predict and one is unexplained.</t>
  </si>
  <si>
    <t xml:space="preserve">dataset</t>
  </si>
  <si>
    <t xml:space="preserve">configuration</t>
  </si>
  <si>
    <t xml:space="preserve">store_order</t>
  </si>
  <si>
    <t xml:space="preserve">tail_tier</t>
  </si>
  <si>
    <t xml:space="preserve">bound_pct</t>
  </si>
  <si>
    <t xml:space="preserve">unit_kb</t>
  </si>
  <si>
    <t xml:space="preserve">rows</t>
  </si>
  <si>
    <t xml:space="preserve">row_width_bytes</t>
  </si>
  <si>
    <t xml:space="preserve">bytes_in</t>
  </si>
  <si>
    <t xml:space="preserve">encode_s</t>
  </si>
  <si>
    <t xml:space="preserve">decode_s</t>
  </si>
  <si>
    <t xml:space="preserve">data_out</t>
  </si>
  <si>
    <t xml:space="preserve">disk_bytes</t>
  </si>
  <si>
    <t xml:space="preserve">framing_bytes</t>
  </si>
  <si>
    <t xml:space="preserve">framing_ratio</t>
  </si>
  <si>
    <t xml:space="preserve">units</t>
  </si>
  <si>
    <t xml:space="preserve">runs</t>
  </si>
  <si>
    <t xml:space="preserve">filestore_segment_kb</t>
  </si>
  <si>
    <t xml:space="preserve">filestore_total_mb</t>
  </si>
  <si>
    <t xml:space="preserve">filestore_files_at_capacity</t>
  </si>
  <si>
    <t xml:space="preserve">filestore_flush_threshold_kb</t>
  </si>
  <si>
    <t xml:space="preserve">lossystore_group_kb</t>
  </si>
  <si>
    <t xml:space="preserve">compressedstore_segment_kb</t>
  </si>
  <si>
    <t xml:space="preserve">compressedstore_level</t>
  </si>
  <si>
    <t xml:space="preserve">memorystore_max_buffer_count</t>
  </si>
  <si>
    <t xml:space="preserve">pool_buffer_bytes</t>
  </si>
  <si>
    <t xml:space="preserve">flush_threshold</t>
  </si>
  <si>
    <t xml:space="preserve">merge_factor</t>
  </si>
  <si>
    <t xml:space="preserve">MemoryStore_data</t>
  </si>
  <si>
    <t xml:space="preserve">MemoryStore_disk</t>
  </si>
  <si>
    <t xml:space="preserve">FileStore_data</t>
  </si>
  <si>
    <t xml:space="preserve">FileStore_disk</t>
  </si>
  <si>
    <t xml:space="preserve">CompressedStore_data</t>
  </si>
  <si>
    <t xml:space="preserve">CompressedStore_disk</t>
  </si>
  <si>
    <t xml:space="preserve">LossyStore_data</t>
  </si>
  <si>
    <t xml:space="preserve">LossyStore_disk</t>
  </si>
  <si>
    <t xml:space="preserve">debs_solar_panels</t>
  </si>
  <si>
    <t xml:space="preserve">standalone</t>
  </si>
  <si>
    <t xml:space="preserve">CompressedStore</t>
  </si>
  <si>
    <t xml:space="preserve">1MB</t>
  </si>
  <si>
    <t xml:space="preserve">LossyStore</t>
  </si>
  <si>
    <t xml:space="preserve">FileStore</t>
  </si>
  <si>
    <t xml:space="preserve">chained</t>
  </si>
  <si>
    <t xml:space="preserve">MemoryStore-&gt;FileStore-&gt;CompressedStore</t>
  </si>
  <si>
    <t xml:space="preserve">MemoryStore-&gt;FileStore-&gt;LossyStore</t>
  </si>
  <si>
    <t xml:space="preserve">column</t>
  </si>
  <si>
    <t xml:space="preserve">type</t>
  </si>
  <si>
    <t xml:space="preserve">is_quantisable</t>
  </si>
  <si>
    <t xml:space="preserve">groups</t>
  </si>
  <si>
    <t xml:space="preserve">bytes</t>
  </si>
  <si>
    <t xml:space="preserve">bytes_per_row</t>
  </si>
  <si>
    <t xml:space="preserve">vs_lossless_bytes</t>
  </si>
  <si>
    <t xml:space="preserve">vs_lossless_pct</t>
  </si>
  <si>
    <t xml:space="preserve">codec</t>
  </si>
  <si>
    <t xml:space="preserve">worst_recorded_error</t>
  </si>
  <si>
    <t xml:space="preserve">producerId</t>
  </si>
  <si>
    <t xml:space="preserve">INT32</t>
  </si>
  <si>
    <t xml:space="preserve">no</t>
  </si>
  <si>
    <t xml:space="preserve">ForBitpack</t>
  </si>
  <si>
    <t xml:space="preserve">groupId</t>
  </si>
  <si>
    <t xml:space="preserve">producedPower</t>
  </si>
  <si>
    <t xml:space="preserve">FLOAT64</t>
  </si>
  <si>
    <t xml:space="preserve">yes</t>
  </si>
  <si>
    <t xml:space="preserve">Raw</t>
  </si>
  <si>
    <t xml:space="preserve">ts</t>
  </si>
  <si>
    <t xml:space="preserve">UINT64</t>
  </si>
  <si>
    <t xml:space="preserve">Quantized</t>
  </si>
  <si>
    <t xml:space="preserve">raw_bytes</t>
  </si>
  <si>
    <t xml:space="preserve">raw_bits_per_value</t>
  </si>
  <si>
    <t xml:space="preserve">quantised_code_bytes</t>
  </si>
  <si>
    <t xml:space="preserve">quantised_bits_per_value</t>
  </si>
  <si>
    <t xml:space="preserve">quantise_ratio</t>
  </si>
  <si>
    <t xml:space="preserve">header_bytes</t>
  </si>
  <si>
    <t xml:space="preserve">bitpacked_bytes</t>
  </si>
  <si>
    <t xml:space="preserve">bitpacked_bits_per_value</t>
  </si>
  <si>
    <t xml:space="preserve">bitpack_ratio</t>
  </si>
  <si>
    <t xml:space="preserve">zstd_bytes</t>
  </si>
  <si>
    <t xml:space="preserve">zstd_bits_per_value</t>
  </si>
  <si>
    <t xml:space="preserve">final_ratio</t>
  </si>
  <si>
    <t xml:space="preserve">zstd_saved_bytes</t>
  </si>
  <si>
    <t xml:space="preserve">zstd_saved_pct</t>
  </si>
  <si>
    <t xml:space="preserve">zstd_kept_groups</t>
  </si>
  <si>
    <t xml:space="preserve">zstd_kept_share</t>
  </si>
  <si>
    <t xml:space="preserve">x_from_quantise_bitpack</t>
  </si>
  <si>
    <t xml:space="preserve">x_from_zstd</t>
  </si>
  <si>
    <t xml:space="preserve">What the unit size buys</t>
  </si>
  <si>
    <t xml:space="preserve">The unit is the granule a tier seals on: FileStore's segment, LossyStore's group, CompressedStore's segment. All three move together in this sweep.</t>
  </si>
  <si>
    <t xml:space="preserve">STANDALONE  -  ratio_on_data (bytes_in / data_out)</t>
  </si>
  <si>
    <t xml:space="preserve">One store, no tiering. Higher is better.</t>
  </si>
  <si>
    <t xml:space="preserve">Configuration</t>
  </si>
  <si>
    <t xml:space="preserve">256 KB</t>
  </si>
  <si>
    <t xml:space="preserve">1024 KB</t>
  </si>
  <si>
    <t xml:space="preserve">4096 KB</t>
  </si>
  <si>
    <t xml:space="preserve">16384 KB</t>
  </si>
  <si>
    <t xml:space="preserve">LossyStore lossless</t>
  </si>
  <si>
    <t xml:space="preserve">LossyStore 0.1%</t>
  </si>
  <si>
    <t xml:space="preserve">LossyStore 1%</t>
  </si>
  <si>
    <t xml:space="preserve">LossyStore 5%</t>
  </si>
  <si>
    <t xml:space="preserve">WHAT THIS SHOWS</t>
  </si>
  <si>
    <t xml:space="preserve">Each line is one store configuration; the x axis is the granule it seals on, 64x from left to right.</t>
  </si>
  <si>
    <t xml:space="preserve">WHAT TO LOOK FOR</t>
  </si>
  <si>
    <t xml:space="preserve">The three BOUNDED lossy lines all slope DOWN -- smaller units compress better. That is backwards from the usual intuition and is Anomaly 1. CompressedStore is a flat line at 1.65: zstd does not care about the block size here. FileStore is flat at 1.0 by definition, it is the baseline.</t>
  </si>
  <si>
    <t xml:space="preserve">STANDALONE  -  ratio_on_disk (framing included)</t>
  </si>
  <si>
    <t xml:space="preserve">Same, but counting file headers, preallocated tables and per-unit descriptors. FIVE decimals on purpose -- see the note below.</t>
  </si>
  <si>
    <t xml:space="preserve">What the data actually costs to keep, as opposed to what the codec produced.</t>
  </si>
  <si>
    <t xml:space="preserve">It sits almost exactly on top of the previous chart. On WIND these two diverged by up to 10.8% at a 16 KB unit; here the gap is under 0.3% everywhere, because 1.2 GB is far too much data for per-unit framing to matter.</t>
  </si>
  <si>
    <t xml:space="preserve">WHY FILESTORE LOOKS LIKE EXACTLY 1: it is not. Its framing is 328,436 B at 256 KB falling to 5,876 B at 16384 KB, so the ratio is 0.99973 .. 0.99999. At three decimal places that rounds to 1.000 and the framing disappears. This table therefore shows five. A ratio is the wrong instrument for an overhead this small against 1.2 GB -- the byte table below is the honest one.</t>
  </si>
  <si>
    <t xml:space="preserve">FRAMING IN BYTES  -  disk_bytes minus data_out</t>
  </si>
  <si>
    <t xml:space="preserve">The same overhead stated absolutely, where nothing is lost to rounding.</t>
  </si>
  <si>
    <t xml:space="preserve">Actual bytes of bookkeeping per configuration, on a log axis because the range is 1000x.</t>
  </si>
  <si>
    <t xml:space="preserve">Every line falls ~4x per step, tracking the unit count exactly -- framing is per-unit, so four times fewer units means four times less of it. LossyStore pays the most (236 B per group: a 36 B group header plus 50 B per column), FileStore the least. Even LossyStore's worst case here, about 1.1 MB, is 0.09% of the file.</t>
  </si>
  <si>
    <t xml:space="preserve">CHAINED  -  ratio_on_data (the whole chain)</t>
  </si>
  <si>
    <t xml:space="preserve">MemoryStore -&gt; FileStore -&gt; tail. Counts whatever FileStore is still holding raw.</t>
  </si>
  <si>
    <t xml:space="preserve">-&gt; CompressedStore</t>
  </si>
  <si>
    <t xml:space="preserve">-&gt; LossyStore lossless</t>
  </si>
  <si>
    <t xml:space="preserve">-&gt; LossyStore 0.1%</t>
  </si>
  <si>
    <t xml:space="preserve">-&gt; LossyStore 1%</t>
  </si>
  <si>
    <t xml:space="preserve">-&gt; LossyStore 5%</t>
  </si>
  <si>
    <t xml:space="preserve">The same sweep, but through the full three-tier chain instead of a single store.</t>
  </si>
  <si>
    <t xml:space="preserve">It should look almost identical to the standalone chart, and it does. Everything the chain costs is in the next sheet; the short version is 0.4%.</t>
  </si>
  <si>
    <t xml:space="preserve">What the solar data looks like</t>
  </si>
  <si>
    <t xml:space="preserve">From dataset_analysis.py over the whole 1.49 GB CSV: exact distinct counts via a disk-backed sort, extents and decimal places in one streaming pass.</t>
  </si>
  <si>
    <t xml:space="preserve">FACTS</t>
  </si>
  <si>
    <t xml:space="preserve">source_file</t>
  </si>
  <si>
    <t xml:space="preserve">large/debs/SOLAR_PANELS_TOPIC_1G.csv</t>
  </si>
  <si>
    <t xml:space="preserve">csv_bytes</t>
  </si>
  <si>
    <t xml:space="preserve">columns</t>
  </si>
  <si>
    <t xml:space="preserve">stored_row_width_bytes</t>
  </si>
  <si>
    <t xml:space="preserve">stored_bytes_total</t>
  </si>
  <si>
    <t xml:space="preserve">truncated</t>
  </si>
  <si>
    <t xml:space="preserve">no - the whole shipped file</t>
  </si>
  <si>
    <t xml:space="preserve">timestamp_sorted</t>
  </si>
  <si>
    <t xml:space="preserve">True</t>
  </si>
  <si>
    <t xml:space="preserve">timestamp_distinct_deltas</t>
  </si>
  <si>
    <t xml:space="preserve">&gt;4096</t>
  </si>
  <si>
    <t xml:space="preserve">timestamp_delta_pattern</t>
  </si>
  <si>
    <t xml:space="preserve">irregular - over 4096 distinct deltas, no repeating cycle; min 0, max 743465, mean 40342.3</t>
  </si>
  <si>
    <t xml:space="preserve">timestamp_delta_min</t>
  </si>
  <si>
    <t xml:space="preserve">timestamp_delta_max</t>
  </si>
  <si>
    <t xml:space="preserve">timestamp_delta_mean</t>
  </si>
  <si>
    <t xml:space="preserve">40342.3</t>
  </si>
  <si>
    <t xml:space="preserve">timestamp_range</t>
  </si>
  <si>
    <t xml:space="preserve">1680357514 .. 1724294922528</t>
  </si>
  <si>
    <t xml:space="preserve">PER COLUMN</t>
  </si>
  <si>
    <t xml:space="preserve">sql_type</t>
  </si>
  <si>
    <t xml:space="preserve">payload_bytes</t>
  </si>
  <si>
    <t xml:space="preserve">null_indicator_bytes</t>
  </si>
  <si>
    <t xml:space="preserve">stored_bytes_per_value</t>
  </si>
  <si>
    <t xml:space="preserve">distinct_values</t>
  </si>
  <si>
    <t xml:space="preserve">distinct_pct</t>
  </si>
  <si>
    <t xml:space="preserve">min</t>
  </si>
  <si>
    <t xml:space="preserve">max</t>
  </si>
  <si>
    <t xml:space="preserve">decimal_places</t>
  </si>
  <si>
    <t xml:space="preserve">quantisable_by_accuracy_bound</t>
  </si>
  <si>
    <t xml:space="preserve">example</t>
  </si>
  <si>
    <t xml:space="preserve">1:395/2:3867/3:38507/4:383836/5:3845749/6:38427646</t>
  </si>
  <si>
    <t xml:space="preserve">timestamp</t>
  </si>
  <si>
    <t xml:space="preserve">WHY THIS MATTERS FOR COMPRESSION</t>
  </si>
  <si>
    <t xml:space="preserve">42,700,000 distinct over exactly 0..42,699,999 -- a shuffled permutation of the row numbers. No dictionary, no run length, and delta-of-delta is worse than useless on a shuffled sequence. Bitpacking alone: 32 bits -&gt; 26.</t>
  </si>
  <si>
    <t xml:space="preserve">4 distinct. Two bits of real information, and the one column that compresses freely.</t>
  </si>
  <si>
    <t xml:space="preserve">97.90% distinct at six decimal places. The ONLY quantisable column, so every byte an accuracy bound saves comes out of this one.</t>
  </si>
  <si>
    <t xml:space="preserve">Monotonic, so deltas are positive -- but over 4096 distinct deltas with no cycle, mean 40,342 and max 743,465. Delta plus bitpack takes 64 bits to about 20.</t>
  </si>
  <si>
    <t xml:space="preserve">Against wind</t>
  </si>
  <si>
    <t xml:space="preserve">Wind had 26 distinct producerIds and exactly TWO distinct timestamp deltas. That is why its ratios are 2-2.5x these, and why it shows a zigzag that solar does not.</t>
  </si>
  <si>
    <t xml:space="preserve">What the tier chain costs</t>
  </si>
  <si>
    <t xml:space="preserve">FileStore migrates to the tail once it has accumulated its flush threshold, and keeps the remainder UNCOMPRESSED. That remainder is what a chain costs.</t>
  </si>
  <si>
    <t xml:space="preserve">BYTES FILESTORE IS STILL HOLDING, RAW</t>
  </si>
  <si>
    <t xml:space="preserve">Read straight off the store files.</t>
  </si>
  <si>
    <t xml:space="preserve">As a share of the whole stream:</t>
  </si>
  <si>
    <t xml:space="preserve">The fraction of the 1.2 GB that never reached a compressing tier.</t>
  </si>
  <si>
    <t xml:space="preserve">Everything is between 0.35% and 0.93%, so the chain compresses essentially all of it. The bars step up at 16384 KB because the leftover is one SEGMENT and the segment got bigger -- not because the chain behaved differently.</t>
  </si>
  <si>
    <t xml:space="preserve">CHAINED RATIO / STANDALONE RATIO</t>
  </si>
  <si>
    <t xml:space="preserve">1.000 would mean the chain gave up nothing at all against a single store.</t>
  </si>
  <si>
    <t xml:space="preserve">How much of a single store's compression the three-tier chain keeps.</t>
  </si>
  <si>
    <t xml:space="preserve">Everything is 0.995 to 1.001, so chaining is free at this scale. On WIND the same figure was 0.67 to 0.87 -- the chain gave up 13-33%. The difference is NOT the code: the flush threshold is a fixed 4 MB, which is 6.6% of wind's 5.6 MB but 0.2% of solar's 1.2 GB. Three cells read slightly ABOVE 1.000, which should be impossible; see Anomaly 3.</t>
  </si>
  <si>
    <t xml:space="preserve">What the accuracy bound buys</t>
  </si>
  <si>
    <t xml:space="preserve">The bound reaches floating point columns and nothing else. Here that is exactly one column of four, producedPower.</t>
  </si>
  <si>
    <t xml:space="preserve">STANDALONE LOSSYSTORE  -  ratio by bound</t>
  </si>
  <si>
    <t xml:space="preserve">Four lines: lossless, then 0.1%, 1% and 5% error allowances, each across the unit-size sweep.</t>
  </si>
  <si>
    <t xml:space="preserve">The gap between the lossless line and the others is what quantisation buys -- roughly 1.6x to 1.8x. The lines do not cross, so a wider bound always beats a tighter one at whole-store level. That is NOT true column by column: see the float table below and Anomaly 2.</t>
  </si>
  <si>
    <t xml:space="preserve">GAIN OVER LOSSLESS AT THE SAME UNIT SIZE</t>
  </si>
  <si>
    <t xml:space="preserve">Bounded ratio divided by the lossless ratio. 1.00 would mean the bound bought nothing.</t>
  </si>
  <si>
    <t xml:space="preserve">How much better each bound is than storing the same data losslessly.</t>
  </si>
  <si>
    <t xml:space="preserve">The gain SHRINKS as the unit grows -- 1.78x at 256 KB down to 1.71x at 16384 KB for the 5% bound, and the same direction at 0.1% and 1%. Both the lossless and the bounded ratios fall with unit size, but the bounded ones fall faster (-5.2% against -1.4% over the sweep), so quantisation is worth relatively LESS at coarse granularity. That points the same way as Anomaly 1: on this data, small units and tight bounds.</t>
  </si>
  <si>
    <t xml:space="preserve">THE FLOAT COLUMN ALONE  -  producedPower, all 9 bounds</t>
  </si>
  <si>
    <t xml:space="preserve">Measured at the DEFAULT unit size, write-only. The three other columns are the control: if a bound moved them, something would be wrong.</t>
  </si>
  <si>
    <t xml:space="preserve">bound %</t>
  </si>
  <si>
    <t xml:space="preserve">bytes/row</t>
  </si>
  <si>
    <t xml:space="preserve">vs lossless</t>
  </si>
  <si>
    <t xml:space="preserve">worst error</t>
  </si>
  <si>
    <t xml:space="preserve">error ceiling</t>
  </si>
  <si>
    <t xml:space="preserve">HIGHLIGHTED ROW: the 5% bound produces a LARGER column than the 2% bound, +2.88%. A looser error allowance should never cost more bytes. See Anomaly 2.</t>
  </si>
  <si>
    <t xml:space="preserve">Losslessly this column is stored Raw at 7.65 B/row for an 8-byte value and is 326 MB -- about 51% of the whole lossless store. That is why the very first bound, 0.01%, removes 73.6% of it.</t>
  </si>
  <si>
    <t xml:space="preserve">'worst error' is the encoder's own accounting, not an independent check against the source rows. It tracks the ceiling closely at every bound, which is reassuring but not proof.</t>
  </si>
  <si>
    <t xml:space="preserve">Framing, unit counts and time</t>
  </si>
  <si>
    <t xml:space="preserve">FRAMING AS A SHARE OF THE FILE</t>
  </si>
  <si>
    <t xml:space="preserve">File header, preallocated table and per-unit descriptors, over disk_bytes.</t>
  </si>
  <si>
    <t xml:space="preserve">How much of each file is bookkeeping rather than data.</t>
  </si>
  <si>
    <t xml:space="preserve">Under 0.3% everywhere, and falling with unit size as you would expect. On WIND this reached 10.8% at a 16 KB unit and drove the choice of unit size; at 1.2 GB it is irrelevant. This is the clearest way in which conclusions from the small dataset do not transfer.</t>
  </si>
  <si>
    <t xml:space="preserve">UNITS WRITTEN</t>
  </si>
  <si>
    <t xml:space="preserve">How many granules each unit size produces. 4,561 at 256 KB down to 72 at 16384 KB.</t>
  </si>
  <si>
    <t xml:space="preserve">A clean 4x step each time, which confirms the sweep actually changed what it claimed to. Framing tracks this line exactly.</t>
  </si>
  <si>
    <t xml:space="preserve">ENCODE SECONDS</t>
  </si>
  <si>
    <t xml:space="preserve">Wall time of the write query. N=1, so read these to a few percent at best.</t>
  </si>
  <si>
    <t xml:space="preserve">The 256 KB column is 12-19% slower than everything to its right, consistently across all six configurations -- that is 4,561 seal operations against 72. Beyond 1024 KB it is flat.</t>
  </si>
  <si>
    <t xml:space="preserve">DECODE SECONDS</t>
  </si>
  <si>
    <t xml:space="preserve">Wall time of the read-back query.</t>
  </si>
  <si>
    <t xml:space="preserve">FLAT at 85-95 s across a 64x change in unit size. This is the headline result for the decode cache added before this run: previously a tier re-decoded its whole unit on every 4 KB output buffer, so a 16384 KB unit cost 64x a 256 KB one. One cell stands out -- FileStore at 16384 KB, 113.6 s -- see Anomaly 4.</t>
  </si>
  <si>
    <t xml:space="preserve">producedPower — what the bound actually achieves on the one column it touches</t>
  </si>
  <si>
    <t xml:space="preserve">A FLOAT64 costs 8 bytes, so 42,700,000 rows of it are 341,600,000 B unencoded. Every ratio here is against that, which is the number a whole-store ratio cannot show you.</t>
  </si>
  <si>
    <t xml:space="preserve">Measured at the DEFAULT unit size, write-only, so these do not vary with the unit sweep on the other sheets.</t>
  </si>
  <si>
    <t xml:space="preserve">PER BOUND</t>
  </si>
  <si>
    <t xml:space="preserve">stored bytes</t>
  </si>
  <si>
    <t xml:space="preserve">bits per value</t>
  </si>
  <si>
    <t xml:space="preserve">x vs FLOAT64</t>
  </si>
  <si>
    <t xml:space="preserve">x vs lossless stored</t>
  </si>
  <si>
    <t xml:space="preserve">marginal step</t>
  </si>
  <si>
    <t xml:space="preserve">share of whole store</t>
  </si>
  <si>
    <t xml:space="preserve">Three views of the same nine measurements: the ratio achieved, the bits each value ends up costing, and how much of the store this column still accounts for.</t>
  </si>
  <si>
    <t xml:space="preserve">LOSSLESS IS THE STORY: 61.185 bits per value, a ratio of 1.046. Storing these floats without loss saves 4.6% and nothing more -- 97.9% of them are distinct at six decimal places, so there is almost no redundancy to find. The codec recorded for that row is literally 'Raw'.</t>
  </si>
  <si>
    <t xml:space="preserve">THE FIRST BOUND IS WORTH MORE THAN ALL THE OTHERS COMBINED. Going from lossless to 0.01% takes 61.2 bits to 16.2 and removes 240 MB -- a 3.95x ratio from a bound so tight it permits an absolute error of 0.0001. Every later widening, all the way out to 20%, only takes it from 3.95x to 11.24x.</t>
  </si>
  <si>
    <t xml:space="preserve">THE STEPS ARE LUMPY, not a smooth curve: -73.6%, -17.2%, -17.7%, -8.4%, -23.4%, +2.9%, -20.2%, -10.4%. A smooth rate-distortion curve would not look like this, because the quantiser picks INTEGER bit widths and the bound only bites when it crosses a width boundary.</t>
  </si>
  <si>
    <t xml:space="preserve">CAUTION -- 'bits per value' here is measured from the STORED bytes, so it mixes two stages: the quantiser's bit width AND a zstd pass over the packed codes. They can move in opposite directions. At 2% the quantiser uses 9 bits and zstd recovers 17.3%; at 5% it uses 7 bits and zstd recovers 1.7%. That is the whole of Anomaly 2, and it means this column cannot be read as a measure of the quantiser alone.</t>
  </si>
  <si>
    <t xml:space="preserve">THE COLUMN STOPS BEING THE PROBLEM. At lossless it is 51.3% of the store; by 20% it is 8.9%. Past about 1% the bound is no longer where the bytes are -- producerId and ts are, and neither can be quantised. That is the ceiling on what accuracy can buy for this dataset.</t>
  </si>
  <si>
    <t xml:space="preserve">ALL FOUR COLUMNS, LOSSLESS — why the other three cannot be helped</t>
  </si>
  <si>
    <t xml:space="preserve">unencoded width</t>
  </si>
  <si>
    <t xml:space="preserve">x vs raw</t>
  </si>
  <si>
    <t xml:space="preserve">8 B</t>
  </si>
  <si>
    <t xml:space="preserve">4 B</t>
  </si>
  <si>
    <t xml:space="preserve">producerId gets 1.18x: it is a shuffled permutation of 0..42,699,999, so the only thing available is bitpacking 32 bits down to the 27 the range needs. groupId gets 10.5x because it holds four distinct values in 3 bits. ts gets 2.28x -- 28 bits, which is roughly the span of one group, so it is bitpacking against the group range rather than exploiting a delta pattern, because solar has none.</t>
  </si>
  <si>
    <t xml:space="preserve">None of those three is a FLOAT, so no accuracy bound can touch them. They are the control that proves the bound only moved what it should, and they are also the hard floor: 310 MB of the store is columns that quantisation cannot reach.</t>
  </si>
  <si>
    <t xml:space="preserve">LossyStore, stage by stage — where the bytes actually go</t>
  </si>
  <si>
    <t xml:space="preserve">LossyStore.cpp:309-315 encodes a quantisable column in three steps: quantizeColumn turns doubles into integer grid codes and picks a bitWidth; bitPack writes bitWidth bits per code behind an 18 B header; then zstd runs over the result and is KEPT ONLY IF SMALLER.</t>
  </si>
  <si>
    <t xml:space="preserve">QUANTISATION ON ITS OWN SAVES NOTHING. It produces uint64 codes -- still eight bytes each, in memory. What it earns is a small bitWidth, and that only becomes bytes when bitPack runs. The two are therefore reported as ONE multiplier; splitting them would invent a saving that does not exist.</t>
  </si>
  <si>
    <t xml:space="preserve">BITS PER VALUE AT EACH STAGE, AND WHAT EACH STAGE MULTIPLIED</t>
  </si>
  <si>
    <t xml:space="preserve">raw</t>
  </si>
  <si>
    <t xml:space="preserve">after quantise+bitpack</t>
  </si>
  <si>
    <t xml:space="preserve">after zstd</t>
  </si>
  <si>
    <t xml:space="preserve">x from quantise+bitpack</t>
  </si>
  <si>
    <t xml:space="preserve">x from zstd</t>
  </si>
  <si>
    <t xml:space="preserve">final x</t>
  </si>
  <si>
    <t xml:space="preserve">zstd kept</t>
  </si>
  <si>
    <t xml:space="preserve">The same nine bounds seen three ways: the bits a value costs after packing and after zstd, the multiplier each stage contributed, and how often zstd was worth keeping at all.</t>
  </si>
  <si>
    <t xml:space="preserve">THE LOSSY STAGE HAS NO ANOMALY IN IT. 'x from quantise+bitpack' climbs 1.00, 3.99, 5.10, 6.31, 7.00, 7.85, 9.06, 10.54, 12.58 -- monotonic, no reversal anywhere. Every irregularity in the final ratio comes from the other line.</t>
  </si>
  <si>
    <t xml:space="preserve">ZSTD IS THE ERRATIC STAGE: x1.063, 1.056, 1.011, 1.011, 1.004, 1.209, 1.014, 1.134, 1.085. It swings between contributing nothing and contributing 21%, with no trend in the bound at all.</t>
  </si>
  <si>
    <t xml:space="preserve">ANOMALY 2, IN ONE LINE (highlighted rows). At 2% the packed form is 8.1520 bits and zstd takes it to 6.7455 -- x1.2085, kept in 91% of groups. At 5% the packed form is BETTER at 7.0644 bits, but zstd only reaches 6.9686 -- x1.0137, kept in 39%. The quantiser did its job; zstd handed the advantage back, and 5% ends up larger.</t>
  </si>
  <si>
    <t xml:space="preserve">WHY: at 9 bits the packing is loose relative to the codes' entropy, so zstd finds slack. At 7 bits it is already near-entropy and there is nothing left. Tighter bitpacking starves the general-purpose compressor. The 'zstd kept' bars track this exactly -- 91% and 100% where zstd pays, 13% to 45% where it does not.</t>
  </si>
  <si>
    <t xml:space="preserve">THE FIX IS VISIBLE FROM HERE: LossyStore.cpp:314 keeps whichever of packed or zstd(packed) is smaller, but the BIT WIDTH was already fixed before that comparison. A width that packs tightly and compresses badly is never compared against a looser one that compresses well.</t>
  </si>
  <si>
    <t xml:space="preserve">REPRODUCED AT TWO SCALES</t>
  </si>
  <si>
    <t xml:space="preserve">The same measurement on 1,000,000 rows and on 42,700,000 -- 42.7x the data.</t>
  </si>
  <si>
    <t xml:space="preserve">quantity</t>
  </si>
  <si>
    <t xml:space="preserve">1,000,000 rows</t>
  </si>
  <si>
    <t xml:space="preserve">42,700,000 rows</t>
  </si>
  <si>
    <t xml:space="preserve">bits after pack</t>
  </si>
  <si>
    <t xml:space="preserve">Agreement to four decimal places at 42.7x the input. This is not sampling noise, and the 1M input is therefore enough to chase the cause on.</t>
  </si>
  <si>
    <t xml:space="preserve">Four things that are not what a reader would predict</t>
  </si>
  <si>
    <t xml:space="preserve">Read this before quoting any single number. Anomaly 2 is unexplained and could be a defect; the others are understood or benign.</t>
  </si>
  <si>
    <t xml:space="preserve">ANOMALY 1   —   Bounded ratios get WORSE as the unit grows</t>
  </si>
  <si>
    <t xml:space="preserve">STATUS</t>
  </si>
  <si>
    <t xml:space="preserve">CONFIRMED in the source — mechanism identified</t>
  </si>
  <si>
    <t xml:space="preserve">WHAT</t>
  </si>
  <si>
    <t xml:space="preserve">All three bounded LossyStore configurations fall monotonically with unit size. At 5%: 3.312 -&gt; 3.230 -&gt; 3.161 -&gt; 3.140 across 256 -&gt; 16384 KB. Same shape at 0.1% and 1%.</t>
  </si>
  <si>
    <t xml:space="preserve">WHY IT IS ODD</t>
  </si>
  <si>
    <t xml:space="preserve">The usual expectation is the opposite. A bigger block normally gives a compressor more context and a better ratio, and that is what CompressedStore does here (flat, very slightly up). Wind showed a non-monotonic zigzag, not a clean decline.</t>
  </si>
  <si>
    <t xml:space="preserve">BEST GUESS</t>
  </si>
  <si>
    <t xml:space="preserve">CONFIRMED by reading Quantize.cpp:108-141. The quantiser is LOGARITHMIC: deltaLog = 2*log1p(bound/100) depends on the bound and nothing else, and the code for a value is (log|v| - log(minMagnitude)) / deltaLog, so maxCode is set by the GROUP's own magnitude span. bitWidth = bitWidthFor(maxCode). A smaller group spans a narrower slice of the column's 2.5e-05 .. 999.999996 range, so maxCode is smaller and fewer bits are needed. The source comment says the step depends on the bound 'and on nothing else', which leaves the group span as the only other variable.</t>
  </si>
  <si>
    <t xml:space="preserve">HOW TO SETTLE IT</t>
  </si>
  <si>
    <t xml:space="preserve">Settled. log2(logSpan/deltaLog) predicts the measured bits per value to within 0.48 bits at every bound except 2%, and 2% is explained by Anomaly 2.</t>
  </si>
  <si>
    <t xml:space="preserve">WHY IT MATTERS</t>
  </si>
  <si>
    <t xml:space="preserve">If it holds, the advice for this kind of data is the opposite of the usual: pick the SMALLEST unit that framing allows. At 1.2 GB framing is under 0.3% even at 256 KB, so there is nothing pushing back.</t>
  </si>
  <si>
    <t xml:space="preserve">ANOMALY 2   —   The 5% bound produces MORE bytes than the 2% bound</t>
  </si>
  <si>
    <t xml:space="preserve">EXPLAINED — the zstd second pass, not the quantiser</t>
  </si>
  <si>
    <t xml:space="preserve">producedPower alone: 2% gives 41,348,630 B, 5% gives 42,539,407 B. The looser bound costs 2.88% MORE. Every other step in the nine-bound sweep decreases.</t>
  </si>
  <si>
    <t xml:space="preserve">A wider error allowance can always fall back on the tighter encoding, so it should never be worse. This is the one result here that looks like it could be a defect rather than a property of the data.</t>
  </si>
  <si>
    <t xml:space="preserve">RESOLVED by reading the stored group headers at both bounds (1M-row input, 428 groups each). The QUANTISER behaves correctly -- at 5% it picks a 7-bit width against 2%'s 9-bit, and its bitpacked output is SMALLER: 7.070 bits/value against 8.151. The inversion is entirely the zstd pass applied afterwards: it is kept in 392 of 428 groups at 2%, recovering 17.26%, but in only 187 of 428 at 5%, recovering 1.68%. That 15.6-point gap more than cancels the bit the quantiser saved. At 9 bits the packing is loose relative to the codes' entropy and zstd mops up the slack; at 7 bits it is already near-entropy and there is nothing left to find.</t>
  </si>
  <si>
    <t xml:space="preserve">Settled by direct inspection of valuesLength against uncompressedLength per group, plus the bitWidth byte in each column payload. Not a defect: two stages optimising independently, the second giving back what the first gained.</t>
  </si>
  <si>
    <t xml:space="preserve">A user asking for 5% still gets a bigger file than one asking for 2%, so 'wider bound, smaller file' is not a guarantee and should not be stated as one. But the cause is now known and actionable: the encoder could try both the packed and the zstd-of-packed form and keep the smaller, which it already does per group -- the gap is that the BIT WIDTH is chosen before zstd is considered, so a width that packs tightly but compresses badly is never compared against a looser one that compresses well.</t>
  </si>
  <si>
    <t xml:space="preserve">ANOMALY 3   —   Three chained rows beat their standalone equivalent</t>
  </si>
  <si>
    <t xml:space="preserve">Small, explicable, but N=1</t>
  </si>
  <si>
    <t xml:space="preserve">At 4096 KB: LossyStore lossless 1.851 vs 1.851 (+0.02%), 0.1% 2.879 vs 2.876 (+0.10%), 1% 3.020 vs 3.016 (+0.12%). Three of twenty rows.</t>
  </si>
  <si>
    <t xml:space="preserve">A chain holds some data uncompressed, so it should never beat the pure codec. The excess is tiny -- at most 0.12% -- but it is the wrong sign.</t>
  </si>
  <si>
    <t xml:space="preserve">Group BOUNDARIES differ between the two paths. Standalone LossyStore accumulates 4 KB input buffers until it reaches groupSize; chained, FileStore hands it whole sealed segments. The groups therefore contain different row sets, and on data this irregular that can go either way by a fraction of a percent.</t>
  </si>
  <si>
    <t xml:space="preserve">Re-run those three points at N=3 and see whether the sign is stable. If it is, compare debugGroupRanges between the two paths at 4096 KB.</t>
  </si>
  <si>
    <t xml:space="preserve">Barely, at 0.12%. It matters for how the number is DESCRIBED: 'chaining is free' is supportable, 'chaining is free or slightly better' is not, at N=1.</t>
  </si>
  <si>
    <t xml:space="preserve">ANOMALY 4   —   FileStore decode at 16384 KB is 113.6 s against a median of 93</t>
  </si>
  <si>
    <t xml:space="preserve">Single sample, unexplained, probably worth one re-run</t>
  </si>
  <si>
    <t xml:space="preserve">Every other decode in the 24-row standalone sweep is 84.8-95.2 s. This one cell is 113.6 s, 13.4 median-absolute-deviations out. FileStore does no decoding at all -- it stores rows row-major and uncompressed -- so there is nothing for a unit size to make slower.</t>
  </si>
  <si>
    <t xml:space="preserve">It is the only configuration where unit size should not touch decode at all, and it is the only large outlier.</t>
  </si>
  <si>
    <t xml:space="preserve">Most likely ordinary interference -- it was the last configuration of the last grid point, so page cache and disk state were at their worst. Alternatively the 16 MB segment interacts with the read path's buffering. Nothing in the data distinguishes these.</t>
  </si>
  <si>
    <t xml:space="preserve">Re-run that single point. Two minutes of work and it either vanishes or it does not.</t>
  </si>
  <si>
    <t xml:space="preserve">Only if decode timings are quoted per configuration. It does not touch any byte count.</t>
  </si>
  <si>
    <t xml:space="preserve">THINGS THAT ARE NOT ANOMALIES, CHECKED</t>
  </si>
  <si>
    <t xml:space="preserve">No eviction</t>
  </si>
  <si>
    <t xml:space="preserve">FileStore's data_out is exactly 1,195,600,000 B at all four unit sizes -- byte for byte the input. The capacity was raised to 4096 MB over 4 files for the standalone run precisely so this would hold.</t>
  </si>
  <si>
    <t xml:space="preserve">Bound touches one column</t>
  </si>
  <si>
    <t xml:space="preserve">producerId, groupId and ts each have exactly ONE byte count across all nine bounds, all on ForBitpack. The accuracy bound moved the float and nothing else.</t>
  </si>
  <si>
    <t xml:space="preserve">Unit sweep really swept</t>
  </si>
  <si>
    <t xml:space="preserve">Unit counts step cleanly 4,561 / 1,141 / 286 / 72 -- a clean 4x each time. The headers were genuinely patched at each point.</t>
  </si>
  <si>
    <t xml:space="preserve">LossyStore lossless dips</t>
  </si>
  <si>
    <t xml:space="preserve">1.862 / 1.869 / 1.851 / 1.835 -- peaks at 1024 KB rather than falling monotonically like the bounded lines. The swing is 1.8%, far smaller than wind's 40-49%, and it is the lossless path so no quantiser is involved. Noted, not pursued.</t>
  </si>
</sst>
</file>

<file path=xl/styles.xml><?xml version="1.0" encoding="utf-8"?>
<styleSheet xmlns="http://schemas.openxmlformats.org/spreadsheetml/2006/main">
  <numFmts count="12">
    <numFmt numFmtId="164" formatCode="General"/>
    <numFmt numFmtId="165" formatCode="0.000"/>
    <numFmt numFmtId="166" formatCode="0.00000"/>
    <numFmt numFmtId="167" formatCode="#,##0"/>
    <numFmt numFmtId="168" formatCode="0.00%"/>
    <numFmt numFmtId="169" formatCode="0.0%"/>
    <numFmt numFmtId="170" formatCode="0.000000"/>
    <numFmt numFmtId="171" formatCode="0.0000%"/>
    <numFmt numFmtId="172" formatCode="0.0"/>
    <numFmt numFmtId="173" formatCode="\+0.00%;\-0.00%"/>
    <numFmt numFmtId="174" formatCode="0.00"/>
    <numFmt numFmtId="175" formatCode="0.0000"/>
  </numFmts>
  <fonts count="15">
    <font>
      <sz val="11"/>
      <color rgb="FF000000"/>
      <name val="Calibri"/>
      <family val="2"/>
      <charset val="1"/>
    </font>
    <font>
      <sz val="10"/>
      <name val="Arial"/>
      <family val="0"/>
    </font>
    <font>
      <sz val="10"/>
      <name val="Arial"/>
      <family val="0"/>
    </font>
    <font>
      <sz val="10"/>
      <name val="Arial"/>
      <family val="0"/>
    </font>
    <font>
      <b val="true"/>
      <sz val="16"/>
      <name val="Arial"/>
      <family val="0"/>
      <charset val="1"/>
    </font>
    <font>
      <i val="true"/>
      <sz val="11"/>
      <color rgb="FF555555"/>
      <name val="Arial"/>
      <family val="0"/>
      <charset val="1"/>
    </font>
    <font>
      <b val="true"/>
      <sz val="11"/>
      <name val="Arial"/>
      <family val="0"/>
      <charset val="1"/>
    </font>
    <font>
      <b val="true"/>
      <sz val="11"/>
      <color rgb="FFFFFFFF"/>
      <name val="Arial"/>
      <family val="0"/>
      <charset val="1"/>
    </font>
    <font>
      <sz val="11"/>
      <name val="Arial"/>
      <family val="0"/>
      <charset val="1"/>
    </font>
    <font>
      <b val="true"/>
      <sz val="14"/>
      <name val="Arial"/>
      <family val="0"/>
      <charset val="1"/>
    </font>
    <font>
      <sz val="11"/>
      <color rgb="FF1F6F3D"/>
      <name val="Arial"/>
      <family val="0"/>
      <charset val="1"/>
    </font>
    <font>
      <b val="true"/>
      <sz val="9"/>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D9E2F3"/>
        <bgColor rgb="FFD9D9D9"/>
      </patternFill>
    </fill>
    <fill>
      <patternFill patternType="solid">
        <fgColor rgb="FF2F5496"/>
        <bgColor rgb="FF555555"/>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7" fontId="8" fillId="4" borderId="0" xfId="0" applyFont="true" applyBorder="false" applyAlignment="false" applyProtection="false">
      <alignment horizontal="general" vertical="bottom" textRotation="0" wrapText="false" indent="0" shrinkToFit="false"/>
      <protection locked="true" hidden="false"/>
    </xf>
    <xf numFmtId="169" fontId="10" fillId="4" borderId="0" xfId="0" applyFont="true" applyBorder="false" applyAlignment="false" applyProtection="false">
      <alignment horizontal="general" vertical="bottom" textRotation="0" wrapText="false" indent="0" shrinkToFit="false"/>
      <protection locked="true" hidden="false"/>
    </xf>
    <xf numFmtId="170" fontId="10" fillId="4"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7" fontId="10" fillId="4" borderId="0" xfId="0" applyFont="true" applyBorder="false" applyAlignment="false" applyProtection="false">
      <alignment horizontal="general" vertical="bottom" textRotation="0" wrapText="false" indent="0" shrinkToFit="false"/>
      <protection locked="true" hidden="false"/>
    </xf>
    <xf numFmtId="165" fontId="10" fillId="4" borderId="0" xfId="0" applyFont="true" applyBorder="false" applyAlignment="false" applyProtection="false">
      <alignment horizontal="general" vertical="bottom" textRotation="0" wrapText="false" indent="0" shrinkToFit="false"/>
      <protection locked="true" hidden="false"/>
    </xf>
    <xf numFmtId="173" fontId="10" fillId="4"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75" fontId="10" fillId="0" borderId="0" xfId="0" applyFont="true" applyBorder="false" applyAlignment="false" applyProtection="false">
      <alignment horizontal="general" vertical="bottom" textRotation="0" wrapText="false" indent="0" shrinkToFit="false"/>
      <protection locked="true" hidden="false"/>
    </xf>
    <xf numFmtId="175" fontId="10" fillId="4"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F6F3D"/>
      <rgbColor rgb="FF000080"/>
      <rgbColor rgb="FF808000"/>
      <rgbColor rgb="FF800080"/>
      <rgbColor rgb="FF4F81BD"/>
      <rgbColor rgb="FFC0C0C0"/>
      <rgbColor rgb="FF878787"/>
      <rgbColor rgb="FF8064A2"/>
      <rgbColor rgb="FFBE4B48"/>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4BACC6"/>
      <rgbColor rgb="FF98B855"/>
      <rgbColor rgb="FFFFCC00"/>
      <rgbColor rgb="FFF59240"/>
      <rgbColor rgb="FFFF6600"/>
      <rgbColor rgb="FF7D5FA0"/>
      <rgbColor rgb="FF9BBB59"/>
      <rgbColor rgb="FF003366"/>
      <rgbColor rgb="FF46AAC4"/>
      <rgbColor rgb="FF003300"/>
      <rgbColor rgb="FF333300"/>
      <rgbColor rgb="FF993300"/>
      <rgbColor rgb="FFC0504D"/>
      <rgbColor rgb="FF2F5496"/>
      <rgbColor rgb="FF555555"/>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Standalone: compression ratio by unit size</a:t>
            </a:r>
          </a:p>
        </c:rich>
      </c:tx>
      <c:overlay val="0"/>
      <c:spPr>
        <a:noFill/>
        <a:ln w="0">
          <a:noFill/>
        </a:ln>
      </c:spPr>
    </c:title>
    <c:autoTitleDeleted val="0"/>
    <c:plotArea>
      <c:lineChart>
        <c:grouping val="standard"/>
        <c:varyColors val="0"/>
        <c:ser>
          <c:idx val="0"/>
          <c:order val="0"/>
          <c:tx>
            <c:strRef>
              <c:f>'A1 Ratio by Unit'!A7</c:f>
              <c:strCache>
                <c:ptCount val="1"/>
                <c:pt idx="0">
                  <c:v>FileStore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Unit'!$B$6:$E$6</c:f>
              <c:strCache>
                <c:ptCount val="4"/>
                <c:pt idx="0">
                  <c:v>256 KB</c:v>
                </c:pt>
                <c:pt idx="1">
                  <c:v>1024 KB</c:v>
                </c:pt>
                <c:pt idx="2">
                  <c:v>4096 KB</c:v>
                </c:pt>
                <c:pt idx="3">
                  <c:v>16384 KB</c:v>
                </c:pt>
              </c:strCache>
            </c:strRef>
          </c:cat>
          <c:val>
            <c:numRef>
              <c:f>'A1 Ratio by Unit'!$B$7:$E$7</c:f>
              <c:numCache>
                <c:formatCode>General</c:formatCode>
                <c:ptCount val="4"/>
                <c:pt idx="0">
                  <c:v>1</c:v>
                </c:pt>
                <c:pt idx="1">
                  <c:v>1</c:v>
                </c:pt>
                <c:pt idx="2">
                  <c:v>1</c:v>
                </c:pt>
                <c:pt idx="3">
                  <c:v>1</c:v>
                </c:pt>
              </c:numCache>
            </c:numRef>
          </c:val>
          <c:smooth val="1"/>
        </c:ser>
        <c:ser>
          <c:idx val="1"/>
          <c:order val="1"/>
          <c:tx>
            <c:strRef>
              <c:f>'A1 Ratio by Unit'!A8</c:f>
              <c:strCache>
                <c:ptCount val="1"/>
                <c:pt idx="0">
                  <c:v>CompressedStore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Unit'!$B$6:$E$6</c:f>
              <c:strCache>
                <c:ptCount val="4"/>
                <c:pt idx="0">
                  <c:v>256 KB</c:v>
                </c:pt>
                <c:pt idx="1">
                  <c:v>1024 KB</c:v>
                </c:pt>
                <c:pt idx="2">
                  <c:v>4096 KB</c:v>
                </c:pt>
                <c:pt idx="3">
                  <c:v>16384 KB</c:v>
                </c:pt>
              </c:strCache>
            </c:strRef>
          </c:cat>
          <c:val>
            <c:numRef>
              <c:f>'A1 Ratio by Unit'!$B$8:$E$8</c:f>
              <c:numCache>
                <c:formatCode>General</c:formatCode>
                <c:ptCount val="4"/>
                <c:pt idx="0">
                  <c:v>1.6504</c:v>
                </c:pt>
                <c:pt idx="1">
                  <c:v>1.6517</c:v>
                </c:pt>
                <c:pt idx="2">
                  <c:v>1.6519</c:v>
                </c:pt>
                <c:pt idx="3">
                  <c:v>1.652</c:v>
                </c:pt>
              </c:numCache>
            </c:numRef>
          </c:val>
          <c:smooth val="1"/>
        </c:ser>
        <c:ser>
          <c:idx val="2"/>
          <c:order val="2"/>
          <c:tx>
            <c:strRef>
              <c:f>'A1 Ratio by Unit'!A9</c:f>
              <c:strCache>
                <c:ptCount val="1"/>
                <c:pt idx="0">
                  <c:v>LossyStore lossless</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Unit'!$B$6:$E$6</c:f>
              <c:strCache>
                <c:ptCount val="4"/>
                <c:pt idx="0">
                  <c:v>256 KB</c:v>
                </c:pt>
                <c:pt idx="1">
                  <c:v>1024 KB</c:v>
                </c:pt>
                <c:pt idx="2">
                  <c:v>4096 KB</c:v>
                </c:pt>
                <c:pt idx="3">
                  <c:v>16384 KB</c:v>
                </c:pt>
              </c:strCache>
            </c:strRef>
          </c:cat>
          <c:val>
            <c:numRef>
              <c:f>'A1 Ratio by Unit'!$B$9:$E$9</c:f>
              <c:numCache>
                <c:formatCode>General</c:formatCode>
                <c:ptCount val="4"/>
                <c:pt idx="0">
                  <c:v>1.8617</c:v>
                </c:pt>
                <c:pt idx="1">
                  <c:v>1.8687</c:v>
                </c:pt>
                <c:pt idx="2">
                  <c:v>1.8506</c:v>
                </c:pt>
                <c:pt idx="3">
                  <c:v>1.835</c:v>
                </c:pt>
              </c:numCache>
            </c:numRef>
          </c:val>
          <c:smooth val="1"/>
        </c:ser>
        <c:ser>
          <c:idx val="3"/>
          <c:order val="3"/>
          <c:tx>
            <c:strRef>
              <c:f>'A1 Ratio by Unit'!A10</c:f>
              <c:strCache>
                <c:ptCount val="1"/>
                <c:pt idx="0">
                  <c:v>LossyStore 0.1%</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Unit'!$B$6:$E$6</c:f>
              <c:strCache>
                <c:ptCount val="4"/>
                <c:pt idx="0">
                  <c:v>256 KB</c:v>
                </c:pt>
                <c:pt idx="1">
                  <c:v>1024 KB</c:v>
                </c:pt>
                <c:pt idx="2">
                  <c:v>4096 KB</c:v>
                </c:pt>
                <c:pt idx="3">
                  <c:v>16384 KB</c:v>
                </c:pt>
              </c:strCache>
            </c:strRef>
          </c:cat>
          <c:val>
            <c:numRef>
              <c:f>'A1 Ratio by Unit'!$B$10:$E$10</c:f>
              <c:numCache>
                <c:formatCode>General</c:formatCode>
                <c:ptCount val="4"/>
                <c:pt idx="0">
                  <c:v>3.0306</c:v>
                </c:pt>
                <c:pt idx="1">
                  <c:v>2.9498</c:v>
                </c:pt>
                <c:pt idx="2">
                  <c:v>2.876</c:v>
                </c:pt>
                <c:pt idx="3">
                  <c:v>2.8283</c:v>
                </c:pt>
              </c:numCache>
            </c:numRef>
          </c:val>
          <c:smooth val="1"/>
        </c:ser>
        <c:ser>
          <c:idx val="4"/>
          <c:order val="4"/>
          <c:tx>
            <c:strRef>
              <c:f>'A1 Ratio by Unit'!A11</c:f>
              <c:strCache>
                <c:ptCount val="1"/>
                <c:pt idx="0">
                  <c:v>LossyStore 1%</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Unit'!$B$6:$E$6</c:f>
              <c:strCache>
                <c:ptCount val="4"/>
                <c:pt idx="0">
                  <c:v>256 KB</c:v>
                </c:pt>
                <c:pt idx="1">
                  <c:v>1024 KB</c:v>
                </c:pt>
                <c:pt idx="2">
                  <c:v>4096 KB</c:v>
                </c:pt>
                <c:pt idx="3">
                  <c:v>16384 KB</c:v>
                </c:pt>
              </c:strCache>
            </c:strRef>
          </c:cat>
          <c:val>
            <c:numRef>
              <c:f>'A1 Ratio by Unit'!$B$11:$E$11</c:f>
              <c:numCache>
                <c:formatCode>General</c:formatCode>
                <c:ptCount val="4"/>
                <c:pt idx="0">
                  <c:v>3.1981</c:v>
                </c:pt>
                <c:pt idx="1">
                  <c:v>3.1034</c:v>
                </c:pt>
                <c:pt idx="2">
                  <c:v>3.0161</c:v>
                </c:pt>
                <c:pt idx="3">
                  <c:v>2.9722</c:v>
                </c:pt>
              </c:numCache>
            </c:numRef>
          </c:val>
          <c:smooth val="1"/>
        </c:ser>
        <c:ser>
          <c:idx val="5"/>
          <c:order val="5"/>
          <c:tx>
            <c:strRef>
              <c:f>'A1 Ratio by Unit'!A12</c:f>
              <c:strCache>
                <c:ptCount val="1"/>
                <c:pt idx="0">
                  <c:v>LossyStore 5%</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Unit'!$B$6:$E$6</c:f>
              <c:strCache>
                <c:ptCount val="4"/>
                <c:pt idx="0">
                  <c:v>256 KB</c:v>
                </c:pt>
                <c:pt idx="1">
                  <c:v>1024 KB</c:v>
                </c:pt>
                <c:pt idx="2">
                  <c:v>4096 KB</c:v>
                </c:pt>
                <c:pt idx="3">
                  <c:v>16384 KB</c:v>
                </c:pt>
              </c:strCache>
            </c:strRef>
          </c:cat>
          <c:val>
            <c:numRef>
              <c:f>'A1 Ratio by Unit'!$B$12:$E$12</c:f>
              <c:numCache>
                <c:formatCode>General</c:formatCode>
                <c:ptCount val="4"/>
                <c:pt idx="0">
                  <c:v>3.3119</c:v>
                </c:pt>
                <c:pt idx="1">
                  <c:v>3.23</c:v>
                </c:pt>
                <c:pt idx="2">
                  <c:v>3.1611</c:v>
                </c:pt>
                <c:pt idx="3">
                  <c:v>3.1397</c:v>
                </c:pt>
              </c:numCache>
            </c:numRef>
          </c:val>
          <c:smooth val="1"/>
        </c:ser>
        <c:hiLowLines>
          <c:spPr>
            <a:ln w="0">
              <a:noFill/>
            </a:ln>
          </c:spPr>
        </c:hiLowLines>
        <c:marker val="0"/>
        <c:axId val="82012168"/>
        <c:axId val="18848205"/>
      </c:lineChart>
      <c:catAx>
        <c:axId val="8201216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848205"/>
        <c:crosses val="autoZero"/>
        <c:auto val="1"/>
        <c:lblAlgn val="ctr"/>
        <c:lblOffset val="100"/>
        <c:noMultiLvlLbl val="0"/>
      </c:catAx>
      <c:valAx>
        <c:axId val="1884820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ratio</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01216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Standalone: ratio on disk</a:t>
            </a:r>
          </a:p>
        </c:rich>
      </c:tx>
      <c:overlay val="0"/>
      <c:spPr>
        <a:noFill/>
        <a:ln w="0">
          <a:noFill/>
        </a:ln>
      </c:spPr>
    </c:title>
    <c:autoTitleDeleted val="0"/>
    <c:plotArea>
      <c:lineChart>
        <c:grouping val="standard"/>
        <c:varyColors val="0"/>
        <c:ser>
          <c:idx val="0"/>
          <c:order val="0"/>
          <c:tx>
            <c:strRef>
              <c:f>'A1 Ratio by Unit'!A20</c:f>
              <c:strCache>
                <c:ptCount val="1"/>
                <c:pt idx="0">
                  <c:v>FileStore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Unit'!$B$19:$E$19</c:f>
              <c:strCache>
                <c:ptCount val="4"/>
                <c:pt idx="0">
                  <c:v>256 KB</c:v>
                </c:pt>
                <c:pt idx="1">
                  <c:v>1024 KB</c:v>
                </c:pt>
                <c:pt idx="2">
                  <c:v>4096 KB</c:v>
                </c:pt>
                <c:pt idx="3">
                  <c:v>16384 KB</c:v>
                </c:pt>
              </c:strCache>
            </c:strRef>
          </c:cat>
          <c:val>
            <c:numRef>
              <c:f>'A1 Ratio by Unit'!$B$20:$E$20</c:f>
              <c:numCache>
                <c:formatCode>General</c:formatCode>
                <c:ptCount val="4"/>
                <c:pt idx="0">
                  <c:v>0.9997</c:v>
                </c:pt>
                <c:pt idx="1">
                  <c:v>0.9999</c:v>
                </c:pt>
                <c:pt idx="2">
                  <c:v>1</c:v>
                </c:pt>
                <c:pt idx="3">
                  <c:v>1</c:v>
                </c:pt>
              </c:numCache>
            </c:numRef>
          </c:val>
          <c:smooth val="1"/>
        </c:ser>
        <c:ser>
          <c:idx val="1"/>
          <c:order val="1"/>
          <c:tx>
            <c:strRef>
              <c:f>'A1 Ratio by Unit'!A21</c:f>
              <c:strCache>
                <c:ptCount val="1"/>
                <c:pt idx="0">
                  <c:v>CompressedStore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Unit'!$B$19:$E$19</c:f>
              <c:strCache>
                <c:ptCount val="4"/>
                <c:pt idx="0">
                  <c:v>256 KB</c:v>
                </c:pt>
                <c:pt idx="1">
                  <c:v>1024 KB</c:v>
                </c:pt>
                <c:pt idx="2">
                  <c:v>4096 KB</c:v>
                </c:pt>
                <c:pt idx="3">
                  <c:v>16384 KB</c:v>
                </c:pt>
              </c:strCache>
            </c:strRef>
          </c:cat>
          <c:val>
            <c:numRef>
              <c:f>'A1 Ratio by Unit'!$B$21:$E$21</c:f>
              <c:numCache>
                <c:formatCode>General</c:formatCode>
                <c:ptCount val="4"/>
                <c:pt idx="0">
                  <c:v>1.65</c:v>
                </c:pt>
                <c:pt idx="1">
                  <c:v>1.6516</c:v>
                </c:pt>
                <c:pt idx="2">
                  <c:v>1.6519</c:v>
                </c:pt>
                <c:pt idx="3">
                  <c:v>1.652</c:v>
                </c:pt>
              </c:numCache>
            </c:numRef>
          </c:val>
          <c:smooth val="1"/>
        </c:ser>
        <c:ser>
          <c:idx val="2"/>
          <c:order val="2"/>
          <c:tx>
            <c:strRef>
              <c:f>'A1 Ratio by Unit'!A22</c:f>
              <c:strCache>
                <c:ptCount val="1"/>
                <c:pt idx="0">
                  <c:v>LossyStore lossless</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Unit'!$B$19:$E$19</c:f>
              <c:strCache>
                <c:ptCount val="4"/>
                <c:pt idx="0">
                  <c:v>256 KB</c:v>
                </c:pt>
                <c:pt idx="1">
                  <c:v>1024 KB</c:v>
                </c:pt>
                <c:pt idx="2">
                  <c:v>4096 KB</c:v>
                </c:pt>
                <c:pt idx="3">
                  <c:v>16384 KB</c:v>
                </c:pt>
              </c:strCache>
            </c:strRef>
          </c:cat>
          <c:val>
            <c:numRef>
              <c:f>'A1 Ratio by Unit'!$B$22:$E$22</c:f>
              <c:numCache>
                <c:formatCode>General</c:formatCode>
                <c:ptCount val="4"/>
                <c:pt idx="0">
                  <c:v>1.8586</c:v>
                </c:pt>
                <c:pt idx="1">
                  <c:v>1.8679</c:v>
                </c:pt>
                <c:pt idx="2">
                  <c:v>1.8505</c:v>
                </c:pt>
                <c:pt idx="3">
                  <c:v>1.835</c:v>
                </c:pt>
              </c:numCache>
            </c:numRef>
          </c:val>
          <c:smooth val="1"/>
        </c:ser>
        <c:ser>
          <c:idx val="3"/>
          <c:order val="3"/>
          <c:tx>
            <c:strRef>
              <c:f>'A1 Ratio by Unit'!A23</c:f>
              <c:strCache>
                <c:ptCount val="1"/>
                <c:pt idx="0">
                  <c:v>LossyStore 0.1%</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Unit'!$B$19:$E$19</c:f>
              <c:strCache>
                <c:ptCount val="4"/>
                <c:pt idx="0">
                  <c:v>256 KB</c:v>
                </c:pt>
                <c:pt idx="1">
                  <c:v>1024 KB</c:v>
                </c:pt>
                <c:pt idx="2">
                  <c:v>4096 KB</c:v>
                </c:pt>
                <c:pt idx="3">
                  <c:v>16384 KB</c:v>
                </c:pt>
              </c:strCache>
            </c:strRef>
          </c:cat>
          <c:val>
            <c:numRef>
              <c:f>'A1 Ratio by Unit'!$B$23:$E$23</c:f>
              <c:numCache>
                <c:formatCode>General</c:formatCode>
                <c:ptCount val="4"/>
                <c:pt idx="0">
                  <c:v>3.0224</c:v>
                </c:pt>
                <c:pt idx="1">
                  <c:v>2.9478</c:v>
                </c:pt>
                <c:pt idx="2">
                  <c:v>2.8755</c:v>
                </c:pt>
                <c:pt idx="3">
                  <c:v>2.8281</c:v>
                </c:pt>
              </c:numCache>
            </c:numRef>
          </c:val>
          <c:smooth val="1"/>
        </c:ser>
        <c:ser>
          <c:idx val="4"/>
          <c:order val="4"/>
          <c:tx>
            <c:strRef>
              <c:f>'A1 Ratio by Unit'!A24</c:f>
              <c:strCache>
                <c:ptCount val="1"/>
                <c:pt idx="0">
                  <c:v>LossyStore 1%</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Unit'!$B$19:$E$19</c:f>
              <c:strCache>
                <c:ptCount val="4"/>
                <c:pt idx="0">
                  <c:v>256 KB</c:v>
                </c:pt>
                <c:pt idx="1">
                  <c:v>1024 KB</c:v>
                </c:pt>
                <c:pt idx="2">
                  <c:v>4096 KB</c:v>
                </c:pt>
                <c:pt idx="3">
                  <c:v>16384 KB</c:v>
                </c:pt>
              </c:strCache>
            </c:strRef>
          </c:cat>
          <c:val>
            <c:numRef>
              <c:f>'A1 Ratio by Unit'!$B$24:$E$24</c:f>
              <c:numCache>
                <c:formatCode>General</c:formatCode>
                <c:ptCount val="4"/>
                <c:pt idx="0">
                  <c:v>3.1889</c:v>
                </c:pt>
                <c:pt idx="1">
                  <c:v>3.1013</c:v>
                </c:pt>
                <c:pt idx="2">
                  <c:v>3.0156</c:v>
                </c:pt>
                <c:pt idx="3">
                  <c:v>2.9721</c:v>
                </c:pt>
              </c:numCache>
            </c:numRef>
          </c:val>
          <c:smooth val="1"/>
        </c:ser>
        <c:ser>
          <c:idx val="5"/>
          <c:order val="5"/>
          <c:tx>
            <c:strRef>
              <c:f>'A1 Ratio by Unit'!A25</c:f>
              <c:strCache>
                <c:ptCount val="1"/>
                <c:pt idx="0">
                  <c:v>LossyStore 5%</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Unit'!$B$19:$E$19</c:f>
              <c:strCache>
                <c:ptCount val="4"/>
                <c:pt idx="0">
                  <c:v>256 KB</c:v>
                </c:pt>
                <c:pt idx="1">
                  <c:v>1024 KB</c:v>
                </c:pt>
                <c:pt idx="2">
                  <c:v>4096 KB</c:v>
                </c:pt>
                <c:pt idx="3">
                  <c:v>16384 KB</c:v>
                </c:pt>
              </c:strCache>
            </c:strRef>
          </c:cat>
          <c:val>
            <c:numRef>
              <c:f>'A1 Ratio by Unit'!$B$25:$E$25</c:f>
              <c:numCache>
                <c:formatCode>General</c:formatCode>
                <c:ptCount val="4"/>
                <c:pt idx="0">
                  <c:v>3.3021</c:v>
                </c:pt>
                <c:pt idx="1">
                  <c:v>3.2277</c:v>
                </c:pt>
                <c:pt idx="2">
                  <c:v>3.1605</c:v>
                </c:pt>
                <c:pt idx="3">
                  <c:v>3.1396</c:v>
                </c:pt>
              </c:numCache>
            </c:numRef>
          </c:val>
          <c:smooth val="1"/>
        </c:ser>
        <c:hiLowLines>
          <c:spPr>
            <a:ln w="0">
              <a:noFill/>
            </a:ln>
          </c:spPr>
        </c:hiLowLines>
        <c:marker val="0"/>
        <c:axId val="17812408"/>
        <c:axId val="59105872"/>
      </c:lineChart>
      <c:catAx>
        <c:axId val="1781240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105872"/>
        <c:crosses val="autoZero"/>
        <c:auto val="1"/>
        <c:lblAlgn val="ctr"/>
        <c:lblOffset val="100"/>
        <c:noMultiLvlLbl val="0"/>
      </c:catAx>
      <c:valAx>
        <c:axId val="5910587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ratio</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81240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Framing in bytes (log scale)</a:t>
            </a:r>
          </a:p>
        </c:rich>
      </c:tx>
      <c:overlay val="0"/>
      <c:spPr>
        <a:noFill/>
        <a:ln w="0">
          <a:noFill/>
        </a:ln>
      </c:spPr>
    </c:title>
    <c:autoTitleDeleted val="0"/>
    <c:plotArea>
      <c:lineChart>
        <c:grouping val="standard"/>
        <c:varyColors val="0"/>
        <c:ser>
          <c:idx val="0"/>
          <c:order val="0"/>
          <c:tx>
            <c:strRef>
              <c:f>'A1 Ratio by Unit'!A34</c:f>
              <c:strCache>
                <c:ptCount val="1"/>
                <c:pt idx="0">
                  <c:v>FileStore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Unit'!$B$33:$E$33</c:f>
              <c:strCache>
                <c:ptCount val="4"/>
                <c:pt idx="0">
                  <c:v>256 KB</c:v>
                </c:pt>
                <c:pt idx="1">
                  <c:v>1024 KB</c:v>
                </c:pt>
                <c:pt idx="2">
                  <c:v>4096 KB</c:v>
                </c:pt>
                <c:pt idx="3">
                  <c:v>16384 KB</c:v>
                </c:pt>
              </c:strCache>
            </c:strRef>
          </c:cat>
          <c:val>
            <c:numRef>
              <c:f>'A1 Ratio by Unit'!$B$34:$E$34</c:f>
              <c:numCache>
                <c:formatCode>General</c:formatCode>
                <c:ptCount val="4"/>
                <c:pt idx="0">
                  <c:v>328436</c:v>
                </c:pt>
                <c:pt idx="1">
                  <c:v>82676</c:v>
                </c:pt>
                <c:pt idx="2">
                  <c:v>21236</c:v>
                </c:pt>
                <c:pt idx="3">
                  <c:v>5876</c:v>
                </c:pt>
              </c:numCache>
            </c:numRef>
          </c:val>
          <c:smooth val="1"/>
        </c:ser>
        <c:ser>
          <c:idx val="1"/>
          <c:order val="1"/>
          <c:tx>
            <c:strRef>
              <c:f>'A1 Ratio by Unit'!A35</c:f>
              <c:strCache>
                <c:ptCount val="1"/>
                <c:pt idx="0">
                  <c:v>CompressedStore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Unit'!$B$33:$E$33</c:f>
              <c:strCache>
                <c:ptCount val="4"/>
                <c:pt idx="0">
                  <c:v>256 KB</c:v>
                </c:pt>
                <c:pt idx="1">
                  <c:v>1024 KB</c:v>
                </c:pt>
                <c:pt idx="2">
                  <c:v>4096 KB</c:v>
                </c:pt>
                <c:pt idx="3">
                  <c:v>16384 KB</c:v>
                </c:pt>
              </c:strCache>
            </c:strRef>
          </c:cat>
          <c:val>
            <c:numRef>
              <c:f>'A1 Ratio by Unit'!$B$35:$E$35</c:f>
              <c:numCache>
                <c:formatCode>General</c:formatCode>
                <c:ptCount val="4"/>
                <c:pt idx="0">
                  <c:v>187379</c:v>
                </c:pt>
                <c:pt idx="1">
                  <c:v>47159</c:v>
                </c:pt>
                <c:pt idx="2">
                  <c:v>12104</c:v>
                </c:pt>
                <c:pt idx="3">
                  <c:v>3330</c:v>
                </c:pt>
              </c:numCache>
            </c:numRef>
          </c:val>
          <c:smooth val="1"/>
        </c:ser>
        <c:ser>
          <c:idx val="2"/>
          <c:order val="2"/>
          <c:tx>
            <c:strRef>
              <c:f>'A1 Ratio by Unit'!A36</c:f>
              <c:strCache>
                <c:ptCount val="1"/>
                <c:pt idx="0">
                  <c:v>LossyStore lossless</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Unit'!$B$33:$E$33</c:f>
              <c:strCache>
                <c:ptCount val="4"/>
                <c:pt idx="0">
                  <c:v>256 KB</c:v>
                </c:pt>
                <c:pt idx="1">
                  <c:v>1024 KB</c:v>
                </c:pt>
                <c:pt idx="2">
                  <c:v>4096 KB</c:v>
                </c:pt>
                <c:pt idx="3">
                  <c:v>16384 KB</c:v>
                </c:pt>
              </c:strCache>
            </c:strRef>
          </c:cat>
          <c:val>
            <c:numRef>
              <c:f>'A1 Ratio by Unit'!$B$36:$E$36</c:f>
              <c:numCache>
                <c:formatCode>General</c:formatCode>
                <c:ptCount val="4"/>
                <c:pt idx="0">
                  <c:v>1076774</c:v>
                </c:pt>
                <c:pt idx="1">
                  <c:v>269654</c:v>
                </c:pt>
                <c:pt idx="2">
                  <c:v>67874</c:v>
                </c:pt>
                <c:pt idx="3">
                  <c:v>17370</c:v>
                </c:pt>
              </c:numCache>
            </c:numRef>
          </c:val>
          <c:smooth val="1"/>
        </c:ser>
        <c:ser>
          <c:idx val="3"/>
          <c:order val="3"/>
          <c:tx>
            <c:strRef>
              <c:f>'A1 Ratio by Unit'!A37</c:f>
              <c:strCache>
                <c:ptCount val="1"/>
                <c:pt idx="0">
                  <c:v>LossyStore 0.1%</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Unit'!$B$33:$E$33</c:f>
              <c:strCache>
                <c:ptCount val="4"/>
                <c:pt idx="0">
                  <c:v>256 KB</c:v>
                </c:pt>
                <c:pt idx="1">
                  <c:v>1024 KB</c:v>
                </c:pt>
                <c:pt idx="2">
                  <c:v>4096 KB</c:v>
                </c:pt>
                <c:pt idx="3">
                  <c:v>16384 KB</c:v>
                </c:pt>
              </c:strCache>
            </c:strRef>
          </c:cat>
          <c:val>
            <c:numRef>
              <c:f>'A1 Ratio by Unit'!$B$37:$E$37</c:f>
              <c:numCache>
                <c:formatCode>General</c:formatCode>
                <c:ptCount val="4"/>
                <c:pt idx="0">
                  <c:v>1076774</c:v>
                </c:pt>
                <c:pt idx="1">
                  <c:v>269654</c:v>
                </c:pt>
                <c:pt idx="2">
                  <c:v>67874</c:v>
                </c:pt>
                <c:pt idx="3">
                  <c:v>17370</c:v>
                </c:pt>
              </c:numCache>
            </c:numRef>
          </c:val>
          <c:smooth val="1"/>
        </c:ser>
        <c:ser>
          <c:idx val="4"/>
          <c:order val="4"/>
          <c:tx>
            <c:strRef>
              <c:f>'A1 Ratio by Unit'!A38</c:f>
              <c:strCache>
                <c:ptCount val="1"/>
                <c:pt idx="0">
                  <c:v>LossyStore 1%</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Unit'!$B$33:$E$33</c:f>
              <c:strCache>
                <c:ptCount val="4"/>
                <c:pt idx="0">
                  <c:v>256 KB</c:v>
                </c:pt>
                <c:pt idx="1">
                  <c:v>1024 KB</c:v>
                </c:pt>
                <c:pt idx="2">
                  <c:v>4096 KB</c:v>
                </c:pt>
                <c:pt idx="3">
                  <c:v>16384 KB</c:v>
                </c:pt>
              </c:strCache>
            </c:strRef>
          </c:cat>
          <c:val>
            <c:numRef>
              <c:f>'A1 Ratio by Unit'!$B$38:$E$38</c:f>
              <c:numCache>
                <c:formatCode>General</c:formatCode>
                <c:ptCount val="4"/>
                <c:pt idx="0">
                  <c:v>1076774</c:v>
                </c:pt>
                <c:pt idx="1">
                  <c:v>269654</c:v>
                </c:pt>
                <c:pt idx="2">
                  <c:v>67874</c:v>
                </c:pt>
                <c:pt idx="3">
                  <c:v>17370</c:v>
                </c:pt>
              </c:numCache>
            </c:numRef>
          </c:val>
          <c:smooth val="1"/>
        </c:ser>
        <c:ser>
          <c:idx val="5"/>
          <c:order val="5"/>
          <c:tx>
            <c:strRef>
              <c:f>'A1 Ratio by Unit'!A39</c:f>
              <c:strCache>
                <c:ptCount val="1"/>
                <c:pt idx="0">
                  <c:v>LossyStore 5%</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Unit'!$B$33:$E$33</c:f>
              <c:strCache>
                <c:ptCount val="4"/>
                <c:pt idx="0">
                  <c:v>256 KB</c:v>
                </c:pt>
                <c:pt idx="1">
                  <c:v>1024 KB</c:v>
                </c:pt>
                <c:pt idx="2">
                  <c:v>4096 KB</c:v>
                </c:pt>
                <c:pt idx="3">
                  <c:v>16384 KB</c:v>
                </c:pt>
              </c:strCache>
            </c:strRef>
          </c:cat>
          <c:val>
            <c:numRef>
              <c:f>'A1 Ratio by Unit'!$B$39:$E$39</c:f>
              <c:numCache>
                <c:formatCode>General</c:formatCode>
                <c:ptCount val="4"/>
                <c:pt idx="0">
                  <c:v>1076774</c:v>
                </c:pt>
                <c:pt idx="1">
                  <c:v>269654</c:v>
                </c:pt>
                <c:pt idx="2">
                  <c:v>67874</c:v>
                </c:pt>
                <c:pt idx="3">
                  <c:v>17370</c:v>
                </c:pt>
              </c:numCache>
            </c:numRef>
          </c:val>
          <c:smooth val="1"/>
        </c:ser>
        <c:hiLowLines>
          <c:spPr>
            <a:ln w="0">
              <a:noFill/>
            </a:ln>
          </c:spPr>
        </c:hiLowLines>
        <c:marker val="0"/>
        <c:axId val="37585839"/>
        <c:axId val="22383922"/>
      </c:lineChart>
      <c:catAx>
        <c:axId val="3758583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383922"/>
        <c:crosses val="autoZero"/>
        <c:auto val="1"/>
        <c:lblAlgn val="ctr"/>
        <c:lblOffset val="100"/>
        <c:noMultiLvlLbl val="0"/>
      </c:catAx>
      <c:valAx>
        <c:axId val="22383922"/>
        <c:scaling>
          <c:logBase val="10"/>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bytes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58583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Chained: ratio over the whole chain</a:t>
            </a:r>
          </a:p>
        </c:rich>
      </c:tx>
      <c:overlay val="0"/>
      <c:spPr>
        <a:noFill/>
        <a:ln w="0">
          <a:noFill/>
        </a:ln>
      </c:spPr>
    </c:title>
    <c:autoTitleDeleted val="0"/>
    <c:plotArea>
      <c:lineChart>
        <c:grouping val="standard"/>
        <c:varyColors val="0"/>
        <c:ser>
          <c:idx val="0"/>
          <c:order val="0"/>
          <c:tx>
            <c:strRef>
              <c:f>'A1 Ratio by Unit'!A47</c:f>
              <c:strCache>
                <c:ptCount val="1"/>
                <c:pt idx="0">
                  <c:v>-&gt; CompressedStore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Unit'!$B$46:$E$46</c:f>
              <c:strCache>
                <c:ptCount val="4"/>
                <c:pt idx="0">
                  <c:v>256 KB</c:v>
                </c:pt>
                <c:pt idx="1">
                  <c:v>1024 KB</c:v>
                </c:pt>
                <c:pt idx="2">
                  <c:v>4096 KB</c:v>
                </c:pt>
                <c:pt idx="3">
                  <c:v>16384 KB</c:v>
                </c:pt>
              </c:strCache>
            </c:strRef>
          </c:cat>
          <c:val>
            <c:numRef>
              <c:f>'A1 Ratio by Unit'!$B$47:$E$47</c:f>
              <c:numCache>
                <c:formatCode>General</c:formatCode>
                <c:ptCount val="4"/>
                <c:pt idx="0">
                  <c:v>1.6473</c:v>
                </c:pt>
                <c:pt idx="1">
                  <c:v>1.6494</c:v>
                </c:pt>
                <c:pt idx="2">
                  <c:v>1.6496</c:v>
                </c:pt>
                <c:pt idx="3">
                  <c:v>1.6487</c:v>
                </c:pt>
              </c:numCache>
            </c:numRef>
          </c:val>
          <c:smooth val="1"/>
        </c:ser>
        <c:ser>
          <c:idx val="1"/>
          <c:order val="1"/>
          <c:tx>
            <c:strRef>
              <c:f>'A1 Ratio by Unit'!A48</c:f>
              <c:strCache>
                <c:ptCount val="1"/>
                <c:pt idx="0">
                  <c:v>-&gt; LossyStore lossless</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Unit'!$B$46:$E$46</c:f>
              <c:strCache>
                <c:ptCount val="4"/>
                <c:pt idx="0">
                  <c:v>256 KB</c:v>
                </c:pt>
                <c:pt idx="1">
                  <c:v>1024 KB</c:v>
                </c:pt>
                <c:pt idx="2">
                  <c:v>4096 KB</c:v>
                </c:pt>
                <c:pt idx="3">
                  <c:v>16384 KB</c:v>
                </c:pt>
              </c:strCache>
            </c:strRef>
          </c:cat>
          <c:val>
            <c:numRef>
              <c:f>'A1 Ratio by Unit'!$B$48:$E$48</c:f>
              <c:numCache>
                <c:formatCode>General</c:formatCode>
                <c:ptCount val="4"/>
                <c:pt idx="0">
                  <c:v>1.859</c:v>
                </c:pt>
                <c:pt idx="1">
                  <c:v>1.8653</c:v>
                </c:pt>
                <c:pt idx="2">
                  <c:v>1.8509</c:v>
                </c:pt>
                <c:pt idx="3">
                  <c:v>1.8322</c:v>
                </c:pt>
              </c:numCache>
            </c:numRef>
          </c:val>
          <c:smooth val="1"/>
        </c:ser>
        <c:ser>
          <c:idx val="2"/>
          <c:order val="2"/>
          <c:tx>
            <c:strRef>
              <c:f>'A1 Ratio by Unit'!A49</c:f>
              <c:strCache>
                <c:ptCount val="1"/>
                <c:pt idx="0">
                  <c:v>-&gt; LossyStore 0.1%</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Unit'!$B$46:$E$46</c:f>
              <c:strCache>
                <c:ptCount val="4"/>
                <c:pt idx="0">
                  <c:v>256 KB</c:v>
                </c:pt>
                <c:pt idx="1">
                  <c:v>1024 KB</c:v>
                </c:pt>
                <c:pt idx="2">
                  <c:v>4096 KB</c:v>
                </c:pt>
                <c:pt idx="3">
                  <c:v>16384 KB</c:v>
                </c:pt>
              </c:strCache>
            </c:strRef>
          </c:cat>
          <c:val>
            <c:numRef>
              <c:f>'A1 Ratio by Unit'!$B$49:$E$49</c:f>
              <c:numCache>
                <c:formatCode>General</c:formatCode>
                <c:ptCount val="4"/>
                <c:pt idx="0">
                  <c:v>3.0188</c:v>
                </c:pt>
                <c:pt idx="1">
                  <c:v>2.9377</c:v>
                </c:pt>
                <c:pt idx="2">
                  <c:v>2.8789</c:v>
                </c:pt>
                <c:pt idx="3">
                  <c:v>2.8197</c:v>
                </c:pt>
              </c:numCache>
            </c:numRef>
          </c:val>
          <c:smooth val="1"/>
        </c:ser>
        <c:ser>
          <c:idx val="3"/>
          <c:order val="3"/>
          <c:tx>
            <c:strRef>
              <c:f>'A1 Ratio by Unit'!A50</c:f>
              <c:strCache>
                <c:ptCount val="1"/>
                <c:pt idx="0">
                  <c:v>-&gt; LossyStore 1%</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Unit'!$B$46:$E$46</c:f>
              <c:strCache>
                <c:ptCount val="4"/>
                <c:pt idx="0">
                  <c:v>256 KB</c:v>
                </c:pt>
                <c:pt idx="1">
                  <c:v>1024 KB</c:v>
                </c:pt>
                <c:pt idx="2">
                  <c:v>4096 KB</c:v>
                </c:pt>
                <c:pt idx="3">
                  <c:v>16384 KB</c:v>
                </c:pt>
              </c:strCache>
            </c:strRef>
          </c:cat>
          <c:val>
            <c:numRef>
              <c:f>'A1 Ratio by Unit'!$B$50:$E$50</c:f>
              <c:numCache>
                <c:formatCode>General</c:formatCode>
                <c:ptCount val="4"/>
                <c:pt idx="0">
                  <c:v>3.1846</c:v>
                </c:pt>
                <c:pt idx="1">
                  <c:v>3.0895</c:v>
                </c:pt>
                <c:pt idx="2">
                  <c:v>3.0197</c:v>
                </c:pt>
                <c:pt idx="3">
                  <c:v>2.9621</c:v>
                </c:pt>
              </c:numCache>
            </c:numRef>
          </c:val>
          <c:smooth val="1"/>
        </c:ser>
        <c:ser>
          <c:idx val="4"/>
          <c:order val="4"/>
          <c:tx>
            <c:strRef>
              <c:f>'A1 Ratio by Unit'!A51</c:f>
              <c:strCache>
                <c:ptCount val="1"/>
                <c:pt idx="0">
                  <c:v>-&gt; LossyStore 5%</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'A1 Ratio by Unit'!$B$46:$E$46</c:f>
              <c:strCache>
                <c:ptCount val="4"/>
                <c:pt idx="0">
                  <c:v>256 KB</c:v>
                </c:pt>
                <c:pt idx="1">
                  <c:v>1024 KB</c:v>
                </c:pt>
                <c:pt idx="2">
                  <c:v>4096 KB</c:v>
                </c:pt>
                <c:pt idx="3">
                  <c:v>16384 KB</c:v>
                </c:pt>
              </c:strCache>
            </c:strRef>
          </c:cat>
          <c:val>
            <c:numRef>
              <c:f>'A1 Ratio by Unit'!$B$51:$E$51</c:f>
              <c:numCache>
                <c:formatCode>General</c:formatCode>
                <c:ptCount val="4"/>
                <c:pt idx="0">
                  <c:v>3.2973</c:v>
                </c:pt>
                <c:pt idx="1">
                  <c:v>3.215</c:v>
                </c:pt>
                <c:pt idx="2">
                  <c:v>3.1607</c:v>
                </c:pt>
                <c:pt idx="3">
                  <c:v>3.1232</c:v>
                </c:pt>
              </c:numCache>
            </c:numRef>
          </c:val>
          <c:smooth val="1"/>
        </c:ser>
        <c:hiLowLines>
          <c:spPr>
            <a:ln w="0">
              <a:noFill/>
            </a:ln>
          </c:spPr>
        </c:hiLowLines>
        <c:marker val="0"/>
        <c:axId val="18641367"/>
        <c:axId val="63836256"/>
      </c:lineChart>
      <c:catAx>
        <c:axId val="1864136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836256"/>
        <c:crosses val="autoZero"/>
        <c:auto val="1"/>
        <c:lblAlgn val="ctr"/>
        <c:lblOffset val="100"/>
        <c:noMultiLvlLbl val="0"/>
      </c:catAx>
      <c:valAx>
        <c:axId val="6383625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ratio</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64136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Share of the stream FileStore keeps uncompressed</a:t>
            </a:r>
          </a:p>
        </c:rich>
      </c:tx>
      <c:overlay val="0"/>
      <c:spPr>
        <a:noFill/>
        <a:ln w="0">
          <a:noFill/>
        </a:ln>
      </c:spPr>
    </c:title>
    <c:autoTitleDeleted val="0"/>
    <c:plotArea>
      <c:barChart>
        <c:barDir val="col"/>
        <c:grouping val="clustered"/>
        <c:varyColors val="0"/>
        <c:ser>
          <c:idx val="0"/>
          <c:order val="0"/>
          <c:tx>
            <c:strRef>
              <c:f>'A2 Chaining Cost'!A14</c:f>
              <c:strCache>
                <c:ptCount val="1"/>
                <c:pt idx="0">
                  <c:v>-&gt; CompressedStore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'A2 Chaining Cost'!$B$13:$E$13</c:f>
              <c:strCache>
                <c:ptCount val="4"/>
                <c:pt idx="0">
                  <c:v>256 KB</c:v>
                </c:pt>
                <c:pt idx="1">
                  <c:v>1024 KB</c:v>
                </c:pt>
                <c:pt idx="2">
                  <c:v>4096 KB</c:v>
                </c:pt>
                <c:pt idx="3">
                  <c:v>16384 KB</c:v>
                </c:pt>
              </c:strCache>
            </c:strRef>
          </c:cat>
          <c:val>
            <c:numRef>
              <c:f>'A2 Chaining Cost'!$B$14:$E$14</c:f>
              <c:numCache>
                <c:formatCode>General</c:formatCode>
                <c:ptCount val="4"/>
                <c:pt idx="0">
                  <c:v>0.00211288056206089</c:v>
                </c:pt>
                <c:pt idx="1">
                  <c:v>0.00211288056206089</c:v>
                </c:pt>
                <c:pt idx="2">
                  <c:v>0.00211288056206089</c:v>
                </c:pt>
                <c:pt idx="3">
                  <c:v>0.00298822014051522</c:v>
                </c:pt>
              </c:numCache>
            </c:numRef>
          </c:val>
        </c:ser>
        <c:ser>
          <c:idx val="1"/>
          <c:order val="1"/>
          <c:tx>
            <c:strRef>
              <c:f>'A2 Chaining Cost'!A15</c:f>
              <c:strCache>
                <c:ptCount val="1"/>
                <c:pt idx="0">
                  <c:v>-&gt; LossyStore lossless</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'A2 Chaining Cost'!$B$13:$E$13</c:f>
              <c:strCache>
                <c:ptCount val="4"/>
                <c:pt idx="0">
                  <c:v>256 KB</c:v>
                </c:pt>
                <c:pt idx="1">
                  <c:v>1024 KB</c:v>
                </c:pt>
                <c:pt idx="2">
                  <c:v>4096 KB</c:v>
                </c:pt>
                <c:pt idx="3">
                  <c:v>16384 KB</c:v>
                </c:pt>
              </c:strCache>
            </c:strRef>
          </c:cat>
          <c:val>
            <c:numRef>
              <c:f>'A2 Chaining Cost'!$B$15:$E$15</c:f>
              <c:numCache>
                <c:formatCode>General</c:formatCode>
                <c:ptCount val="4"/>
                <c:pt idx="0">
                  <c:v>0.00211288056206089</c:v>
                </c:pt>
                <c:pt idx="1">
                  <c:v>0.00211288056206089</c:v>
                </c:pt>
                <c:pt idx="2">
                  <c:v>0.00211288056206089</c:v>
                </c:pt>
                <c:pt idx="3">
                  <c:v>0.00298822014051522</c:v>
                </c:pt>
              </c:numCache>
            </c:numRef>
          </c:val>
        </c:ser>
        <c:ser>
          <c:idx val="2"/>
          <c:order val="2"/>
          <c:tx>
            <c:strRef>
              <c:f>'A2 Chaining Cost'!A16</c:f>
              <c:strCache>
                <c:ptCount val="1"/>
                <c:pt idx="0">
                  <c:v>-&gt; LossyStore 0.1%</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'A2 Chaining Cost'!$B$13:$E$13</c:f>
              <c:strCache>
                <c:ptCount val="4"/>
                <c:pt idx="0">
                  <c:v>256 KB</c:v>
                </c:pt>
                <c:pt idx="1">
                  <c:v>1024 KB</c:v>
                </c:pt>
                <c:pt idx="2">
                  <c:v>4096 KB</c:v>
                </c:pt>
                <c:pt idx="3">
                  <c:v>16384 KB</c:v>
                </c:pt>
              </c:strCache>
            </c:strRef>
          </c:cat>
          <c:val>
            <c:numRef>
              <c:f>'A2 Chaining Cost'!$B$16:$E$16</c:f>
              <c:numCache>
                <c:formatCode>General</c:formatCode>
                <c:ptCount val="4"/>
                <c:pt idx="0">
                  <c:v>0.00211288056206089</c:v>
                </c:pt>
                <c:pt idx="1">
                  <c:v>0.00211288056206089</c:v>
                </c:pt>
                <c:pt idx="2">
                  <c:v>0.00211288056206089</c:v>
                </c:pt>
                <c:pt idx="3">
                  <c:v>0.00298822014051522</c:v>
                </c:pt>
              </c:numCache>
            </c:numRef>
          </c:val>
        </c:ser>
        <c:ser>
          <c:idx val="3"/>
          <c:order val="3"/>
          <c:tx>
            <c:strRef>
              <c:f>'A2 Chaining Cost'!A17</c:f>
              <c:strCache>
                <c:ptCount val="1"/>
                <c:pt idx="0">
                  <c:v>-&gt; LossyStore 1%</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'A2 Chaining Cost'!$B$13:$E$13</c:f>
              <c:strCache>
                <c:ptCount val="4"/>
                <c:pt idx="0">
                  <c:v>256 KB</c:v>
                </c:pt>
                <c:pt idx="1">
                  <c:v>1024 KB</c:v>
                </c:pt>
                <c:pt idx="2">
                  <c:v>4096 KB</c:v>
                </c:pt>
                <c:pt idx="3">
                  <c:v>16384 KB</c:v>
                </c:pt>
              </c:strCache>
            </c:strRef>
          </c:cat>
          <c:val>
            <c:numRef>
              <c:f>'A2 Chaining Cost'!$B$17:$E$17</c:f>
              <c:numCache>
                <c:formatCode>General</c:formatCode>
                <c:ptCount val="4"/>
                <c:pt idx="0">
                  <c:v>0.00211288056206089</c:v>
                </c:pt>
                <c:pt idx="1">
                  <c:v>0.00211288056206089</c:v>
                </c:pt>
                <c:pt idx="2">
                  <c:v>0.00211288056206089</c:v>
                </c:pt>
                <c:pt idx="3">
                  <c:v>0.00298822014051522</c:v>
                </c:pt>
              </c:numCache>
            </c:numRef>
          </c:val>
        </c:ser>
        <c:ser>
          <c:idx val="4"/>
          <c:order val="4"/>
          <c:tx>
            <c:strRef>
              <c:f>'A2 Chaining Cost'!A18</c:f>
              <c:strCache>
                <c:ptCount val="1"/>
                <c:pt idx="0">
                  <c:v>-&gt; LossyStore 5%</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'A2 Chaining Cost'!$B$13:$E$13</c:f>
              <c:strCache>
                <c:ptCount val="4"/>
                <c:pt idx="0">
                  <c:v>256 KB</c:v>
                </c:pt>
                <c:pt idx="1">
                  <c:v>1024 KB</c:v>
                </c:pt>
                <c:pt idx="2">
                  <c:v>4096 KB</c:v>
                </c:pt>
                <c:pt idx="3">
                  <c:v>16384 KB</c:v>
                </c:pt>
              </c:strCache>
            </c:strRef>
          </c:cat>
          <c:val>
            <c:numRef>
              <c:f>'A2 Chaining Cost'!$B$18:$E$18</c:f>
              <c:numCache>
                <c:formatCode>General</c:formatCode>
                <c:ptCount val="4"/>
                <c:pt idx="0">
                  <c:v>0.00211288056206089</c:v>
                </c:pt>
                <c:pt idx="1">
                  <c:v>0.00211288056206089</c:v>
                </c:pt>
                <c:pt idx="2">
                  <c:v>0.00211288056206089</c:v>
                </c:pt>
                <c:pt idx="3">
                  <c:v>0.00298822014051522</c:v>
                </c:pt>
              </c:numCache>
            </c:numRef>
          </c:val>
        </c:ser>
        <c:gapWidth val="60"/>
        <c:overlap val="0"/>
        <c:axId val="91315604"/>
        <c:axId val="96877354"/>
      </c:barChart>
      <c:catAx>
        <c:axId val="9131560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877354"/>
        <c:crosses val="autoZero"/>
        <c:auto val="1"/>
        <c:lblAlgn val="ctr"/>
        <c:lblOffset val="100"/>
        <c:noMultiLvlLbl val="0"/>
      </c:catAx>
      <c:valAx>
        <c:axId val="9687735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bytes_in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31560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Chained ratio as a fraction of standalone</a:t>
            </a:r>
          </a:p>
        </c:rich>
      </c:tx>
      <c:overlay val="0"/>
      <c:spPr>
        <a:noFill/>
        <a:ln w="0">
          <a:noFill/>
        </a:ln>
      </c:spPr>
    </c:title>
    <c:autoTitleDeleted val="0"/>
    <c:plotArea>
      <c:barChart>
        <c:barDir val="col"/>
        <c:grouping val="clustered"/>
        <c:varyColors val="0"/>
        <c:ser>
          <c:idx val="0"/>
          <c:order val="0"/>
          <c:tx>
            <c:strRef>
              <c:f>'A2 Chaining Cost'!A27</c:f>
              <c:strCache>
                <c:ptCount val="1"/>
                <c:pt idx="0">
                  <c:v>-&gt; CompressedStore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'A2 Chaining Cost'!$B$26:$E$26</c:f>
              <c:strCache>
                <c:ptCount val="4"/>
                <c:pt idx="0">
                  <c:v>256 KB</c:v>
                </c:pt>
                <c:pt idx="1">
                  <c:v>1024 KB</c:v>
                </c:pt>
                <c:pt idx="2">
                  <c:v>4096 KB</c:v>
                </c:pt>
                <c:pt idx="3">
                  <c:v>16384 KB</c:v>
                </c:pt>
              </c:strCache>
            </c:strRef>
          </c:cat>
          <c:val>
            <c:numRef>
              <c:f>'A2 Chaining Cost'!$B$27:$E$27</c:f>
              <c:numCache>
                <c:formatCode>General</c:formatCode>
                <c:ptCount val="4"/>
                <c:pt idx="0">
                  <c:v>0.998121667474552</c:v>
                </c:pt>
                <c:pt idx="1">
                  <c:v>0.998607495307865</c:v>
                </c:pt>
                <c:pt idx="2">
                  <c:v>0.998607663902173</c:v>
                </c:pt>
                <c:pt idx="3">
                  <c:v>0.998002421307506</c:v>
                </c:pt>
              </c:numCache>
            </c:numRef>
          </c:val>
        </c:ser>
        <c:ser>
          <c:idx val="1"/>
          <c:order val="1"/>
          <c:tx>
            <c:strRef>
              <c:f>'A2 Chaining Cost'!A28</c:f>
              <c:strCache>
                <c:ptCount val="1"/>
                <c:pt idx="0">
                  <c:v>-&gt; LossyStore lossless</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'A2 Chaining Cost'!$B$26:$E$26</c:f>
              <c:strCache>
                <c:ptCount val="4"/>
                <c:pt idx="0">
                  <c:v>256 KB</c:v>
                </c:pt>
                <c:pt idx="1">
                  <c:v>1024 KB</c:v>
                </c:pt>
                <c:pt idx="2">
                  <c:v>4096 KB</c:v>
                </c:pt>
                <c:pt idx="3">
                  <c:v>16384 KB</c:v>
                </c:pt>
              </c:strCache>
            </c:strRef>
          </c:cat>
          <c:val>
            <c:numRef>
              <c:f>'A2 Chaining Cost'!$B$28:$E$28</c:f>
              <c:numCache>
                <c:formatCode>General</c:formatCode>
                <c:ptCount val="4"/>
                <c:pt idx="0">
                  <c:v>0.998549712628243</c:v>
                </c:pt>
                <c:pt idx="1">
                  <c:v>0.998180553325841</c:v>
                </c:pt>
                <c:pt idx="2">
                  <c:v>1.00016210958608</c:v>
                </c:pt>
                <c:pt idx="3">
                  <c:v>0.998474114441417</c:v>
                </c:pt>
              </c:numCache>
            </c:numRef>
          </c:val>
        </c:ser>
        <c:ser>
          <c:idx val="2"/>
          <c:order val="2"/>
          <c:tx>
            <c:strRef>
              <c:f>'A2 Chaining Cost'!A29</c:f>
              <c:strCache>
                <c:ptCount val="1"/>
                <c:pt idx="0">
                  <c:v>-&gt; LossyStore 0.1%</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'A2 Chaining Cost'!$B$26:$E$26</c:f>
              <c:strCache>
                <c:ptCount val="4"/>
                <c:pt idx="0">
                  <c:v>256 KB</c:v>
                </c:pt>
                <c:pt idx="1">
                  <c:v>1024 KB</c:v>
                </c:pt>
                <c:pt idx="2">
                  <c:v>4096 KB</c:v>
                </c:pt>
                <c:pt idx="3">
                  <c:v>16384 KB</c:v>
                </c:pt>
              </c:strCache>
            </c:strRef>
          </c:cat>
          <c:val>
            <c:numRef>
              <c:f>'A2 Chaining Cost'!$B$29:$E$29</c:f>
              <c:numCache>
                <c:formatCode>General</c:formatCode>
                <c:ptCount val="4"/>
                <c:pt idx="0">
                  <c:v>0.996106381574606</c:v>
                </c:pt>
                <c:pt idx="1">
                  <c:v>0.99589802698488</c:v>
                </c:pt>
                <c:pt idx="2">
                  <c:v>1.0010083449235</c:v>
                </c:pt>
                <c:pt idx="3">
                  <c:v>0.996959304175653</c:v>
                </c:pt>
              </c:numCache>
            </c:numRef>
          </c:val>
        </c:ser>
        <c:ser>
          <c:idx val="3"/>
          <c:order val="3"/>
          <c:tx>
            <c:strRef>
              <c:f>'A2 Chaining Cost'!A30</c:f>
              <c:strCache>
                <c:ptCount val="1"/>
                <c:pt idx="0">
                  <c:v>-&gt; LossyStore 1%</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'A2 Chaining Cost'!$B$26:$E$26</c:f>
              <c:strCache>
                <c:ptCount val="4"/>
                <c:pt idx="0">
                  <c:v>256 KB</c:v>
                </c:pt>
                <c:pt idx="1">
                  <c:v>1024 KB</c:v>
                </c:pt>
                <c:pt idx="2">
                  <c:v>4096 KB</c:v>
                </c:pt>
                <c:pt idx="3">
                  <c:v>16384 KB</c:v>
                </c:pt>
              </c:strCache>
            </c:strRef>
          </c:cat>
          <c:val>
            <c:numRef>
              <c:f>'A2 Chaining Cost'!$B$30:$E$30</c:f>
              <c:numCache>
                <c:formatCode>General</c:formatCode>
                <c:ptCount val="4"/>
                <c:pt idx="0">
                  <c:v>0.99577874362903</c:v>
                </c:pt>
                <c:pt idx="1">
                  <c:v>0.995521041438422</c:v>
                </c:pt>
                <c:pt idx="2">
                  <c:v>1.00119359437684</c:v>
                </c:pt>
                <c:pt idx="3">
                  <c:v>0.996601843752103</c:v>
                </c:pt>
              </c:numCache>
            </c:numRef>
          </c:val>
        </c:ser>
        <c:ser>
          <c:idx val="4"/>
          <c:order val="4"/>
          <c:tx>
            <c:strRef>
              <c:f>'A2 Chaining Cost'!A31</c:f>
              <c:strCache>
                <c:ptCount val="1"/>
                <c:pt idx="0">
                  <c:v>-&gt; LossyStore 5%</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'A2 Chaining Cost'!$B$26:$E$26</c:f>
              <c:strCache>
                <c:ptCount val="4"/>
                <c:pt idx="0">
                  <c:v>256 KB</c:v>
                </c:pt>
                <c:pt idx="1">
                  <c:v>1024 KB</c:v>
                </c:pt>
                <c:pt idx="2">
                  <c:v>4096 KB</c:v>
                </c:pt>
                <c:pt idx="3">
                  <c:v>16384 KB</c:v>
                </c:pt>
              </c:strCache>
            </c:strRef>
          </c:cat>
          <c:val>
            <c:numRef>
              <c:f>'A2 Chaining Cost'!$B$31:$E$31</c:f>
              <c:numCache>
                <c:formatCode>General</c:formatCode>
                <c:ptCount val="4"/>
                <c:pt idx="0">
                  <c:v>0.995591654337389</c:v>
                </c:pt>
                <c:pt idx="1">
                  <c:v>0.995356037151703</c:v>
                </c:pt>
                <c:pt idx="2">
                  <c:v>0.999873461769637</c:v>
                </c:pt>
                <c:pt idx="3">
                  <c:v>0.994744720833201</c:v>
                </c:pt>
              </c:numCache>
            </c:numRef>
          </c:val>
        </c:ser>
        <c:gapWidth val="60"/>
        <c:overlap val="0"/>
        <c:axId val="26130362"/>
        <c:axId val="53864011"/>
      </c:barChart>
      <c:catAx>
        <c:axId val="2613036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864011"/>
        <c:crosses val="autoZero"/>
        <c:auto val="1"/>
        <c:lblAlgn val="ctr"/>
        <c:lblOffset val="100"/>
        <c:noMultiLvlLbl val="0"/>
      </c:catAx>
      <c:valAx>
        <c:axId val="5386401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x</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13036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LossyStore: ratio by accuracy bound</a:t>
            </a:r>
          </a:p>
        </c:rich>
      </c:tx>
      <c:overlay val="0"/>
      <c:spPr>
        <a:noFill/>
        <a:ln w="0">
          <a:noFill/>
        </a:ln>
      </c:spPr>
    </c:title>
    <c:autoTitleDeleted val="0"/>
    <c:plotArea>
      <c:lineChart>
        <c:grouping val="standard"/>
        <c:varyColors val="0"/>
        <c:ser>
          <c:idx val="0"/>
          <c:order val="0"/>
          <c:tx>
            <c:strRef>
              <c:f>'A3 Accuracy and Float'!A6</c:f>
              <c:strCache>
                <c:ptCount val="1"/>
                <c:pt idx="0">
                  <c:v>LossyStore lossless</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'A3 Accuracy and Float'!$B$5:$E$5</c:f>
              <c:strCache>
                <c:ptCount val="4"/>
                <c:pt idx="0">
                  <c:v>256 KB</c:v>
                </c:pt>
                <c:pt idx="1">
                  <c:v>1024 KB</c:v>
                </c:pt>
                <c:pt idx="2">
                  <c:v>4096 KB</c:v>
                </c:pt>
                <c:pt idx="3">
                  <c:v>16384 KB</c:v>
                </c:pt>
              </c:strCache>
            </c:strRef>
          </c:cat>
          <c:val>
            <c:numRef>
              <c:f>'A3 Accuracy and Float'!$B$6:$E$6</c:f>
              <c:numCache>
                <c:formatCode>General</c:formatCode>
                <c:ptCount val="4"/>
                <c:pt idx="0">
                  <c:v>1.8617</c:v>
                </c:pt>
                <c:pt idx="1">
                  <c:v>1.8687</c:v>
                </c:pt>
                <c:pt idx="2">
                  <c:v>1.8506</c:v>
                </c:pt>
                <c:pt idx="3">
                  <c:v>1.835</c:v>
                </c:pt>
              </c:numCache>
            </c:numRef>
          </c:val>
          <c:smooth val="1"/>
        </c:ser>
        <c:ser>
          <c:idx val="1"/>
          <c:order val="1"/>
          <c:tx>
            <c:strRef>
              <c:f>'A3 Accuracy and Float'!A7</c:f>
              <c:strCache>
                <c:ptCount val="1"/>
                <c:pt idx="0">
                  <c:v>LossyStore 0.1%</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'A3 Accuracy and Float'!$B$5:$E$5</c:f>
              <c:strCache>
                <c:ptCount val="4"/>
                <c:pt idx="0">
                  <c:v>256 KB</c:v>
                </c:pt>
                <c:pt idx="1">
                  <c:v>1024 KB</c:v>
                </c:pt>
                <c:pt idx="2">
                  <c:v>4096 KB</c:v>
                </c:pt>
                <c:pt idx="3">
                  <c:v>16384 KB</c:v>
                </c:pt>
              </c:strCache>
            </c:strRef>
          </c:cat>
          <c:val>
            <c:numRef>
              <c:f>'A3 Accuracy and Float'!$B$7:$E$7</c:f>
              <c:numCache>
                <c:formatCode>General</c:formatCode>
                <c:ptCount val="4"/>
                <c:pt idx="0">
                  <c:v>3.0306</c:v>
                </c:pt>
                <c:pt idx="1">
                  <c:v>2.9498</c:v>
                </c:pt>
                <c:pt idx="2">
                  <c:v>2.876</c:v>
                </c:pt>
                <c:pt idx="3">
                  <c:v>2.8283</c:v>
                </c:pt>
              </c:numCache>
            </c:numRef>
          </c:val>
          <c:smooth val="1"/>
        </c:ser>
        <c:ser>
          <c:idx val="2"/>
          <c:order val="2"/>
          <c:tx>
            <c:strRef>
              <c:f>'A3 Accuracy and Float'!A8</c:f>
              <c:strCache>
                <c:ptCount val="1"/>
                <c:pt idx="0">
                  <c:v>LossyStore 1%</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'A3 Accuracy and Float'!$B$5:$E$5</c:f>
              <c:strCache>
                <c:ptCount val="4"/>
                <c:pt idx="0">
                  <c:v>256 KB</c:v>
                </c:pt>
                <c:pt idx="1">
                  <c:v>1024 KB</c:v>
                </c:pt>
                <c:pt idx="2">
                  <c:v>4096 KB</c:v>
                </c:pt>
                <c:pt idx="3">
                  <c:v>16384 KB</c:v>
                </c:pt>
              </c:strCache>
            </c:strRef>
          </c:cat>
          <c:val>
            <c:numRef>
              <c:f>'A3 Accuracy and Float'!$B$8:$E$8</c:f>
              <c:numCache>
                <c:formatCode>General</c:formatCode>
                <c:ptCount val="4"/>
                <c:pt idx="0">
                  <c:v>3.1981</c:v>
                </c:pt>
                <c:pt idx="1">
                  <c:v>3.1034</c:v>
                </c:pt>
                <c:pt idx="2">
                  <c:v>3.0161</c:v>
                </c:pt>
                <c:pt idx="3">
                  <c:v>2.9722</c:v>
                </c:pt>
              </c:numCache>
            </c:numRef>
          </c:val>
          <c:smooth val="1"/>
        </c:ser>
        <c:ser>
          <c:idx val="3"/>
          <c:order val="3"/>
          <c:tx>
            <c:strRef>
              <c:f>'A3 Accuracy and Float'!A9</c:f>
              <c:strCache>
                <c:ptCount val="1"/>
                <c:pt idx="0">
                  <c:v>LossyStore 5%</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'A3 Accuracy and Float'!$B$5:$E$5</c:f>
              <c:strCache>
                <c:ptCount val="4"/>
                <c:pt idx="0">
                  <c:v>256 KB</c:v>
                </c:pt>
                <c:pt idx="1">
                  <c:v>1024 KB</c:v>
                </c:pt>
                <c:pt idx="2">
                  <c:v>4096 KB</c:v>
                </c:pt>
                <c:pt idx="3">
                  <c:v>16384 KB</c:v>
                </c:pt>
              </c:strCache>
            </c:strRef>
          </c:cat>
          <c:val>
            <c:numRef>
              <c:f>'A3 Accuracy and Float'!$B$9:$E$9</c:f>
              <c:numCache>
                <c:formatCode>General</c:formatCode>
                <c:ptCount val="4"/>
                <c:pt idx="0">
                  <c:v>3.3119</c:v>
                </c:pt>
                <c:pt idx="1">
                  <c:v>3.23</c:v>
                </c:pt>
                <c:pt idx="2">
                  <c:v>3.1611</c:v>
                </c:pt>
                <c:pt idx="3">
                  <c:v>3.1397</c:v>
                </c:pt>
              </c:numCache>
            </c:numRef>
          </c:val>
          <c:smooth val="1"/>
        </c:ser>
        <c:hiLowLines>
          <c:spPr>
            <a:ln w="0">
              <a:noFill/>
            </a:ln>
          </c:spPr>
        </c:hiLowLines>
        <c:marker val="0"/>
        <c:axId val="3718082"/>
        <c:axId val="52074076"/>
      </c:lineChart>
      <c:catAx>
        <c:axId val="371808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074076"/>
        <c:crosses val="autoZero"/>
        <c:auto val="1"/>
        <c:lblAlgn val="ctr"/>
        <c:lblOffset val="100"/>
        <c:noMultiLvlLbl val="0"/>
      </c:catAx>
      <c:valAx>
        <c:axId val="5207407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ratio</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180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Gain over lossless</a:t>
            </a:r>
          </a:p>
        </c:rich>
      </c:tx>
      <c:overlay val="0"/>
      <c:spPr>
        <a:noFill/>
        <a:ln w="0">
          <a:noFill/>
        </a:ln>
      </c:spPr>
    </c:title>
    <c:autoTitleDeleted val="0"/>
    <c:plotArea>
      <c:barChart>
        <c:barDir val="col"/>
        <c:grouping val="clustered"/>
        <c:varyColors val="0"/>
        <c:ser>
          <c:idx val="0"/>
          <c:order val="0"/>
          <c:tx>
            <c:strRef>
              <c:f>'A3 Accuracy and Float'!A17</c:f>
              <c:strCache>
                <c:ptCount val="1"/>
                <c:pt idx="0">
                  <c:v>LossyStore 0.1%</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'A3 Accuracy and Float'!$B$16:$E$16</c:f>
              <c:strCache>
                <c:ptCount val="4"/>
                <c:pt idx="0">
                  <c:v>256 KB</c:v>
                </c:pt>
                <c:pt idx="1">
                  <c:v>1024 KB</c:v>
                </c:pt>
                <c:pt idx="2">
                  <c:v>4096 KB</c:v>
                </c:pt>
                <c:pt idx="3">
                  <c:v>16384 KB</c:v>
                </c:pt>
              </c:strCache>
            </c:strRef>
          </c:cat>
          <c:val>
            <c:numRef>
              <c:f>'A3 Accuracy and Float'!$B$17:$E$17</c:f>
              <c:numCache>
                <c:formatCode>General</c:formatCode>
                <c:ptCount val="4"/>
                <c:pt idx="0">
                  <c:v>1.62786700327658</c:v>
                </c:pt>
                <c:pt idx="1">
                  <c:v>1.57853052924493</c:v>
                </c:pt>
                <c:pt idx="2">
                  <c:v>1.55409056522209</c:v>
                </c:pt>
                <c:pt idx="3">
                  <c:v>1.54130790190736</c:v>
                </c:pt>
              </c:numCache>
            </c:numRef>
          </c:val>
        </c:ser>
        <c:ser>
          <c:idx val="1"/>
          <c:order val="1"/>
          <c:tx>
            <c:strRef>
              <c:f>'A3 Accuracy and Float'!A18</c:f>
              <c:strCache>
                <c:ptCount val="1"/>
                <c:pt idx="0">
                  <c:v>LossyStore 1%</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'A3 Accuracy and Float'!$B$16:$E$16</c:f>
              <c:strCache>
                <c:ptCount val="4"/>
                <c:pt idx="0">
                  <c:v>256 KB</c:v>
                </c:pt>
                <c:pt idx="1">
                  <c:v>1024 KB</c:v>
                </c:pt>
                <c:pt idx="2">
                  <c:v>4096 KB</c:v>
                </c:pt>
                <c:pt idx="3">
                  <c:v>16384 KB</c:v>
                </c:pt>
              </c:strCache>
            </c:strRef>
          </c:cat>
          <c:val>
            <c:numRef>
              <c:f>'A3 Accuracy and Float'!$B$18:$E$18</c:f>
              <c:numCache>
                <c:formatCode>General</c:formatCode>
                <c:ptCount val="4"/>
                <c:pt idx="0">
                  <c:v>1.71783853467261</c:v>
                </c:pt>
                <c:pt idx="1">
                  <c:v>1.66072670840691</c:v>
                </c:pt>
                <c:pt idx="2">
                  <c:v>1.62979574192154</c:v>
                </c:pt>
                <c:pt idx="3">
                  <c:v>1.61972752043597</c:v>
                </c:pt>
              </c:numCache>
            </c:numRef>
          </c:val>
        </c:ser>
        <c:ser>
          <c:idx val="2"/>
          <c:order val="2"/>
          <c:tx>
            <c:strRef>
              <c:f>'A3 Accuracy and Float'!A19</c:f>
              <c:strCache>
                <c:ptCount val="1"/>
                <c:pt idx="0">
                  <c:v>LossyStore 5%</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'A3 Accuracy and Float'!$B$16:$E$16</c:f>
              <c:strCache>
                <c:ptCount val="4"/>
                <c:pt idx="0">
                  <c:v>256 KB</c:v>
                </c:pt>
                <c:pt idx="1">
                  <c:v>1024 KB</c:v>
                </c:pt>
                <c:pt idx="2">
                  <c:v>4096 KB</c:v>
                </c:pt>
                <c:pt idx="3">
                  <c:v>16384 KB</c:v>
                </c:pt>
              </c:strCache>
            </c:strRef>
          </c:cat>
          <c:val>
            <c:numRef>
              <c:f>'A3 Accuracy and Float'!$B$19:$E$19</c:f>
              <c:numCache>
                <c:formatCode>General</c:formatCode>
                <c:ptCount val="4"/>
                <c:pt idx="0">
                  <c:v>1.77896546167481</c:v>
                </c:pt>
                <c:pt idx="1">
                  <c:v>1.72847434045058</c:v>
                </c:pt>
                <c:pt idx="2">
                  <c:v>1.70814870852696</c:v>
                </c:pt>
                <c:pt idx="3">
                  <c:v>1.71100817438692</c:v>
                </c:pt>
              </c:numCache>
            </c:numRef>
          </c:val>
        </c:ser>
        <c:gapWidth val="60"/>
        <c:overlap val="0"/>
        <c:axId val="85054582"/>
        <c:axId val="86651360"/>
      </c:barChart>
      <c:catAx>
        <c:axId val="8505458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651360"/>
        <c:crosses val="autoZero"/>
        <c:auto val="1"/>
        <c:lblAlgn val="ctr"/>
        <c:lblOffset val="100"/>
        <c:noMultiLvlLbl val="0"/>
      </c:catAx>
      <c:valAx>
        <c:axId val="8665136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x</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0545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Framing share of the file</a:t>
            </a:r>
          </a:p>
        </c:rich>
      </c:tx>
      <c:overlay val="0"/>
      <c:spPr>
        <a:noFill/>
        <a:ln w="0">
          <a:noFill/>
        </a:ln>
      </c:spPr>
    </c:title>
    <c:autoTitleDeleted val="0"/>
    <c:plotArea>
      <c:lineChart>
        <c:grouping val="standard"/>
        <c:varyColors val="0"/>
        <c:ser>
          <c:idx val="0"/>
          <c:order val="0"/>
          <c:tx>
            <c:strRef>
              <c:f>'A4 Overhead and Timing'!A6</c:f>
              <c:strCache>
                <c:ptCount val="1"/>
                <c:pt idx="0">
                  <c:v>FileStore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Timing'!$B$5:$E$5</c:f>
              <c:strCache>
                <c:ptCount val="4"/>
                <c:pt idx="0">
                  <c:v>256 KB</c:v>
                </c:pt>
                <c:pt idx="1">
                  <c:v>1024 KB</c:v>
                </c:pt>
                <c:pt idx="2">
                  <c:v>4096 KB</c:v>
                </c:pt>
                <c:pt idx="3">
                  <c:v>16384 KB</c:v>
                </c:pt>
              </c:strCache>
            </c:strRef>
          </c:cat>
          <c:val>
            <c:numRef>
              <c:f>'A4 Overhead and Timing'!$B$6:$E$6</c:f>
              <c:numCache>
                <c:formatCode>General</c:formatCode>
                <c:ptCount val="4"/>
                <c:pt idx="0">
                  <c:v>0.000275</c:v>
                </c:pt>
                <c:pt idx="1">
                  <c:v>6.9E-005</c:v>
                </c:pt>
                <c:pt idx="2">
                  <c:v>1.8E-005</c:v>
                </c:pt>
                <c:pt idx="3">
                  <c:v>5E-006</c:v>
                </c:pt>
              </c:numCache>
            </c:numRef>
          </c:val>
          <c:smooth val="1"/>
        </c:ser>
        <c:ser>
          <c:idx val="1"/>
          <c:order val="1"/>
          <c:tx>
            <c:strRef>
              <c:f>'A4 Overhead and Timing'!A7</c:f>
              <c:strCache>
                <c:ptCount val="1"/>
                <c:pt idx="0">
                  <c:v>CompressedStore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Timing'!$B$5:$E$5</c:f>
              <c:strCache>
                <c:ptCount val="4"/>
                <c:pt idx="0">
                  <c:v>256 KB</c:v>
                </c:pt>
                <c:pt idx="1">
                  <c:v>1024 KB</c:v>
                </c:pt>
                <c:pt idx="2">
                  <c:v>4096 KB</c:v>
                </c:pt>
                <c:pt idx="3">
                  <c:v>16384 KB</c:v>
                </c:pt>
              </c:strCache>
            </c:strRef>
          </c:cat>
          <c:val>
            <c:numRef>
              <c:f>'A4 Overhead and Timing'!$B$7:$E$7</c:f>
              <c:numCache>
                <c:formatCode>General</c:formatCode>
                <c:ptCount val="4"/>
                <c:pt idx="0">
                  <c:v>0.000259</c:v>
                </c:pt>
                <c:pt idx="1">
                  <c:v>6.5E-005</c:v>
                </c:pt>
                <c:pt idx="2">
                  <c:v>1.7E-005</c:v>
                </c:pt>
                <c:pt idx="3">
                  <c:v>5E-006</c:v>
                </c:pt>
              </c:numCache>
            </c:numRef>
          </c:val>
          <c:smooth val="1"/>
        </c:ser>
        <c:ser>
          <c:idx val="2"/>
          <c:order val="2"/>
          <c:tx>
            <c:strRef>
              <c:f>'A4 Overhead and Timing'!A8</c:f>
              <c:strCache>
                <c:ptCount val="1"/>
                <c:pt idx="0">
                  <c:v>LossyStore lossless</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Timing'!$B$5:$E$5</c:f>
              <c:strCache>
                <c:ptCount val="4"/>
                <c:pt idx="0">
                  <c:v>256 KB</c:v>
                </c:pt>
                <c:pt idx="1">
                  <c:v>1024 KB</c:v>
                </c:pt>
                <c:pt idx="2">
                  <c:v>4096 KB</c:v>
                </c:pt>
                <c:pt idx="3">
                  <c:v>16384 KB</c:v>
                </c:pt>
              </c:strCache>
            </c:strRef>
          </c:cat>
          <c:val>
            <c:numRef>
              <c:f>'A4 Overhead and Timing'!$B$8:$E$8</c:f>
              <c:numCache>
                <c:formatCode>General</c:formatCode>
                <c:ptCount val="4"/>
                <c:pt idx="0">
                  <c:v>0.001674</c:v>
                </c:pt>
                <c:pt idx="1">
                  <c:v>0.000421</c:v>
                </c:pt>
                <c:pt idx="2">
                  <c:v>0.000105</c:v>
                </c:pt>
                <c:pt idx="3">
                  <c:v>2.7E-005</c:v>
                </c:pt>
              </c:numCache>
            </c:numRef>
          </c:val>
          <c:smooth val="1"/>
        </c:ser>
        <c:ser>
          <c:idx val="3"/>
          <c:order val="3"/>
          <c:tx>
            <c:strRef>
              <c:f>'A4 Overhead and Timing'!A9</c:f>
              <c:strCache>
                <c:ptCount val="1"/>
                <c:pt idx="0">
                  <c:v>LossyStore 0.1%</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Timing'!$B$5:$E$5</c:f>
              <c:strCache>
                <c:ptCount val="4"/>
                <c:pt idx="0">
                  <c:v>256 KB</c:v>
                </c:pt>
                <c:pt idx="1">
                  <c:v>1024 KB</c:v>
                </c:pt>
                <c:pt idx="2">
                  <c:v>4096 KB</c:v>
                </c:pt>
                <c:pt idx="3">
                  <c:v>16384 KB</c:v>
                </c:pt>
              </c:strCache>
            </c:strRef>
          </c:cat>
          <c:val>
            <c:numRef>
              <c:f>'A4 Overhead and Timing'!$B$9:$E$9</c:f>
              <c:numCache>
                <c:formatCode>General</c:formatCode>
                <c:ptCount val="4"/>
                <c:pt idx="0">
                  <c:v>0.002722</c:v>
                </c:pt>
                <c:pt idx="1">
                  <c:v>0.000665</c:v>
                </c:pt>
                <c:pt idx="2">
                  <c:v>0.000163</c:v>
                </c:pt>
                <c:pt idx="3">
                  <c:v>4.1E-005</c:v>
                </c:pt>
              </c:numCache>
            </c:numRef>
          </c:val>
          <c:smooth val="1"/>
        </c:ser>
        <c:ser>
          <c:idx val="4"/>
          <c:order val="4"/>
          <c:tx>
            <c:strRef>
              <c:f>'A4 Overhead and Timing'!A10</c:f>
              <c:strCache>
                <c:ptCount val="1"/>
                <c:pt idx="0">
                  <c:v>LossyStore 1%</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Timing'!$B$5:$E$5</c:f>
              <c:strCache>
                <c:ptCount val="4"/>
                <c:pt idx="0">
                  <c:v>256 KB</c:v>
                </c:pt>
                <c:pt idx="1">
                  <c:v>1024 KB</c:v>
                </c:pt>
                <c:pt idx="2">
                  <c:v>4096 KB</c:v>
                </c:pt>
                <c:pt idx="3">
                  <c:v>16384 KB</c:v>
                </c:pt>
              </c:strCache>
            </c:strRef>
          </c:cat>
          <c:val>
            <c:numRef>
              <c:f>'A4 Overhead and Timing'!$B$10:$E$10</c:f>
              <c:numCache>
                <c:formatCode>General</c:formatCode>
                <c:ptCount val="4"/>
                <c:pt idx="0">
                  <c:v>0.002872</c:v>
                </c:pt>
                <c:pt idx="1">
                  <c:v>0.000699</c:v>
                </c:pt>
                <c:pt idx="2">
                  <c:v>0.000171</c:v>
                </c:pt>
                <c:pt idx="3">
                  <c:v>4.3E-005</c:v>
                </c:pt>
              </c:numCache>
            </c:numRef>
          </c:val>
          <c:smooth val="1"/>
        </c:ser>
        <c:ser>
          <c:idx val="5"/>
          <c:order val="5"/>
          <c:tx>
            <c:strRef>
              <c:f>'A4 Overhead and Timing'!A11</c:f>
              <c:strCache>
                <c:ptCount val="1"/>
                <c:pt idx="0">
                  <c:v>LossyStore 5%</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Timing'!$B$5:$E$5</c:f>
              <c:strCache>
                <c:ptCount val="4"/>
                <c:pt idx="0">
                  <c:v>256 KB</c:v>
                </c:pt>
                <c:pt idx="1">
                  <c:v>1024 KB</c:v>
                </c:pt>
                <c:pt idx="2">
                  <c:v>4096 KB</c:v>
                </c:pt>
                <c:pt idx="3">
                  <c:v>16384 KB</c:v>
                </c:pt>
              </c:strCache>
            </c:strRef>
          </c:cat>
          <c:val>
            <c:numRef>
              <c:f>'A4 Overhead and Timing'!$B$11:$E$11</c:f>
              <c:numCache>
                <c:formatCode>General</c:formatCode>
                <c:ptCount val="4"/>
                <c:pt idx="0">
                  <c:v>0.002974</c:v>
                </c:pt>
                <c:pt idx="1">
                  <c:v>0.000728</c:v>
                </c:pt>
                <c:pt idx="2">
                  <c:v>0.000179</c:v>
                </c:pt>
                <c:pt idx="3">
                  <c:v>4.6E-005</c:v>
                </c:pt>
              </c:numCache>
            </c:numRef>
          </c:val>
          <c:smooth val="1"/>
        </c:ser>
        <c:hiLowLines>
          <c:spPr>
            <a:ln w="0">
              <a:noFill/>
            </a:ln>
          </c:spPr>
        </c:hiLowLines>
        <c:marker val="0"/>
        <c:axId val="62446396"/>
        <c:axId val="26330161"/>
      </c:lineChart>
      <c:catAx>
        <c:axId val="6244639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330161"/>
        <c:crosses val="autoZero"/>
        <c:auto val="1"/>
        <c:lblAlgn val="ctr"/>
        <c:lblOffset val="100"/>
        <c:noMultiLvlLbl val="0"/>
      </c:catAx>
      <c:valAx>
        <c:axId val="2633016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disk_bytes</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44639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Units written (log scale)</a:t>
            </a:r>
          </a:p>
        </c:rich>
      </c:tx>
      <c:overlay val="0"/>
      <c:spPr>
        <a:noFill/>
        <a:ln w="0">
          <a:noFill/>
        </a:ln>
      </c:spPr>
    </c:title>
    <c:autoTitleDeleted val="0"/>
    <c:plotArea>
      <c:lineChart>
        <c:grouping val="standard"/>
        <c:varyColors val="0"/>
        <c:ser>
          <c:idx val="0"/>
          <c:order val="0"/>
          <c:tx>
            <c:strRef>
              <c:f>'A4 Overhead and Timing'!A18</c:f>
              <c:strCache>
                <c:ptCount val="1"/>
                <c:pt idx="0">
                  <c:v>FileStore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Timing'!$B$17:$E$17</c:f>
              <c:strCache>
                <c:ptCount val="4"/>
                <c:pt idx="0">
                  <c:v>256 KB</c:v>
                </c:pt>
                <c:pt idx="1">
                  <c:v>1024 KB</c:v>
                </c:pt>
                <c:pt idx="2">
                  <c:v>4096 KB</c:v>
                </c:pt>
                <c:pt idx="3">
                  <c:v>16384 KB</c:v>
                </c:pt>
              </c:strCache>
            </c:strRef>
          </c:cat>
          <c:val>
            <c:numRef>
              <c:f>'A4 Overhead and Timing'!$B$18:$E$18</c:f>
              <c:numCache>
                <c:formatCode>General</c:formatCode>
                <c:ptCount val="4"/>
                <c:pt idx="0">
                  <c:v>4561</c:v>
                </c:pt>
                <c:pt idx="1">
                  <c:v>1141</c:v>
                </c:pt>
                <c:pt idx="2">
                  <c:v>286</c:v>
                </c:pt>
                <c:pt idx="3">
                  <c:v>72</c:v>
                </c:pt>
              </c:numCache>
            </c:numRef>
          </c:val>
          <c:smooth val="1"/>
        </c:ser>
        <c:ser>
          <c:idx val="1"/>
          <c:order val="1"/>
          <c:tx>
            <c:strRef>
              <c:f>'A4 Overhead and Timing'!A19</c:f>
              <c:strCache>
                <c:ptCount val="1"/>
                <c:pt idx="0">
                  <c:v>CompressedStore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Timing'!$B$17:$E$17</c:f>
              <c:strCache>
                <c:ptCount val="4"/>
                <c:pt idx="0">
                  <c:v>256 KB</c:v>
                </c:pt>
                <c:pt idx="1">
                  <c:v>1024 KB</c:v>
                </c:pt>
                <c:pt idx="2">
                  <c:v>4096 KB</c:v>
                </c:pt>
                <c:pt idx="3">
                  <c:v>16384 KB</c:v>
                </c:pt>
              </c:strCache>
            </c:strRef>
          </c:cat>
          <c:val>
            <c:numRef>
              <c:f>'A4 Overhead and Timing'!$B$19:$E$19</c:f>
              <c:numCache>
                <c:formatCode>General</c:formatCode>
                <c:ptCount val="4"/>
                <c:pt idx="0">
                  <c:v>4561</c:v>
                </c:pt>
                <c:pt idx="1">
                  <c:v>1141</c:v>
                </c:pt>
                <c:pt idx="2">
                  <c:v>286</c:v>
                </c:pt>
                <c:pt idx="3">
                  <c:v>72</c:v>
                </c:pt>
              </c:numCache>
            </c:numRef>
          </c:val>
          <c:smooth val="1"/>
        </c:ser>
        <c:ser>
          <c:idx val="2"/>
          <c:order val="2"/>
          <c:tx>
            <c:strRef>
              <c:f>'A4 Overhead and Timing'!A20</c:f>
              <c:strCache>
                <c:ptCount val="1"/>
                <c:pt idx="0">
                  <c:v>LossyStore lossless</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Timing'!$B$17:$E$17</c:f>
              <c:strCache>
                <c:ptCount val="4"/>
                <c:pt idx="0">
                  <c:v>256 KB</c:v>
                </c:pt>
                <c:pt idx="1">
                  <c:v>1024 KB</c:v>
                </c:pt>
                <c:pt idx="2">
                  <c:v>4096 KB</c:v>
                </c:pt>
                <c:pt idx="3">
                  <c:v>16384 KB</c:v>
                </c:pt>
              </c:strCache>
            </c:strRef>
          </c:cat>
          <c:val>
            <c:numRef>
              <c:f>'A4 Overhead and Timing'!$B$20:$E$20</c:f>
              <c:numCache>
                <c:formatCode>General</c:formatCode>
                <c:ptCount val="4"/>
                <c:pt idx="0">
                  <c:v>4561</c:v>
                </c:pt>
                <c:pt idx="1">
                  <c:v>1141</c:v>
                </c:pt>
                <c:pt idx="2">
                  <c:v>286</c:v>
                </c:pt>
                <c:pt idx="3">
                  <c:v>72</c:v>
                </c:pt>
              </c:numCache>
            </c:numRef>
          </c:val>
          <c:smooth val="1"/>
        </c:ser>
        <c:ser>
          <c:idx val="3"/>
          <c:order val="3"/>
          <c:tx>
            <c:strRef>
              <c:f>'A4 Overhead and Timing'!A21</c:f>
              <c:strCache>
                <c:ptCount val="1"/>
                <c:pt idx="0">
                  <c:v>LossyStore 0.1%</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Timing'!$B$17:$E$17</c:f>
              <c:strCache>
                <c:ptCount val="4"/>
                <c:pt idx="0">
                  <c:v>256 KB</c:v>
                </c:pt>
                <c:pt idx="1">
                  <c:v>1024 KB</c:v>
                </c:pt>
                <c:pt idx="2">
                  <c:v>4096 KB</c:v>
                </c:pt>
                <c:pt idx="3">
                  <c:v>16384 KB</c:v>
                </c:pt>
              </c:strCache>
            </c:strRef>
          </c:cat>
          <c:val>
            <c:numRef>
              <c:f>'A4 Overhead and Timing'!$B$21:$E$21</c:f>
              <c:numCache>
                <c:formatCode>General</c:formatCode>
                <c:ptCount val="4"/>
                <c:pt idx="0">
                  <c:v>4561</c:v>
                </c:pt>
                <c:pt idx="1">
                  <c:v>1141</c:v>
                </c:pt>
                <c:pt idx="2">
                  <c:v>286</c:v>
                </c:pt>
                <c:pt idx="3">
                  <c:v>72</c:v>
                </c:pt>
              </c:numCache>
            </c:numRef>
          </c:val>
          <c:smooth val="1"/>
        </c:ser>
        <c:ser>
          <c:idx val="4"/>
          <c:order val="4"/>
          <c:tx>
            <c:strRef>
              <c:f>'A4 Overhead and Timing'!A22</c:f>
              <c:strCache>
                <c:ptCount val="1"/>
                <c:pt idx="0">
                  <c:v>LossyStore 1%</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Timing'!$B$17:$E$17</c:f>
              <c:strCache>
                <c:ptCount val="4"/>
                <c:pt idx="0">
                  <c:v>256 KB</c:v>
                </c:pt>
                <c:pt idx="1">
                  <c:v>1024 KB</c:v>
                </c:pt>
                <c:pt idx="2">
                  <c:v>4096 KB</c:v>
                </c:pt>
                <c:pt idx="3">
                  <c:v>16384 KB</c:v>
                </c:pt>
              </c:strCache>
            </c:strRef>
          </c:cat>
          <c:val>
            <c:numRef>
              <c:f>'A4 Overhead and Timing'!$B$22:$E$22</c:f>
              <c:numCache>
                <c:formatCode>General</c:formatCode>
                <c:ptCount val="4"/>
                <c:pt idx="0">
                  <c:v>4561</c:v>
                </c:pt>
                <c:pt idx="1">
                  <c:v>1141</c:v>
                </c:pt>
                <c:pt idx="2">
                  <c:v>286</c:v>
                </c:pt>
                <c:pt idx="3">
                  <c:v>72</c:v>
                </c:pt>
              </c:numCache>
            </c:numRef>
          </c:val>
          <c:smooth val="1"/>
        </c:ser>
        <c:ser>
          <c:idx val="5"/>
          <c:order val="5"/>
          <c:tx>
            <c:strRef>
              <c:f>'A4 Overhead and Timing'!A23</c:f>
              <c:strCache>
                <c:ptCount val="1"/>
                <c:pt idx="0">
                  <c:v>LossyStore 5%</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Timing'!$B$17:$E$17</c:f>
              <c:strCache>
                <c:ptCount val="4"/>
                <c:pt idx="0">
                  <c:v>256 KB</c:v>
                </c:pt>
                <c:pt idx="1">
                  <c:v>1024 KB</c:v>
                </c:pt>
                <c:pt idx="2">
                  <c:v>4096 KB</c:v>
                </c:pt>
                <c:pt idx="3">
                  <c:v>16384 KB</c:v>
                </c:pt>
              </c:strCache>
            </c:strRef>
          </c:cat>
          <c:val>
            <c:numRef>
              <c:f>'A4 Overhead and Timing'!$B$23:$E$23</c:f>
              <c:numCache>
                <c:formatCode>General</c:formatCode>
                <c:ptCount val="4"/>
                <c:pt idx="0">
                  <c:v>4561</c:v>
                </c:pt>
                <c:pt idx="1">
                  <c:v>1141</c:v>
                </c:pt>
                <c:pt idx="2">
                  <c:v>286</c:v>
                </c:pt>
                <c:pt idx="3">
                  <c:v>72</c:v>
                </c:pt>
              </c:numCache>
            </c:numRef>
          </c:val>
          <c:smooth val="1"/>
        </c:ser>
        <c:hiLowLines>
          <c:spPr>
            <a:ln w="0">
              <a:noFill/>
            </a:ln>
          </c:spPr>
        </c:hiLowLines>
        <c:marker val="0"/>
        <c:axId val="41278513"/>
        <c:axId val="70309599"/>
      </c:lineChart>
      <c:catAx>
        <c:axId val="4127851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309599"/>
        <c:crosses val="autoZero"/>
        <c:auto val="1"/>
        <c:lblAlgn val="ctr"/>
        <c:lblOffset val="100"/>
        <c:noMultiLvlLbl val="0"/>
      </c:catAx>
      <c:valAx>
        <c:axId val="70309599"/>
        <c:scaling>
          <c:logBase val="10"/>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27851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Encode time</a:t>
            </a:r>
          </a:p>
        </c:rich>
      </c:tx>
      <c:overlay val="0"/>
      <c:spPr>
        <a:noFill/>
        <a:ln w="0">
          <a:noFill/>
        </a:ln>
      </c:spPr>
    </c:title>
    <c:autoTitleDeleted val="0"/>
    <c:plotArea>
      <c:lineChart>
        <c:grouping val="standard"/>
        <c:varyColors val="0"/>
        <c:ser>
          <c:idx val="0"/>
          <c:order val="0"/>
          <c:tx>
            <c:strRef>
              <c:f>'A4 Overhead and Timing'!A30</c:f>
              <c:strCache>
                <c:ptCount val="1"/>
                <c:pt idx="0">
                  <c:v>FileStore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Timing'!$B$29:$E$29</c:f>
              <c:strCache>
                <c:ptCount val="4"/>
                <c:pt idx="0">
                  <c:v>256 KB</c:v>
                </c:pt>
                <c:pt idx="1">
                  <c:v>1024 KB</c:v>
                </c:pt>
                <c:pt idx="2">
                  <c:v>4096 KB</c:v>
                </c:pt>
                <c:pt idx="3">
                  <c:v>16384 KB</c:v>
                </c:pt>
              </c:strCache>
            </c:strRef>
          </c:cat>
          <c:val>
            <c:numRef>
              <c:f>'A4 Overhead and Timing'!$B$30:$E$30</c:f>
              <c:numCache>
                <c:formatCode>General</c:formatCode>
                <c:ptCount val="4"/>
                <c:pt idx="0">
                  <c:v>146.488</c:v>
                </c:pt>
                <c:pt idx="1">
                  <c:v>128.439</c:v>
                </c:pt>
                <c:pt idx="2">
                  <c:v>128.535</c:v>
                </c:pt>
                <c:pt idx="3">
                  <c:v>125.987</c:v>
                </c:pt>
              </c:numCache>
            </c:numRef>
          </c:val>
          <c:smooth val="1"/>
        </c:ser>
        <c:ser>
          <c:idx val="1"/>
          <c:order val="1"/>
          <c:tx>
            <c:strRef>
              <c:f>'A4 Overhead and Timing'!A31</c:f>
              <c:strCache>
                <c:ptCount val="1"/>
                <c:pt idx="0">
                  <c:v>CompressedStore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Timing'!$B$29:$E$29</c:f>
              <c:strCache>
                <c:ptCount val="4"/>
                <c:pt idx="0">
                  <c:v>256 KB</c:v>
                </c:pt>
                <c:pt idx="1">
                  <c:v>1024 KB</c:v>
                </c:pt>
                <c:pt idx="2">
                  <c:v>4096 KB</c:v>
                </c:pt>
                <c:pt idx="3">
                  <c:v>16384 KB</c:v>
                </c:pt>
              </c:strCache>
            </c:strRef>
          </c:cat>
          <c:val>
            <c:numRef>
              <c:f>'A4 Overhead and Timing'!$B$31:$E$31</c:f>
              <c:numCache>
                <c:formatCode>General</c:formatCode>
                <c:ptCount val="4"/>
                <c:pt idx="0">
                  <c:v>156.819</c:v>
                </c:pt>
                <c:pt idx="1">
                  <c:v>135.662</c:v>
                </c:pt>
                <c:pt idx="2">
                  <c:v>135.817</c:v>
                </c:pt>
                <c:pt idx="3">
                  <c:v>133.374</c:v>
                </c:pt>
              </c:numCache>
            </c:numRef>
          </c:val>
          <c:smooth val="1"/>
        </c:ser>
        <c:ser>
          <c:idx val="2"/>
          <c:order val="2"/>
          <c:tx>
            <c:strRef>
              <c:f>'A4 Overhead and Timing'!A32</c:f>
              <c:strCache>
                <c:ptCount val="1"/>
                <c:pt idx="0">
                  <c:v>LossyStore lossless</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Timing'!$B$29:$E$29</c:f>
              <c:strCache>
                <c:ptCount val="4"/>
                <c:pt idx="0">
                  <c:v>256 KB</c:v>
                </c:pt>
                <c:pt idx="1">
                  <c:v>1024 KB</c:v>
                </c:pt>
                <c:pt idx="2">
                  <c:v>4096 KB</c:v>
                </c:pt>
                <c:pt idx="3">
                  <c:v>16384 KB</c:v>
                </c:pt>
              </c:strCache>
            </c:strRef>
          </c:cat>
          <c:val>
            <c:numRef>
              <c:f>'A4 Overhead and Timing'!$B$32:$E$32</c:f>
              <c:numCache>
                <c:formatCode>General</c:formatCode>
                <c:ptCount val="4"/>
                <c:pt idx="0">
                  <c:v>150.268</c:v>
                </c:pt>
                <c:pt idx="1">
                  <c:v>131.611</c:v>
                </c:pt>
                <c:pt idx="2">
                  <c:v>131.329</c:v>
                </c:pt>
                <c:pt idx="3">
                  <c:v>130.474</c:v>
                </c:pt>
              </c:numCache>
            </c:numRef>
          </c:val>
          <c:smooth val="1"/>
        </c:ser>
        <c:ser>
          <c:idx val="3"/>
          <c:order val="3"/>
          <c:tx>
            <c:strRef>
              <c:f>'A4 Overhead and Timing'!A33</c:f>
              <c:strCache>
                <c:ptCount val="1"/>
                <c:pt idx="0">
                  <c:v>LossyStore 0.1%</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Timing'!$B$29:$E$29</c:f>
              <c:strCache>
                <c:ptCount val="4"/>
                <c:pt idx="0">
                  <c:v>256 KB</c:v>
                </c:pt>
                <c:pt idx="1">
                  <c:v>1024 KB</c:v>
                </c:pt>
                <c:pt idx="2">
                  <c:v>4096 KB</c:v>
                </c:pt>
                <c:pt idx="3">
                  <c:v>16384 KB</c:v>
                </c:pt>
              </c:strCache>
            </c:strRef>
          </c:cat>
          <c:val>
            <c:numRef>
              <c:f>'A4 Overhead and Timing'!$B$33:$E$33</c:f>
              <c:numCache>
                <c:formatCode>General</c:formatCode>
                <c:ptCount val="4"/>
                <c:pt idx="0">
                  <c:v>150.094</c:v>
                </c:pt>
                <c:pt idx="1">
                  <c:v>131.677</c:v>
                </c:pt>
                <c:pt idx="2">
                  <c:v>131.199</c:v>
                </c:pt>
                <c:pt idx="3">
                  <c:v>128.903</c:v>
                </c:pt>
              </c:numCache>
            </c:numRef>
          </c:val>
          <c:smooth val="1"/>
        </c:ser>
        <c:ser>
          <c:idx val="4"/>
          <c:order val="4"/>
          <c:tx>
            <c:strRef>
              <c:f>'A4 Overhead and Timing'!A34</c:f>
              <c:strCache>
                <c:ptCount val="1"/>
                <c:pt idx="0">
                  <c:v>LossyStore 1%</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Timing'!$B$29:$E$29</c:f>
              <c:strCache>
                <c:ptCount val="4"/>
                <c:pt idx="0">
                  <c:v>256 KB</c:v>
                </c:pt>
                <c:pt idx="1">
                  <c:v>1024 KB</c:v>
                </c:pt>
                <c:pt idx="2">
                  <c:v>4096 KB</c:v>
                </c:pt>
                <c:pt idx="3">
                  <c:v>16384 KB</c:v>
                </c:pt>
              </c:strCache>
            </c:strRef>
          </c:cat>
          <c:val>
            <c:numRef>
              <c:f>'A4 Overhead and Timing'!$B$34:$E$34</c:f>
              <c:numCache>
                <c:formatCode>General</c:formatCode>
                <c:ptCount val="4"/>
                <c:pt idx="0">
                  <c:v>153.796</c:v>
                </c:pt>
                <c:pt idx="1">
                  <c:v>130.526</c:v>
                </c:pt>
                <c:pt idx="2">
                  <c:v>130.127</c:v>
                </c:pt>
                <c:pt idx="3">
                  <c:v>124.07</c:v>
                </c:pt>
              </c:numCache>
            </c:numRef>
          </c:val>
          <c:smooth val="1"/>
        </c:ser>
        <c:ser>
          <c:idx val="5"/>
          <c:order val="5"/>
          <c:tx>
            <c:strRef>
              <c:f>'A4 Overhead and Timing'!A35</c:f>
              <c:strCache>
                <c:ptCount val="1"/>
                <c:pt idx="0">
                  <c:v>LossyStore 5%</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Timing'!$B$29:$E$29</c:f>
              <c:strCache>
                <c:ptCount val="4"/>
                <c:pt idx="0">
                  <c:v>256 KB</c:v>
                </c:pt>
                <c:pt idx="1">
                  <c:v>1024 KB</c:v>
                </c:pt>
                <c:pt idx="2">
                  <c:v>4096 KB</c:v>
                </c:pt>
                <c:pt idx="3">
                  <c:v>16384 KB</c:v>
                </c:pt>
              </c:strCache>
            </c:strRef>
          </c:cat>
          <c:val>
            <c:numRef>
              <c:f>'A4 Overhead and Timing'!$B$35:$E$35</c:f>
              <c:numCache>
                <c:formatCode>General</c:formatCode>
                <c:ptCount val="4"/>
                <c:pt idx="0">
                  <c:v>152.149</c:v>
                </c:pt>
                <c:pt idx="1">
                  <c:v>130.055</c:v>
                </c:pt>
                <c:pt idx="2">
                  <c:v>131.186</c:v>
                </c:pt>
                <c:pt idx="3">
                  <c:v>124.873</c:v>
                </c:pt>
              </c:numCache>
            </c:numRef>
          </c:val>
          <c:smooth val="1"/>
        </c:ser>
        <c:hiLowLines>
          <c:spPr>
            <a:ln w="0">
              <a:noFill/>
            </a:ln>
          </c:spPr>
        </c:hiLowLines>
        <c:marker val="0"/>
        <c:axId val="75079197"/>
        <c:axId val="13497557"/>
      </c:lineChart>
      <c:catAx>
        <c:axId val="7507919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497557"/>
        <c:crosses val="autoZero"/>
        <c:auto val="1"/>
        <c:lblAlgn val="ctr"/>
        <c:lblOffset val="100"/>
        <c:noMultiLvlLbl val="0"/>
      </c:catAx>
      <c:valAx>
        <c:axId val="134975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07919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Decode time</a:t>
            </a:r>
          </a:p>
        </c:rich>
      </c:tx>
      <c:overlay val="0"/>
      <c:spPr>
        <a:noFill/>
        <a:ln w="0">
          <a:noFill/>
        </a:ln>
      </c:spPr>
    </c:title>
    <c:autoTitleDeleted val="0"/>
    <c:plotArea>
      <c:lineChart>
        <c:grouping val="standard"/>
        <c:varyColors val="0"/>
        <c:ser>
          <c:idx val="0"/>
          <c:order val="0"/>
          <c:tx>
            <c:strRef>
              <c:f>'A4 Overhead and Timing'!A42</c:f>
              <c:strCache>
                <c:ptCount val="1"/>
                <c:pt idx="0">
                  <c:v>FileStore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Timing'!$B$41:$E$41</c:f>
              <c:strCache>
                <c:ptCount val="4"/>
                <c:pt idx="0">
                  <c:v>256 KB</c:v>
                </c:pt>
                <c:pt idx="1">
                  <c:v>1024 KB</c:v>
                </c:pt>
                <c:pt idx="2">
                  <c:v>4096 KB</c:v>
                </c:pt>
                <c:pt idx="3">
                  <c:v>16384 KB</c:v>
                </c:pt>
              </c:strCache>
            </c:strRef>
          </c:cat>
          <c:val>
            <c:numRef>
              <c:f>'A4 Overhead and Timing'!$B$42:$E$42</c:f>
              <c:numCache>
                <c:formatCode>General</c:formatCode>
                <c:ptCount val="4"/>
                <c:pt idx="0">
                  <c:v>88.0405</c:v>
                </c:pt>
                <c:pt idx="1">
                  <c:v>93.4394</c:v>
                </c:pt>
                <c:pt idx="2">
                  <c:v>92.8939</c:v>
                </c:pt>
                <c:pt idx="3">
                  <c:v>113.633</c:v>
                </c:pt>
              </c:numCache>
            </c:numRef>
          </c:val>
          <c:smooth val="1"/>
        </c:ser>
        <c:ser>
          <c:idx val="1"/>
          <c:order val="1"/>
          <c:tx>
            <c:strRef>
              <c:f>'A4 Overhead and Timing'!A43</c:f>
              <c:strCache>
                <c:ptCount val="1"/>
                <c:pt idx="0">
                  <c:v>CompressedStore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Timing'!$B$41:$E$41</c:f>
              <c:strCache>
                <c:ptCount val="4"/>
                <c:pt idx="0">
                  <c:v>256 KB</c:v>
                </c:pt>
                <c:pt idx="1">
                  <c:v>1024 KB</c:v>
                </c:pt>
                <c:pt idx="2">
                  <c:v>4096 KB</c:v>
                </c:pt>
                <c:pt idx="3">
                  <c:v>16384 KB</c:v>
                </c:pt>
              </c:strCache>
            </c:strRef>
          </c:cat>
          <c:val>
            <c:numRef>
              <c:f>'A4 Overhead and Timing'!$B$43:$E$43</c:f>
              <c:numCache>
                <c:formatCode>General</c:formatCode>
                <c:ptCount val="4"/>
                <c:pt idx="0">
                  <c:v>85.5277</c:v>
                </c:pt>
                <c:pt idx="1">
                  <c:v>93.9734</c:v>
                </c:pt>
                <c:pt idx="2">
                  <c:v>93.9317</c:v>
                </c:pt>
                <c:pt idx="3">
                  <c:v>90.8952</c:v>
                </c:pt>
              </c:numCache>
            </c:numRef>
          </c:val>
          <c:smooth val="1"/>
        </c:ser>
        <c:ser>
          <c:idx val="2"/>
          <c:order val="2"/>
          <c:tx>
            <c:strRef>
              <c:f>'A4 Overhead and Timing'!A44</c:f>
              <c:strCache>
                <c:ptCount val="1"/>
                <c:pt idx="0">
                  <c:v>LossyStore lossless</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Timing'!$B$41:$E$41</c:f>
              <c:strCache>
                <c:ptCount val="4"/>
                <c:pt idx="0">
                  <c:v>256 KB</c:v>
                </c:pt>
                <c:pt idx="1">
                  <c:v>1024 KB</c:v>
                </c:pt>
                <c:pt idx="2">
                  <c:v>4096 KB</c:v>
                </c:pt>
                <c:pt idx="3">
                  <c:v>16384 KB</c:v>
                </c:pt>
              </c:strCache>
            </c:strRef>
          </c:cat>
          <c:val>
            <c:numRef>
              <c:f>'A4 Overhead and Timing'!$B$44:$E$44</c:f>
              <c:numCache>
                <c:formatCode>General</c:formatCode>
                <c:ptCount val="4"/>
                <c:pt idx="0">
                  <c:v>85.794</c:v>
                </c:pt>
                <c:pt idx="1">
                  <c:v>93.6597</c:v>
                </c:pt>
                <c:pt idx="2">
                  <c:v>93.4674</c:v>
                </c:pt>
                <c:pt idx="3">
                  <c:v>90.354</c:v>
                </c:pt>
              </c:numCache>
            </c:numRef>
          </c:val>
          <c:smooth val="1"/>
        </c:ser>
        <c:ser>
          <c:idx val="3"/>
          <c:order val="3"/>
          <c:tx>
            <c:strRef>
              <c:f>'A4 Overhead and Timing'!A45</c:f>
              <c:strCache>
                <c:ptCount val="1"/>
                <c:pt idx="0">
                  <c:v>LossyStore 0.1%</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Timing'!$B$41:$E$41</c:f>
              <c:strCache>
                <c:ptCount val="4"/>
                <c:pt idx="0">
                  <c:v>256 KB</c:v>
                </c:pt>
                <c:pt idx="1">
                  <c:v>1024 KB</c:v>
                </c:pt>
                <c:pt idx="2">
                  <c:v>4096 KB</c:v>
                </c:pt>
                <c:pt idx="3">
                  <c:v>16384 KB</c:v>
                </c:pt>
              </c:strCache>
            </c:strRef>
          </c:cat>
          <c:val>
            <c:numRef>
              <c:f>'A4 Overhead and Timing'!$B$45:$E$45</c:f>
              <c:numCache>
                <c:formatCode>General</c:formatCode>
                <c:ptCount val="4"/>
                <c:pt idx="0">
                  <c:v>88.5696</c:v>
                </c:pt>
                <c:pt idx="1">
                  <c:v>93.3639</c:v>
                </c:pt>
                <c:pt idx="2">
                  <c:v>93.7355</c:v>
                </c:pt>
                <c:pt idx="3">
                  <c:v>92.9823</c:v>
                </c:pt>
              </c:numCache>
            </c:numRef>
          </c:val>
          <c:smooth val="1"/>
        </c:ser>
        <c:ser>
          <c:idx val="4"/>
          <c:order val="4"/>
          <c:tx>
            <c:strRef>
              <c:f>'A4 Overhead and Timing'!A46</c:f>
              <c:strCache>
                <c:ptCount val="1"/>
                <c:pt idx="0">
                  <c:v>LossyStore 1%</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Timing'!$B$41:$E$41</c:f>
              <c:strCache>
                <c:ptCount val="4"/>
                <c:pt idx="0">
                  <c:v>256 KB</c:v>
                </c:pt>
                <c:pt idx="1">
                  <c:v>1024 KB</c:v>
                </c:pt>
                <c:pt idx="2">
                  <c:v>4096 KB</c:v>
                </c:pt>
                <c:pt idx="3">
                  <c:v>16384 KB</c:v>
                </c:pt>
              </c:strCache>
            </c:strRef>
          </c:cat>
          <c:val>
            <c:numRef>
              <c:f>'A4 Overhead and Timing'!$B$46:$E$46</c:f>
              <c:numCache>
                <c:formatCode>General</c:formatCode>
                <c:ptCount val="4"/>
                <c:pt idx="0">
                  <c:v>87.651</c:v>
                </c:pt>
                <c:pt idx="1">
                  <c:v>93.9485</c:v>
                </c:pt>
                <c:pt idx="2">
                  <c:v>93.2298</c:v>
                </c:pt>
                <c:pt idx="3">
                  <c:v>90.1519</c:v>
                </c:pt>
              </c:numCache>
            </c:numRef>
          </c:val>
          <c:smooth val="1"/>
        </c:ser>
        <c:ser>
          <c:idx val="5"/>
          <c:order val="5"/>
          <c:tx>
            <c:strRef>
              <c:f>'A4 Overhead and Timing'!A47</c:f>
              <c:strCache>
                <c:ptCount val="1"/>
                <c:pt idx="0">
                  <c:v>LossyStore 5%</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'A4 Overhead and Timing'!$B$41:$E$41</c:f>
              <c:strCache>
                <c:ptCount val="4"/>
                <c:pt idx="0">
                  <c:v>256 KB</c:v>
                </c:pt>
                <c:pt idx="1">
                  <c:v>1024 KB</c:v>
                </c:pt>
                <c:pt idx="2">
                  <c:v>4096 KB</c:v>
                </c:pt>
                <c:pt idx="3">
                  <c:v>16384 KB</c:v>
                </c:pt>
              </c:strCache>
            </c:strRef>
          </c:cat>
          <c:val>
            <c:numRef>
              <c:f>'A4 Overhead and Timing'!$B$47:$E$47</c:f>
              <c:numCache>
                <c:formatCode>General</c:formatCode>
                <c:ptCount val="4"/>
                <c:pt idx="0">
                  <c:v>88.1404</c:v>
                </c:pt>
                <c:pt idx="1">
                  <c:v>95.1764</c:v>
                </c:pt>
                <c:pt idx="2">
                  <c:v>92.9201</c:v>
                </c:pt>
                <c:pt idx="3">
                  <c:v>88.5981</c:v>
                </c:pt>
              </c:numCache>
            </c:numRef>
          </c:val>
          <c:smooth val="1"/>
        </c:ser>
        <c:hiLowLines>
          <c:spPr>
            <a:ln w="0">
              <a:noFill/>
            </a:ln>
          </c:spPr>
        </c:hiLowLines>
        <c:marker val="0"/>
        <c:axId val="86835966"/>
        <c:axId val="9144399"/>
      </c:lineChart>
      <c:catAx>
        <c:axId val="8683596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44399"/>
        <c:crosses val="autoZero"/>
        <c:auto val="1"/>
        <c:lblAlgn val="ctr"/>
        <c:lblOffset val="100"/>
        <c:noMultiLvlLbl val="0"/>
      </c:catAx>
      <c:valAx>
        <c:axId val="914439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83596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producedPower: compression ratio against the accuracy bound</a:t>
            </a:r>
          </a:p>
        </c:rich>
      </c:tx>
      <c:overlay val="0"/>
      <c:spPr>
        <a:noFill/>
        <a:ln w="0">
          <a:noFill/>
        </a:ln>
      </c:spPr>
    </c:title>
    <c:autoTitleDeleted val="0"/>
    <c:plotArea>
      <c:lineChart>
        <c:grouping val="standard"/>
        <c:varyColors val="0"/>
        <c:ser>
          <c:idx val="0"/>
          <c:order val="0"/>
          <c:tx>
            <c:strRef>
              <c:f>'A5 Float Column Detail'!D6</c:f>
              <c:strCache>
                <c:ptCount val="1"/>
                <c:pt idx="0">
                  <c:v>x vs FLOAT64</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'A5 Float Column Detail'!$A$7:$A$15</c:f>
              <c:strCache>
                <c:ptCount val="9"/>
                <c:pt idx="0">
                  <c:v>0</c:v>
                </c:pt>
                <c:pt idx="1">
                  <c:v>0.01</c:v>
                </c:pt>
                <c:pt idx="2">
                  <c:v>0.1</c:v>
                </c:pt>
                <c:pt idx="3">
                  <c:v>0.5</c:v>
                </c:pt>
                <c:pt idx="4">
                  <c:v>1</c:v>
                </c:pt>
                <c:pt idx="5">
                  <c:v>2</c:v>
                </c:pt>
                <c:pt idx="6">
                  <c:v>5</c:v>
                </c:pt>
                <c:pt idx="7">
                  <c:v>10</c:v>
                </c:pt>
                <c:pt idx="8">
                  <c:v>20</c:v>
                </c:pt>
              </c:strCache>
            </c:strRef>
          </c:cat>
          <c:val>
            <c:numRef>
              <c:f>'A5 Float Column Detail'!$D$7:$D$15</c:f>
              <c:numCache>
                <c:formatCode>General</c:formatCode>
                <c:ptCount val="9"/>
                <c:pt idx="0">
                  <c:v>1.04601208428732</c:v>
                </c:pt>
                <c:pt idx="1">
                  <c:v>3.95436070425821</c:v>
                </c:pt>
                <c:pt idx="2">
                  <c:v>4.77511948038089</c:v>
                </c:pt>
                <c:pt idx="3">
                  <c:v>5.79877999168989</c:v>
                </c:pt>
                <c:pt idx="4">
                  <c:v>6.33046134979075</c:v>
                </c:pt>
                <c:pt idx="5">
                  <c:v>8.26145872305806</c:v>
                </c:pt>
                <c:pt idx="6">
                  <c:v>8.03020126726261</c:v>
                </c:pt>
                <c:pt idx="7">
                  <c:v>10.0683519071731</c:v>
                </c:pt>
                <c:pt idx="8">
                  <c:v>11.2421236845547</c:v>
                </c:pt>
              </c:numCache>
            </c:numRef>
          </c:val>
          <c:smooth val="1"/>
        </c:ser>
        <c:hiLowLines>
          <c:spPr>
            <a:ln w="0">
              <a:noFill/>
            </a:ln>
          </c:spPr>
        </c:hiLowLines>
        <c:marker val="0"/>
        <c:axId val="31865878"/>
        <c:axId val="4736866"/>
      </c:lineChart>
      <c:catAx>
        <c:axId val="3186587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accuracy bound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36866"/>
        <c:crosses val="autoZero"/>
        <c:auto val="1"/>
        <c:lblAlgn val="ctr"/>
        <c:lblOffset val="100"/>
        <c:noMultiLvlLbl val="0"/>
      </c:catAx>
      <c:valAx>
        <c:axId val="473686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x vs unencoded FLOAT64</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86587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producedPower: bits stored per value</a:t>
            </a:r>
          </a:p>
        </c:rich>
      </c:tx>
      <c:overlay val="0"/>
      <c:spPr>
        <a:noFill/>
        <a:ln w="0">
          <a:noFill/>
        </a:ln>
      </c:spPr>
    </c:title>
    <c:autoTitleDeleted val="0"/>
    <c:plotArea>
      <c:lineChart>
        <c:grouping val="standard"/>
        <c:varyColors val="0"/>
        <c:ser>
          <c:idx val="0"/>
          <c:order val="0"/>
          <c:tx>
            <c:strRef>
              <c:f>'A5 Float Column Detail'!C6</c:f>
              <c:strCache>
                <c:ptCount val="1"/>
                <c:pt idx="0">
                  <c:v>bits per value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'A5 Float Column Detail'!$A$7:$A$15</c:f>
              <c:strCache>
                <c:ptCount val="9"/>
                <c:pt idx="0">
                  <c:v>0</c:v>
                </c:pt>
                <c:pt idx="1">
                  <c:v>0.01</c:v>
                </c:pt>
                <c:pt idx="2">
                  <c:v>0.1</c:v>
                </c:pt>
                <c:pt idx="3">
                  <c:v>0.5</c:v>
                </c:pt>
                <c:pt idx="4">
                  <c:v>1</c:v>
                </c:pt>
                <c:pt idx="5">
                  <c:v>2</c:v>
                </c:pt>
                <c:pt idx="6">
                  <c:v>5</c:v>
                </c:pt>
                <c:pt idx="7">
                  <c:v>10</c:v>
                </c:pt>
                <c:pt idx="8">
                  <c:v>20</c:v>
                </c:pt>
              </c:strCache>
            </c:strRef>
          </c:cat>
          <c:val>
            <c:numRef>
              <c:f>'A5 Float Column Detail'!$C$7:$C$15</c:f>
              <c:numCache>
                <c:formatCode>General</c:formatCode>
                <c:ptCount val="9"/>
                <c:pt idx="0">
                  <c:v>61.1847615925059</c:v>
                </c:pt>
                <c:pt idx="1">
                  <c:v>16.1846641686183</c:v>
                </c:pt>
                <c:pt idx="2">
                  <c:v>13.4028059953162</c:v>
                </c:pt>
                <c:pt idx="3">
                  <c:v>11.0368043091335</c:v>
                </c:pt>
                <c:pt idx="4">
                  <c:v>10.1098476814988</c:v>
                </c:pt>
                <c:pt idx="5">
                  <c:v>7.74681592505855</c:v>
                </c:pt>
                <c:pt idx="6">
                  <c:v>7.96991231850117</c:v>
                </c:pt>
                <c:pt idx="7">
                  <c:v>6.35655175644028</c:v>
                </c:pt>
                <c:pt idx="8">
                  <c:v>5.69287456674473</c:v>
                </c:pt>
              </c:numCache>
            </c:numRef>
          </c:val>
          <c:smooth val="1"/>
        </c:ser>
        <c:hiLowLines>
          <c:spPr>
            <a:ln w="0">
              <a:noFill/>
            </a:ln>
          </c:spPr>
        </c:hiLowLines>
        <c:marker val="0"/>
        <c:axId val="39647331"/>
        <c:axId val="97232473"/>
      </c:lineChart>
      <c:catAx>
        <c:axId val="3964733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accuracy bound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232473"/>
        <c:crosses val="autoZero"/>
        <c:auto val="1"/>
        <c:lblAlgn val="ctr"/>
        <c:lblOffset val="100"/>
        <c:noMultiLvlLbl val="0"/>
      </c:catAx>
      <c:valAx>
        <c:axId val="9723247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bits per value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64733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Share of the whole store this one column occupies</a:t>
            </a:r>
          </a:p>
        </c:rich>
      </c:tx>
      <c:overlay val="0"/>
      <c:spPr>
        <a:noFill/>
        <a:ln w="0">
          <a:noFill/>
        </a:ln>
      </c:spPr>
    </c:title>
    <c:autoTitleDeleted val="0"/>
    <c:plotArea>
      <c:barChart>
        <c:barDir val="col"/>
        <c:grouping val="clustered"/>
        <c:varyColors val="0"/>
        <c:ser>
          <c:idx val="0"/>
          <c:order val="0"/>
          <c:tx>
            <c:strRef>
              <c:f>'A5 Float Column Detail'!G6</c:f>
              <c:strCache>
                <c:ptCount val="1"/>
                <c:pt idx="0">
                  <c:v>share of whole store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'A5 Float Column Detail'!$A$7:$A$15</c:f>
              <c:strCache>
                <c:ptCount val="9"/>
                <c:pt idx="0">
                  <c:v>0</c:v>
                </c:pt>
                <c:pt idx="1">
                  <c:v>0.01</c:v>
                </c:pt>
                <c:pt idx="2">
                  <c:v>0.1</c:v>
                </c:pt>
                <c:pt idx="3">
                  <c:v>0.5</c:v>
                </c:pt>
                <c:pt idx="4">
                  <c:v>1</c:v>
                </c:pt>
                <c:pt idx="5">
                  <c:v>2</c:v>
                </c:pt>
                <c:pt idx="6">
                  <c:v>5</c:v>
                </c:pt>
                <c:pt idx="7">
                  <c:v>10</c:v>
                </c:pt>
                <c:pt idx="8">
                  <c:v>20</c:v>
                </c:pt>
              </c:strCache>
            </c:strRef>
          </c:cat>
          <c:val>
            <c:numRef>
              <c:f>'A5 Float Column Detail'!$G$7:$G$15</c:f>
              <c:numCache>
                <c:formatCode>General</c:formatCode>
                <c:ptCount val="9"/>
                <c:pt idx="0">
                  <c:v>0.512923122430462</c:v>
                </c:pt>
                <c:pt idx="1">
                  <c:v>0.21786870327453</c:v>
                </c:pt>
                <c:pt idx="2">
                  <c:v>0.187440135734712</c:v>
                </c:pt>
                <c:pt idx="3">
                  <c:v>0.15963335481598</c:v>
                </c:pt>
                <c:pt idx="4">
                  <c:v>0.14821323660397</c:v>
                </c:pt>
                <c:pt idx="5">
                  <c:v>0.117646100819983</c:v>
                </c:pt>
                <c:pt idx="6">
                  <c:v>0.120625445471812</c:v>
                </c:pt>
                <c:pt idx="7">
                  <c:v>0.0986150873999343</c:v>
                </c:pt>
                <c:pt idx="8">
                  <c:v>0.0892376595287379</c:v>
                </c:pt>
              </c:numCache>
            </c:numRef>
          </c:val>
        </c:ser>
        <c:gapWidth val="40"/>
        <c:overlap val="0"/>
        <c:axId val="47355056"/>
        <c:axId val="55755650"/>
      </c:barChart>
      <c:catAx>
        <c:axId val="4735505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accuracy bound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755650"/>
        <c:crosses val="autoZero"/>
        <c:auto val="1"/>
        <c:lblAlgn val="ctr"/>
        <c:lblOffset val="100"/>
        <c:noMultiLvlLbl val="0"/>
      </c:catAx>
      <c:valAx>
        <c:axId val="5575565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all four columns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35505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Bits per value after each stage</a:t>
            </a:r>
          </a:p>
        </c:rich>
      </c:tx>
      <c:overlay val="0"/>
      <c:spPr>
        <a:noFill/>
        <a:ln w="0">
          <a:noFill/>
        </a:ln>
      </c:spPr>
    </c:title>
    <c:autoTitleDeleted val="0"/>
    <c:plotArea>
      <c:lineChart>
        <c:grouping val="standard"/>
        <c:varyColors val="0"/>
        <c:ser>
          <c:idx val="0"/>
          <c:order val="0"/>
          <c:tx>
            <c:strRef>
              <c:f>'A6 Lossy Stage Breakdown'!C6</c:f>
              <c:strCache>
                <c:ptCount val="1"/>
                <c:pt idx="0">
                  <c:v>after quantise+bitpack</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'A6 Lossy Stage Breakdown'!$A$7:$A$15</c:f>
              <c:strCache>
                <c:ptCount val="9"/>
                <c:pt idx="0">
                  <c:v>0</c:v>
                </c:pt>
                <c:pt idx="1">
                  <c:v>0.01</c:v>
                </c:pt>
                <c:pt idx="2">
                  <c:v>0.1</c:v>
                </c:pt>
                <c:pt idx="3">
                  <c:v>0.5</c:v>
                </c:pt>
                <c:pt idx="4">
                  <c:v>1</c:v>
                </c:pt>
                <c:pt idx="5">
                  <c:v>2</c:v>
                </c:pt>
                <c:pt idx="6">
                  <c:v>5</c:v>
                </c:pt>
                <c:pt idx="7">
                  <c:v>10</c:v>
                </c:pt>
                <c:pt idx="8">
                  <c:v>20</c:v>
                </c:pt>
              </c:strCache>
            </c:strRef>
          </c:cat>
          <c:val>
            <c:numRef>
              <c:f>'A6 Lossy Stage Breakdown'!$C$7:$C$15</c:f>
              <c:numCache>
                <c:formatCode>General</c:formatCode>
                <c:ptCount val="9"/>
                <c:pt idx="0">
                  <c:v>64</c:v>
                </c:pt>
                <c:pt idx="1">
                  <c:v>16.0305</c:v>
                </c:pt>
                <c:pt idx="2">
                  <c:v>12.5383</c:v>
                </c:pt>
                <c:pt idx="3">
                  <c:v>10.1465</c:v>
                </c:pt>
                <c:pt idx="4">
                  <c:v>9.1483</c:v>
                </c:pt>
                <c:pt idx="5">
                  <c:v>8.152</c:v>
                </c:pt>
                <c:pt idx="6">
                  <c:v>7.0644</c:v>
                </c:pt>
                <c:pt idx="7">
                  <c:v>6.0719</c:v>
                </c:pt>
                <c:pt idx="8">
                  <c:v>5.0879</c:v>
                </c:pt>
              </c:numCache>
            </c:numRef>
          </c:val>
          <c:smooth val="1"/>
        </c:ser>
        <c:ser>
          <c:idx val="1"/>
          <c:order val="1"/>
          <c:tx>
            <c:strRef>
              <c:f>'A6 Lossy Stage Breakdown'!D6</c:f>
              <c:strCache>
                <c:ptCount val="1"/>
                <c:pt idx="0">
                  <c:v>after zstd</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'A6 Lossy Stage Breakdown'!$A$7:$A$15</c:f>
              <c:strCache>
                <c:ptCount val="9"/>
                <c:pt idx="0">
                  <c:v>0</c:v>
                </c:pt>
                <c:pt idx="1">
                  <c:v>0.01</c:v>
                </c:pt>
                <c:pt idx="2">
                  <c:v>0.1</c:v>
                </c:pt>
                <c:pt idx="3">
                  <c:v>0.5</c:v>
                </c:pt>
                <c:pt idx="4">
                  <c:v>1</c:v>
                </c:pt>
                <c:pt idx="5">
                  <c:v>2</c:v>
                </c:pt>
                <c:pt idx="6">
                  <c:v>5</c:v>
                </c:pt>
                <c:pt idx="7">
                  <c:v>10</c:v>
                </c:pt>
                <c:pt idx="8">
                  <c:v>20</c:v>
                </c:pt>
              </c:strCache>
            </c:strRef>
          </c:cat>
          <c:val>
            <c:numRef>
              <c:f>'A6 Lossy Stage Breakdown'!$D$7:$D$15</c:f>
              <c:numCache>
                <c:formatCode>General</c:formatCode>
                <c:ptCount val="9"/>
                <c:pt idx="0">
                  <c:v>60.1835</c:v>
                </c:pt>
                <c:pt idx="1">
                  <c:v>15.1834</c:v>
                </c:pt>
                <c:pt idx="2">
                  <c:v>12.4015</c:v>
                </c:pt>
                <c:pt idx="3">
                  <c:v>10.0355</c:v>
                </c:pt>
                <c:pt idx="4">
                  <c:v>9.1086</c:v>
                </c:pt>
                <c:pt idx="5">
                  <c:v>6.7455</c:v>
                </c:pt>
                <c:pt idx="6">
                  <c:v>6.9686</c:v>
                </c:pt>
                <c:pt idx="7">
                  <c:v>5.3553</c:v>
                </c:pt>
                <c:pt idx="8">
                  <c:v>4.6916</c:v>
                </c:pt>
              </c:numCache>
            </c:numRef>
          </c:val>
          <c:smooth val="1"/>
        </c:ser>
        <c:hiLowLines>
          <c:spPr>
            <a:ln w="0">
              <a:noFill/>
            </a:ln>
          </c:spPr>
        </c:hiLowLines>
        <c:marker val="0"/>
        <c:axId val="67934457"/>
        <c:axId val="64831754"/>
      </c:lineChart>
      <c:catAx>
        <c:axId val="6793445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accuracy bound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831754"/>
        <c:crosses val="autoZero"/>
        <c:auto val="1"/>
        <c:lblAlgn val="ctr"/>
        <c:lblOffset val="100"/>
        <c:noMultiLvlLbl val="0"/>
      </c:catAx>
      <c:valAx>
        <c:axId val="6483175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bits per value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93445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What each stage multiplied the ratio by</a:t>
            </a:r>
          </a:p>
        </c:rich>
      </c:tx>
      <c:overlay val="0"/>
      <c:spPr>
        <a:noFill/>
        <a:ln w="0">
          <a:noFill/>
        </a:ln>
      </c:spPr>
    </c:title>
    <c:autoTitleDeleted val="0"/>
    <c:plotArea>
      <c:lineChart>
        <c:grouping val="standard"/>
        <c:varyColors val="0"/>
        <c:ser>
          <c:idx val="0"/>
          <c:order val="0"/>
          <c:tx>
            <c:strRef>
              <c:f>'A6 Lossy Stage Breakdown'!E6</c:f>
              <c:strCache>
                <c:ptCount val="1"/>
                <c:pt idx="0">
                  <c:v>x from quantise+bitpack</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'A6 Lossy Stage Breakdown'!$A$7:$A$15</c:f>
              <c:strCache>
                <c:ptCount val="9"/>
                <c:pt idx="0">
                  <c:v>0</c:v>
                </c:pt>
                <c:pt idx="1">
                  <c:v>0.01</c:v>
                </c:pt>
                <c:pt idx="2">
                  <c:v>0.1</c:v>
                </c:pt>
                <c:pt idx="3">
                  <c:v>0.5</c:v>
                </c:pt>
                <c:pt idx="4">
                  <c:v>1</c:v>
                </c:pt>
                <c:pt idx="5">
                  <c:v>2</c:v>
                </c:pt>
                <c:pt idx="6">
                  <c:v>5</c:v>
                </c:pt>
                <c:pt idx="7">
                  <c:v>10</c:v>
                </c:pt>
                <c:pt idx="8">
                  <c:v>20</c:v>
                </c:pt>
              </c:strCache>
            </c:strRef>
          </c:cat>
          <c:val>
            <c:numRef>
              <c:f>'A6 Lossy Stage Breakdown'!$E$7:$E$15</c:f>
              <c:numCache>
                <c:formatCode>General</c:formatCode>
                <c:ptCount val="9"/>
                <c:pt idx="0">
                  <c:v>1</c:v>
                </c:pt>
                <c:pt idx="1">
                  <c:v>3.9924</c:v>
                </c:pt>
                <c:pt idx="2">
                  <c:v>5.1043</c:v>
                </c:pt>
                <c:pt idx="3">
                  <c:v>6.3076</c:v>
                </c:pt>
                <c:pt idx="4">
                  <c:v>6.9958</c:v>
                </c:pt>
                <c:pt idx="5">
                  <c:v>7.8509</c:v>
                </c:pt>
                <c:pt idx="6">
                  <c:v>9.0595</c:v>
                </c:pt>
                <c:pt idx="7">
                  <c:v>10.5403</c:v>
                </c:pt>
                <c:pt idx="8">
                  <c:v>12.579</c:v>
                </c:pt>
              </c:numCache>
            </c:numRef>
          </c:val>
          <c:smooth val="1"/>
        </c:ser>
        <c:ser>
          <c:idx val="1"/>
          <c:order val="1"/>
          <c:tx>
            <c:strRef>
              <c:f>'A6 Lossy Stage Breakdown'!F6</c:f>
              <c:strCache>
                <c:ptCount val="1"/>
                <c:pt idx="0">
                  <c:v>x from zstd</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'A6 Lossy Stage Breakdown'!$A$7:$A$15</c:f>
              <c:strCache>
                <c:ptCount val="9"/>
                <c:pt idx="0">
                  <c:v>0</c:v>
                </c:pt>
                <c:pt idx="1">
                  <c:v>0.01</c:v>
                </c:pt>
                <c:pt idx="2">
                  <c:v>0.1</c:v>
                </c:pt>
                <c:pt idx="3">
                  <c:v>0.5</c:v>
                </c:pt>
                <c:pt idx="4">
                  <c:v>1</c:v>
                </c:pt>
                <c:pt idx="5">
                  <c:v>2</c:v>
                </c:pt>
                <c:pt idx="6">
                  <c:v>5</c:v>
                </c:pt>
                <c:pt idx="7">
                  <c:v>10</c:v>
                </c:pt>
                <c:pt idx="8">
                  <c:v>20</c:v>
                </c:pt>
              </c:strCache>
            </c:strRef>
          </c:cat>
          <c:val>
            <c:numRef>
              <c:f>'A6 Lossy Stage Breakdown'!$F$7:$F$15</c:f>
              <c:numCache>
                <c:formatCode>General</c:formatCode>
                <c:ptCount val="9"/>
                <c:pt idx="0">
                  <c:v>1.0634</c:v>
                </c:pt>
                <c:pt idx="1">
                  <c:v>1.0558</c:v>
                </c:pt>
                <c:pt idx="2">
                  <c:v>1.011</c:v>
                </c:pt>
                <c:pt idx="3">
                  <c:v>1.0111</c:v>
                </c:pt>
                <c:pt idx="4">
                  <c:v>1.0044</c:v>
                </c:pt>
                <c:pt idx="5">
                  <c:v>1.2085</c:v>
                </c:pt>
                <c:pt idx="6">
                  <c:v>1.0137</c:v>
                </c:pt>
                <c:pt idx="7">
                  <c:v>1.1338</c:v>
                </c:pt>
                <c:pt idx="8">
                  <c:v>1.0845</c:v>
                </c:pt>
              </c:numCache>
            </c:numRef>
          </c:val>
          <c:smooth val="1"/>
        </c:ser>
        <c:hiLowLines>
          <c:spPr>
            <a:ln w="0">
              <a:noFill/>
            </a:ln>
          </c:spPr>
        </c:hiLowLines>
        <c:marker val="0"/>
        <c:axId val="46415134"/>
        <c:axId val="98054998"/>
      </c:lineChart>
      <c:catAx>
        <c:axId val="4641513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accuracy bound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054998"/>
        <c:crosses val="autoZero"/>
        <c:auto val="1"/>
        <c:lblAlgn val="ctr"/>
        <c:lblOffset val="100"/>
        <c:noMultiLvlLbl val="0"/>
      </c:catAx>
      <c:valAx>
        <c:axId val="9805499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x</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41513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Share of groups where zstd was kept</a:t>
            </a:r>
          </a:p>
        </c:rich>
      </c:tx>
      <c:overlay val="0"/>
      <c:spPr>
        <a:noFill/>
        <a:ln w="0">
          <a:noFill/>
        </a:ln>
      </c:spPr>
    </c:title>
    <c:autoTitleDeleted val="0"/>
    <c:plotArea>
      <c:barChart>
        <c:barDir val="col"/>
        <c:grouping val="clustered"/>
        <c:varyColors val="0"/>
        <c:ser>
          <c:idx val="0"/>
          <c:order val="0"/>
          <c:tx>
            <c:strRef>
              <c:f>'A6 Lossy Stage Breakdown'!H6</c:f>
              <c:strCache>
                <c:ptCount val="1"/>
                <c:pt idx="0">
                  <c:v>zstd kept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'A6 Lossy Stage Breakdown'!$A$7:$A$15</c:f>
              <c:strCache>
                <c:ptCount val="9"/>
                <c:pt idx="0">
                  <c:v>0</c:v>
                </c:pt>
                <c:pt idx="1">
                  <c:v>0.01</c:v>
                </c:pt>
                <c:pt idx="2">
                  <c:v>0.1</c:v>
                </c:pt>
                <c:pt idx="3">
                  <c:v>0.5</c:v>
                </c:pt>
                <c:pt idx="4">
                  <c:v>1</c:v>
                </c:pt>
                <c:pt idx="5">
                  <c:v>2</c:v>
                </c:pt>
                <c:pt idx="6">
                  <c:v>5</c:v>
                </c:pt>
                <c:pt idx="7">
                  <c:v>10</c:v>
                </c:pt>
                <c:pt idx="8">
                  <c:v>20</c:v>
                </c:pt>
              </c:strCache>
            </c:strRef>
          </c:cat>
          <c:val>
            <c:numRef>
              <c:f>'A6 Lossy Stage Breakdown'!$H$7:$H$15</c:f>
              <c:numCache>
                <c:formatCode>General</c:formatCode>
                <c:ptCount val="9"/>
                <c:pt idx="0">
                  <c:v>1</c:v>
                </c:pt>
                <c:pt idx="1">
                  <c:v>0.9603</c:v>
                </c:pt>
                <c:pt idx="2">
                  <c:v>0.5248</c:v>
                </c:pt>
                <c:pt idx="3">
                  <c:v>0.4473</c:v>
                </c:pt>
                <c:pt idx="4">
                  <c:v>0.1282</c:v>
                </c:pt>
                <c:pt idx="5">
                  <c:v>0.913</c:v>
                </c:pt>
                <c:pt idx="6">
                  <c:v>0.3915</c:v>
                </c:pt>
                <c:pt idx="7">
                  <c:v>0.9999</c:v>
                </c:pt>
                <c:pt idx="8">
                  <c:v>0.9999</c:v>
                </c:pt>
              </c:numCache>
            </c:numRef>
          </c:val>
        </c:ser>
        <c:gapWidth val="40"/>
        <c:overlap val="0"/>
        <c:axId val="40339930"/>
        <c:axId val="60738312"/>
      </c:barChart>
      <c:catAx>
        <c:axId val="4033993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accuracy bound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738312"/>
        <c:crosses val="autoZero"/>
        <c:auto val="1"/>
        <c:lblAlgn val="ctr"/>
        <c:lblOffset val="100"/>
        <c:noMultiLvlLbl val="0"/>
      </c:catAx>
      <c:valAx>
        <c:axId val="6073831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groups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33993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_rels/drawing3.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
</Relationships>
</file>

<file path=xl/drawings/_rels/drawing4.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
</Relationships>
</file>

<file path=xl/drawings/_rels/drawing5.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
</Relationships>
</file>

<file path=xl/drawings/_rels/drawing6.xml.rels><?xml version="1.0" encoding="UTF-8"?>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0</xdr:rowOff>
    </xdr:from>
    <xdr:to>
      <xdr:col>16</xdr:col>
      <xdr:colOff>10440</xdr:colOff>
      <xdr:row>19</xdr:row>
      <xdr:rowOff>1080</xdr:rowOff>
    </xdr:to>
    <xdr:graphicFrame>
      <xdr:nvGraphicFramePr>
        <xdr:cNvPr id="0" name="Chart 1"/>
        <xdr:cNvGraphicFramePr/>
      </xdr:nvGraphicFramePr>
      <xdr:xfrm>
        <a:off x="7918560" y="380880"/>
        <a:ext cx="68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0</xdr:rowOff>
    </xdr:from>
    <xdr:to>
      <xdr:col>16</xdr:col>
      <xdr:colOff>10440</xdr:colOff>
      <xdr:row>40</xdr:row>
      <xdr:rowOff>1080</xdr:rowOff>
    </xdr:to>
    <xdr:graphicFrame>
      <xdr:nvGraphicFramePr>
        <xdr:cNvPr id="1" name="Chart 2"/>
        <xdr:cNvGraphicFramePr/>
      </xdr:nvGraphicFramePr>
      <xdr:xfrm>
        <a:off x="7918560" y="4381560"/>
        <a:ext cx="68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44</xdr:row>
      <xdr:rowOff>0</xdr:rowOff>
    </xdr:from>
    <xdr:to>
      <xdr:col>16</xdr:col>
      <xdr:colOff>10440</xdr:colOff>
      <xdr:row>61</xdr:row>
      <xdr:rowOff>1080</xdr:rowOff>
    </xdr:to>
    <xdr:graphicFrame>
      <xdr:nvGraphicFramePr>
        <xdr:cNvPr id="2" name="Chart 3"/>
        <xdr:cNvGraphicFramePr/>
      </xdr:nvGraphicFramePr>
      <xdr:xfrm>
        <a:off x="7918560" y="8381880"/>
        <a:ext cx="683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44</xdr:row>
      <xdr:rowOff>0</xdr:rowOff>
    </xdr:from>
    <xdr:to>
      <xdr:col>16</xdr:col>
      <xdr:colOff>10440</xdr:colOff>
      <xdr:row>61</xdr:row>
      <xdr:rowOff>1080</xdr:rowOff>
    </xdr:to>
    <xdr:graphicFrame>
      <xdr:nvGraphicFramePr>
        <xdr:cNvPr id="3" name="Chart 4"/>
        <xdr:cNvGraphicFramePr/>
      </xdr:nvGraphicFramePr>
      <xdr:xfrm>
        <a:off x="7918560" y="8381880"/>
        <a:ext cx="683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0</xdr:rowOff>
    </xdr:from>
    <xdr:to>
      <xdr:col>16</xdr:col>
      <xdr:colOff>10440</xdr:colOff>
      <xdr:row>19</xdr:row>
      <xdr:rowOff>1080</xdr:rowOff>
    </xdr:to>
    <xdr:graphicFrame>
      <xdr:nvGraphicFramePr>
        <xdr:cNvPr id="4" name="Chart 1"/>
        <xdr:cNvGraphicFramePr/>
      </xdr:nvGraphicFramePr>
      <xdr:xfrm>
        <a:off x="7918560" y="380880"/>
        <a:ext cx="68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0</xdr:rowOff>
    </xdr:from>
    <xdr:to>
      <xdr:col>16</xdr:col>
      <xdr:colOff>10440</xdr:colOff>
      <xdr:row>40</xdr:row>
      <xdr:rowOff>1080</xdr:rowOff>
    </xdr:to>
    <xdr:graphicFrame>
      <xdr:nvGraphicFramePr>
        <xdr:cNvPr id="5" name="Chart 2"/>
        <xdr:cNvGraphicFramePr/>
      </xdr:nvGraphicFramePr>
      <xdr:xfrm>
        <a:off x="7918560" y="4381560"/>
        <a:ext cx="68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0</xdr:rowOff>
    </xdr:from>
    <xdr:to>
      <xdr:col>14</xdr:col>
      <xdr:colOff>336960</xdr:colOff>
      <xdr:row>19</xdr:row>
      <xdr:rowOff>1080</xdr:rowOff>
    </xdr:to>
    <xdr:graphicFrame>
      <xdr:nvGraphicFramePr>
        <xdr:cNvPr id="6" name="Chart 1"/>
        <xdr:cNvGraphicFramePr/>
      </xdr:nvGraphicFramePr>
      <xdr:xfrm>
        <a:off x="9067680" y="380880"/>
        <a:ext cx="68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0</xdr:rowOff>
    </xdr:from>
    <xdr:to>
      <xdr:col>14</xdr:col>
      <xdr:colOff>336960</xdr:colOff>
      <xdr:row>40</xdr:row>
      <xdr:rowOff>1080</xdr:rowOff>
    </xdr:to>
    <xdr:graphicFrame>
      <xdr:nvGraphicFramePr>
        <xdr:cNvPr id="7" name="Chart 2"/>
        <xdr:cNvGraphicFramePr/>
      </xdr:nvGraphicFramePr>
      <xdr:xfrm>
        <a:off x="9067680" y="4381560"/>
        <a:ext cx="68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0</xdr:rowOff>
    </xdr:from>
    <xdr:to>
      <xdr:col>16</xdr:col>
      <xdr:colOff>10440</xdr:colOff>
      <xdr:row>19</xdr:row>
      <xdr:rowOff>1080</xdr:rowOff>
    </xdr:to>
    <xdr:graphicFrame>
      <xdr:nvGraphicFramePr>
        <xdr:cNvPr id="8" name="Chart 1"/>
        <xdr:cNvGraphicFramePr/>
      </xdr:nvGraphicFramePr>
      <xdr:xfrm>
        <a:off x="7918560" y="380880"/>
        <a:ext cx="68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0</xdr:rowOff>
    </xdr:from>
    <xdr:to>
      <xdr:col>16</xdr:col>
      <xdr:colOff>10440</xdr:colOff>
      <xdr:row>40</xdr:row>
      <xdr:rowOff>1080</xdr:rowOff>
    </xdr:to>
    <xdr:graphicFrame>
      <xdr:nvGraphicFramePr>
        <xdr:cNvPr id="9" name="Chart 2"/>
        <xdr:cNvGraphicFramePr/>
      </xdr:nvGraphicFramePr>
      <xdr:xfrm>
        <a:off x="7918560" y="4381560"/>
        <a:ext cx="68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44</xdr:row>
      <xdr:rowOff>0</xdr:rowOff>
    </xdr:from>
    <xdr:to>
      <xdr:col>16</xdr:col>
      <xdr:colOff>10440</xdr:colOff>
      <xdr:row>61</xdr:row>
      <xdr:rowOff>1080</xdr:rowOff>
    </xdr:to>
    <xdr:graphicFrame>
      <xdr:nvGraphicFramePr>
        <xdr:cNvPr id="10" name="Chart 3"/>
        <xdr:cNvGraphicFramePr/>
      </xdr:nvGraphicFramePr>
      <xdr:xfrm>
        <a:off x="7918560" y="8381880"/>
        <a:ext cx="683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65</xdr:row>
      <xdr:rowOff>0</xdr:rowOff>
    </xdr:from>
    <xdr:to>
      <xdr:col>16</xdr:col>
      <xdr:colOff>10440</xdr:colOff>
      <xdr:row>82</xdr:row>
      <xdr:rowOff>1080</xdr:rowOff>
    </xdr:to>
    <xdr:graphicFrame>
      <xdr:nvGraphicFramePr>
        <xdr:cNvPr id="11" name="Chart 4"/>
        <xdr:cNvGraphicFramePr/>
      </xdr:nvGraphicFramePr>
      <xdr:xfrm>
        <a:off x="7918560" y="12382560"/>
        <a:ext cx="683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xdr:row>
      <xdr:rowOff>0</xdr:rowOff>
    </xdr:from>
    <xdr:to>
      <xdr:col>18</xdr:col>
      <xdr:colOff>10440</xdr:colOff>
      <xdr:row>19</xdr:row>
      <xdr:rowOff>1080</xdr:rowOff>
    </xdr:to>
    <xdr:graphicFrame>
      <xdr:nvGraphicFramePr>
        <xdr:cNvPr id="12" name="Chart 1"/>
        <xdr:cNvGraphicFramePr/>
      </xdr:nvGraphicFramePr>
      <xdr:xfrm>
        <a:off x="12404880" y="380880"/>
        <a:ext cx="68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21</xdr:row>
      <xdr:rowOff>0</xdr:rowOff>
    </xdr:from>
    <xdr:to>
      <xdr:col>18</xdr:col>
      <xdr:colOff>10440</xdr:colOff>
      <xdr:row>38</xdr:row>
      <xdr:rowOff>1440</xdr:rowOff>
    </xdr:to>
    <xdr:graphicFrame>
      <xdr:nvGraphicFramePr>
        <xdr:cNvPr id="13" name="Chart 2"/>
        <xdr:cNvGraphicFramePr/>
      </xdr:nvGraphicFramePr>
      <xdr:xfrm>
        <a:off x="12404880" y="4000680"/>
        <a:ext cx="68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40</xdr:row>
      <xdr:rowOff>0</xdr:rowOff>
    </xdr:from>
    <xdr:to>
      <xdr:col>18</xdr:col>
      <xdr:colOff>10440</xdr:colOff>
      <xdr:row>57</xdr:row>
      <xdr:rowOff>1080</xdr:rowOff>
    </xdr:to>
    <xdr:graphicFrame>
      <xdr:nvGraphicFramePr>
        <xdr:cNvPr id="14" name="Chart 3"/>
        <xdr:cNvGraphicFramePr/>
      </xdr:nvGraphicFramePr>
      <xdr:xfrm>
        <a:off x="12404880" y="7620120"/>
        <a:ext cx="683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xdr:row>
      <xdr:rowOff>0</xdr:rowOff>
    </xdr:from>
    <xdr:to>
      <xdr:col>18</xdr:col>
      <xdr:colOff>10440</xdr:colOff>
      <xdr:row>19</xdr:row>
      <xdr:rowOff>1080</xdr:rowOff>
    </xdr:to>
    <xdr:graphicFrame>
      <xdr:nvGraphicFramePr>
        <xdr:cNvPr id="15" name="Chart 1"/>
        <xdr:cNvGraphicFramePr/>
      </xdr:nvGraphicFramePr>
      <xdr:xfrm>
        <a:off x="12404880" y="380880"/>
        <a:ext cx="68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21</xdr:row>
      <xdr:rowOff>0</xdr:rowOff>
    </xdr:from>
    <xdr:to>
      <xdr:col>18</xdr:col>
      <xdr:colOff>10440</xdr:colOff>
      <xdr:row>38</xdr:row>
      <xdr:rowOff>1440</xdr:rowOff>
    </xdr:to>
    <xdr:graphicFrame>
      <xdr:nvGraphicFramePr>
        <xdr:cNvPr id="16" name="Chart 2"/>
        <xdr:cNvGraphicFramePr/>
      </xdr:nvGraphicFramePr>
      <xdr:xfrm>
        <a:off x="12404880" y="4000680"/>
        <a:ext cx="68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40</xdr:row>
      <xdr:rowOff>0</xdr:rowOff>
    </xdr:from>
    <xdr:to>
      <xdr:col>18</xdr:col>
      <xdr:colOff>10440</xdr:colOff>
      <xdr:row>57</xdr:row>
      <xdr:rowOff>1080</xdr:rowOff>
    </xdr:to>
    <xdr:graphicFrame>
      <xdr:nvGraphicFramePr>
        <xdr:cNvPr id="17" name="Chart 3"/>
        <xdr:cNvGraphicFramePr/>
      </xdr:nvGraphicFramePr>
      <xdr:xfrm>
        <a:off x="12404880" y="7620120"/>
        <a:ext cx="683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118"/>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2" t="s">
        <v>4</v>
      </c>
    </row>
    <row r="6" customFormat="false" ht="15" hidden="false" customHeight="false" outlineLevel="0" collapsed="false">
      <c r="A6" s="5" t="s">
        <v>5</v>
      </c>
      <c r="B6" s="2" t="s">
        <v>6</v>
      </c>
    </row>
    <row r="7" customFormat="false" ht="15" hidden="false" customHeight="false" outlineLevel="0" collapsed="false">
      <c r="A7" s="5" t="s">
        <v>7</v>
      </c>
      <c r="B7" s="2" t="s">
        <v>8</v>
      </c>
    </row>
    <row r="8" customFormat="false" ht="15" hidden="false" customHeight="false" outlineLevel="0" collapsed="false">
      <c r="A8" s="5" t="s">
        <v>9</v>
      </c>
      <c r="B8" s="2" t="s">
        <v>10</v>
      </c>
    </row>
    <row r="9" customFormat="false" ht="15" hidden="false" customHeight="false" outlineLevel="0" collapsed="false">
      <c r="A9" s="5" t="s">
        <v>11</v>
      </c>
      <c r="B9" s="2" t="s">
        <v>12</v>
      </c>
    </row>
    <row r="10" customFormat="false" ht="15" hidden="false" customHeight="false" outlineLevel="0" collapsed="false">
      <c r="A10" s="5" t="s">
        <v>13</v>
      </c>
      <c r="B10" s="2" t="s">
        <v>14</v>
      </c>
    </row>
    <row r="12" customFormat="false" ht="15" hidden="false" customHeight="false" outlineLevel="0" collapsed="false">
      <c r="A12" s="3" t="s">
        <v>15</v>
      </c>
      <c r="B12" s="4"/>
    </row>
    <row r="13" customFormat="false" ht="15" hidden="false" customHeight="false" outlineLevel="0" collapsed="false">
      <c r="A13" s="5" t="s">
        <v>16</v>
      </c>
      <c r="B13" s="2" t="s">
        <v>17</v>
      </c>
    </row>
    <row r="14" customFormat="false" ht="15" hidden="false" customHeight="false" outlineLevel="0" collapsed="false">
      <c r="A14" s="5" t="s">
        <v>18</v>
      </c>
      <c r="B14" s="2" t="s">
        <v>19</v>
      </c>
    </row>
    <row r="15" customFormat="false" ht="15" hidden="false" customHeight="false" outlineLevel="0" collapsed="false">
      <c r="A15" s="5" t="s">
        <v>20</v>
      </c>
      <c r="B15" s="2" t="s">
        <v>21</v>
      </c>
    </row>
    <row r="16" customFormat="false" ht="15" hidden="false" customHeight="false" outlineLevel="0" collapsed="false">
      <c r="A16" s="5" t="s">
        <v>22</v>
      </c>
      <c r="B16" s="2" t="s">
        <v>23</v>
      </c>
    </row>
    <row r="17" customFormat="false" ht="15" hidden="false" customHeight="false" outlineLevel="0" collapsed="false">
      <c r="A17" s="5" t="s">
        <v>24</v>
      </c>
      <c r="B17" s="2" t="s">
        <v>25</v>
      </c>
    </row>
    <row r="18" customFormat="false" ht="15" hidden="false" customHeight="false" outlineLevel="0" collapsed="false">
      <c r="A18" s="5" t="s">
        <v>26</v>
      </c>
      <c r="B18" s="2" t="s">
        <v>27</v>
      </c>
    </row>
    <row r="20" customFormat="false" ht="15" hidden="false" customHeight="false" outlineLevel="0" collapsed="false">
      <c r="A20" s="3" t="s">
        <v>28</v>
      </c>
      <c r="B20" s="4"/>
    </row>
    <row r="21" customFormat="false" ht="15" hidden="false" customHeight="false" outlineLevel="0" collapsed="false">
      <c r="A21" s="5" t="s">
        <v>29</v>
      </c>
      <c r="B21" s="2" t="s">
        <v>30</v>
      </c>
    </row>
    <row r="22" customFormat="false" ht="15" hidden="false" customHeight="false" outlineLevel="0" collapsed="false">
      <c r="A22" s="5" t="s">
        <v>31</v>
      </c>
      <c r="B22" s="2" t="s">
        <v>32</v>
      </c>
    </row>
    <row r="23" customFormat="false" ht="15" hidden="false" customHeight="false" outlineLevel="0" collapsed="false">
      <c r="A23" s="5" t="s">
        <v>33</v>
      </c>
      <c r="B23" s="2" t="s">
        <v>34</v>
      </c>
    </row>
    <row r="24" customFormat="false" ht="15" hidden="false" customHeight="false" outlineLevel="0" collapsed="false">
      <c r="A24" s="5" t="s">
        <v>35</v>
      </c>
      <c r="B24" s="2" t="s">
        <v>36</v>
      </c>
    </row>
    <row r="25" customFormat="false" ht="15" hidden="false" customHeight="false" outlineLevel="0" collapsed="false">
      <c r="A25" s="5" t="s">
        <v>37</v>
      </c>
      <c r="B25" s="2" t="s">
        <v>38</v>
      </c>
    </row>
    <row r="26" customFormat="false" ht="15" hidden="false" customHeight="false" outlineLevel="0" collapsed="false">
      <c r="A26" s="5" t="s">
        <v>39</v>
      </c>
      <c r="B26" s="2"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2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38" min="2" style="0" width="13"/>
  </cols>
  <sheetData>
    <row r="1" customFormat="false" ht="15" hidden="false" customHeight="false" outlineLevel="0" collapsed="false">
      <c r="A1" s="6" t="s">
        <v>41</v>
      </c>
      <c r="B1" s="6" t="s">
        <v>42</v>
      </c>
      <c r="C1" s="6" t="s">
        <v>43</v>
      </c>
      <c r="D1" s="6" t="s">
        <v>44</v>
      </c>
      <c r="E1" s="6" t="s">
        <v>45</v>
      </c>
      <c r="F1" s="6" t="s">
        <v>46</v>
      </c>
      <c r="G1" s="6" t="s">
        <v>47</v>
      </c>
      <c r="H1" s="6" t="s">
        <v>48</v>
      </c>
      <c r="I1" s="6" t="s">
        <v>49</v>
      </c>
      <c r="J1" s="6" t="s">
        <v>50</v>
      </c>
      <c r="K1" s="6" t="s">
        <v>51</v>
      </c>
      <c r="L1" s="6" t="s">
        <v>52</v>
      </c>
      <c r="M1" s="6" t="s">
        <v>53</v>
      </c>
      <c r="N1" s="6" t="s">
        <v>54</v>
      </c>
      <c r="O1" s="6" t="s">
        <v>55</v>
      </c>
      <c r="P1" s="6" t="s">
        <v>33</v>
      </c>
      <c r="Q1" s="6" t="s">
        <v>35</v>
      </c>
      <c r="R1" s="6" t="s">
        <v>56</v>
      </c>
      <c r="S1" s="6" t="s">
        <v>57</v>
      </c>
      <c r="T1" s="6" t="s">
        <v>58</v>
      </c>
      <c r="U1" s="6" t="s">
        <v>59</v>
      </c>
      <c r="V1" s="6" t="s">
        <v>60</v>
      </c>
      <c r="W1" s="6" t="s">
        <v>61</v>
      </c>
      <c r="X1" s="6" t="s">
        <v>62</v>
      </c>
      <c r="Y1" s="6" t="s">
        <v>63</v>
      </c>
      <c r="Z1" s="6" t="s">
        <v>64</v>
      </c>
      <c r="AA1" s="6" t="s">
        <v>65</v>
      </c>
      <c r="AB1" s="6" t="s">
        <v>66</v>
      </c>
      <c r="AC1" s="6" t="s">
        <v>67</v>
      </c>
      <c r="AD1" s="6" t="s">
        <v>68</v>
      </c>
      <c r="AE1" s="6" t="s">
        <v>69</v>
      </c>
      <c r="AF1" s="6" t="s">
        <v>70</v>
      </c>
      <c r="AG1" s="6" t="s">
        <v>71</v>
      </c>
      <c r="AH1" s="6" t="s">
        <v>72</v>
      </c>
      <c r="AI1" s="6" t="s">
        <v>73</v>
      </c>
      <c r="AJ1" s="6" t="s">
        <v>74</v>
      </c>
      <c r="AK1" s="6" t="s">
        <v>75</v>
      </c>
      <c r="AL1" s="6" t="s">
        <v>76</v>
      </c>
    </row>
    <row r="2" customFormat="false" ht="15" hidden="false" customHeight="false" outlineLevel="0" collapsed="false">
      <c r="A2" s="7" t="s">
        <v>77</v>
      </c>
      <c r="B2" s="7" t="s">
        <v>78</v>
      </c>
      <c r="C2" s="7" t="s">
        <v>79</v>
      </c>
      <c r="D2" s="7" t="s">
        <v>79</v>
      </c>
      <c r="E2" s="7"/>
      <c r="F2" s="7" t="n">
        <v>256</v>
      </c>
      <c r="G2" s="7" t="n">
        <v>42700000</v>
      </c>
      <c r="H2" s="7" t="n">
        <v>28</v>
      </c>
      <c r="I2" s="7" t="n">
        <v>1195600000</v>
      </c>
      <c r="J2" s="7" t="n">
        <v>156.819</v>
      </c>
      <c r="K2" s="7" t="n">
        <v>85.5277</v>
      </c>
      <c r="L2" s="7" t="n">
        <v>724428841</v>
      </c>
      <c r="M2" s="7" t="n">
        <v>724616220</v>
      </c>
      <c r="N2" s="7" t="n">
        <v>187379</v>
      </c>
      <c r="O2" s="7" t="n">
        <v>0.000259</v>
      </c>
      <c r="P2" s="7" t="n">
        <v>1.6504</v>
      </c>
      <c r="Q2" s="7" t="n">
        <v>1.65</v>
      </c>
      <c r="R2" s="7" t="n">
        <v>4561</v>
      </c>
      <c r="S2" s="7" t="n">
        <v>1</v>
      </c>
      <c r="T2" s="7" t="n">
        <v>256</v>
      </c>
      <c r="U2" s="7" t="n">
        <v>4096</v>
      </c>
      <c r="V2" s="7" t="n">
        <v>4</v>
      </c>
      <c r="W2" s="7" t="n">
        <v>1048576</v>
      </c>
      <c r="X2" s="7" t="n">
        <v>256</v>
      </c>
      <c r="Y2" s="7" t="n">
        <v>256</v>
      </c>
      <c r="Z2" s="7" t="n">
        <v>3</v>
      </c>
      <c r="AA2" s="7" t="n">
        <v>128</v>
      </c>
      <c r="AB2" s="7" t="n">
        <v>4096</v>
      </c>
      <c r="AC2" s="7" t="s">
        <v>80</v>
      </c>
      <c r="AD2" s="7"/>
      <c r="AE2" s="7"/>
      <c r="AF2" s="7"/>
      <c r="AG2" s="7"/>
      <c r="AH2" s="7"/>
      <c r="AI2" s="7" t="n">
        <v>724428841</v>
      </c>
      <c r="AJ2" s="7" t="n">
        <v>724616220</v>
      </c>
      <c r="AK2" s="7"/>
      <c r="AL2" s="7"/>
    </row>
    <row r="3" customFormat="false" ht="15" hidden="false" customHeight="false" outlineLevel="0" collapsed="false">
      <c r="A3" s="7" t="s">
        <v>77</v>
      </c>
      <c r="B3" s="7" t="s">
        <v>78</v>
      </c>
      <c r="C3" s="7" t="s">
        <v>81</v>
      </c>
      <c r="D3" s="7" t="s">
        <v>81</v>
      </c>
      <c r="E3" s="7"/>
      <c r="F3" s="7" t="n">
        <v>256</v>
      </c>
      <c r="G3" s="7" t="n">
        <v>42700000</v>
      </c>
      <c r="H3" s="7" t="n">
        <v>28</v>
      </c>
      <c r="I3" s="7" t="n">
        <v>1195600000</v>
      </c>
      <c r="J3" s="7" t="n">
        <v>150.268</v>
      </c>
      <c r="K3" s="7" t="n">
        <v>85.794</v>
      </c>
      <c r="L3" s="7" t="n">
        <v>642199148</v>
      </c>
      <c r="M3" s="7" t="n">
        <v>643275922</v>
      </c>
      <c r="N3" s="7" t="n">
        <v>1076774</v>
      </c>
      <c r="O3" s="7" t="n">
        <v>0.001674</v>
      </c>
      <c r="P3" s="7" t="n">
        <v>1.8617</v>
      </c>
      <c r="Q3" s="7" t="n">
        <v>1.8586</v>
      </c>
      <c r="R3" s="7" t="n">
        <v>4561</v>
      </c>
      <c r="S3" s="7" t="n">
        <v>1</v>
      </c>
      <c r="T3" s="7" t="n">
        <v>256</v>
      </c>
      <c r="U3" s="7" t="n">
        <v>4096</v>
      </c>
      <c r="V3" s="7" t="n">
        <v>4</v>
      </c>
      <c r="W3" s="7" t="n">
        <v>1048576</v>
      </c>
      <c r="X3" s="7" t="n">
        <v>256</v>
      </c>
      <c r="Y3" s="7" t="n">
        <v>256</v>
      </c>
      <c r="Z3" s="7" t="n">
        <v>3</v>
      </c>
      <c r="AA3" s="7" t="n">
        <v>128</v>
      </c>
      <c r="AB3" s="7" t="n">
        <v>4096</v>
      </c>
      <c r="AC3" s="7" t="s">
        <v>80</v>
      </c>
      <c r="AD3" s="7"/>
      <c r="AE3" s="7"/>
      <c r="AF3" s="7"/>
      <c r="AG3" s="7"/>
      <c r="AH3" s="7"/>
      <c r="AI3" s="7"/>
      <c r="AJ3" s="7"/>
      <c r="AK3" s="7" t="n">
        <v>642199148</v>
      </c>
      <c r="AL3" s="7" t="n">
        <v>643275922</v>
      </c>
    </row>
    <row r="4" customFormat="false" ht="15" hidden="false" customHeight="false" outlineLevel="0" collapsed="false">
      <c r="A4" s="7" t="s">
        <v>77</v>
      </c>
      <c r="B4" s="7" t="s">
        <v>78</v>
      </c>
      <c r="C4" s="7" t="s">
        <v>81</v>
      </c>
      <c r="D4" s="7" t="s">
        <v>81</v>
      </c>
      <c r="E4" s="7" t="n">
        <v>0.1</v>
      </c>
      <c r="F4" s="7" t="n">
        <v>256</v>
      </c>
      <c r="G4" s="7" t="n">
        <v>42700000</v>
      </c>
      <c r="H4" s="7" t="n">
        <v>28</v>
      </c>
      <c r="I4" s="7" t="n">
        <v>1195600000</v>
      </c>
      <c r="J4" s="7" t="n">
        <v>150.094</v>
      </c>
      <c r="K4" s="7" t="n">
        <v>88.5696</v>
      </c>
      <c r="L4" s="7" t="n">
        <v>394504305</v>
      </c>
      <c r="M4" s="7" t="n">
        <v>395581079</v>
      </c>
      <c r="N4" s="7" t="n">
        <v>1076774</v>
      </c>
      <c r="O4" s="7" t="n">
        <v>0.002722</v>
      </c>
      <c r="P4" s="7" t="n">
        <v>3.0306</v>
      </c>
      <c r="Q4" s="7" t="n">
        <v>3.0224</v>
      </c>
      <c r="R4" s="7" t="n">
        <v>4561</v>
      </c>
      <c r="S4" s="7" t="n">
        <v>1</v>
      </c>
      <c r="T4" s="7" t="n">
        <v>256</v>
      </c>
      <c r="U4" s="7" t="n">
        <v>4096</v>
      </c>
      <c r="V4" s="7" t="n">
        <v>4</v>
      </c>
      <c r="W4" s="7" t="n">
        <v>1048576</v>
      </c>
      <c r="X4" s="7" t="n">
        <v>256</v>
      </c>
      <c r="Y4" s="7" t="n">
        <v>256</v>
      </c>
      <c r="Z4" s="7" t="n">
        <v>3</v>
      </c>
      <c r="AA4" s="7" t="n">
        <v>128</v>
      </c>
      <c r="AB4" s="7" t="n">
        <v>4096</v>
      </c>
      <c r="AC4" s="7" t="s">
        <v>80</v>
      </c>
      <c r="AD4" s="7"/>
      <c r="AE4" s="7"/>
      <c r="AF4" s="7"/>
      <c r="AG4" s="7"/>
      <c r="AH4" s="7"/>
      <c r="AI4" s="7"/>
      <c r="AJ4" s="7"/>
      <c r="AK4" s="7" t="n">
        <v>394504305</v>
      </c>
      <c r="AL4" s="7" t="n">
        <v>395581079</v>
      </c>
    </row>
    <row r="5" customFormat="false" ht="15" hidden="false" customHeight="false" outlineLevel="0" collapsed="false">
      <c r="A5" s="7" t="s">
        <v>77</v>
      </c>
      <c r="B5" s="7" t="s">
        <v>78</v>
      </c>
      <c r="C5" s="7" t="s">
        <v>81</v>
      </c>
      <c r="D5" s="7" t="s">
        <v>81</v>
      </c>
      <c r="E5" s="7" t="n">
        <v>1</v>
      </c>
      <c r="F5" s="7" t="n">
        <v>256</v>
      </c>
      <c r="G5" s="7" t="n">
        <v>42700000</v>
      </c>
      <c r="H5" s="7" t="n">
        <v>28</v>
      </c>
      <c r="I5" s="7" t="n">
        <v>1195600000</v>
      </c>
      <c r="J5" s="7" t="n">
        <v>153.796</v>
      </c>
      <c r="K5" s="7" t="n">
        <v>87.651</v>
      </c>
      <c r="L5" s="7" t="n">
        <v>373846800</v>
      </c>
      <c r="M5" s="7" t="n">
        <v>374923574</v>
      </c>
      <c r="N5" s="7" t="n">
        <v>1076774</v>
      </c>
      <c r="O5" s="7" t="n">
        <v>0.002872</v>
      </c>
      <c r="P5" s="7" t="n">
        <v>3.1981</v>
      </c>
      <c r="Q5" s="7" t="n">
        <v>3.1889</v>
      </c>
      <c r="R5" s="7" t="n">
        <v>4561</v>
      </c>
      <c r="S5" s="7" t="n">
        <v>1</v>
      </c>
      <c r="T5" s="7" t="n">
        <v>256</v>
      </c>
      <c r="U5" s="7" t="n">
        <v>4096</v>
      </c>
      <c r="V5" s="7" t="n">
        <v>4</v>
      </c>
      <c r="W5" s="7" t="n">
        <v>1048576</v>
      </c>
      <c r="X5" s="7" t="n">
        <v>256</v>
      </c>
      <c r="Y5" s="7" t="n">
        <v>256</v>
      </c>
      <c r="Z5" s="7" t="n">
        <v>3</v>
      </c>
      <c r="AA5" s="7" t="n">
        <v>128</v>
      </c>
      <c r="AB5" s="7" t="n">
        <v>4096</v>
      </c>
      <c r="AC5" s="7" t="s">
        <v>80</v>
      </c>
      <c r="AD5" s="7"/>
      <c r="AE5" s="7"/>
      <c r="AF5" s="7"/>
      <c r="AG5" s="7"/>
      <c r="AH5" s="7"/>
      <c r="AI5" s="7"/>
      <c r="AJ5" s="7"/>
      <c r="AK5" s="7" t="n">
        <v>373846800</v>
      </c>
      <c r="AL5" s="7" t="n">
        <v>374923574</v>
      </c>
    </row>
    <row r="6" customFormat="false" ht="15" hidden="false" customHeight="false" outlineLevel="0" collapsed="false">
      <c r="A6" s="7" t="s">
        <v>77</v>
      </c>
      <c r="B6" s="7" t="s">
        <v>78</v>
      </c>
      <c r="C6" s="7" t="s">
        <v>81</v>
      </c>
      <c r="D6" s="7" t="s">
        <v>81</v>
      </c>
      <c r="E6" s="7" t="n">
        <v>5</v>
      </c>
      <c r="F6" s="7" t="n">
        <v>256</v>
      </c>
      <c r="G6" s="7" t="n">
        <v>42700000</v>
      </c>
      <c r="H6" s="7" t="n">
        <v>28</v>
      </c>
      <c r="I6" s="7" t="n">
        <v>1195600000</v>
      </c>
      <c r="J6" s="7" t="n">
        <v>152.149</v>
      </c>
      <c r="K6" s="7" t="n">
        <v>88.1404</v>
      </c>
      <c r="L6" s="7" t="n">
        <v>360998795</v>
      </c>
      <c r="M6" s="7" t="n">
        <v>362075569</v>
      </c>
      <c r="N6" s="7" t="n">
        <v>1076774</v>
      </c>
      <c r="O6" s="7" t="n">
        <v>0.002974</v>
      </c>
      <c r="P6" s="7" t="n">
        <v>3.3119</v>
      </c>
      <c r="Q6" s="7" t="n">
        <v>3.3021</v>
      </c>
      <c r="R6" s="7" t="n">
        <v>4561</v>
      </c>
      <c r="S6" s="7" t="n">
        <v>1</v>
      </c>
      <c r="T6" s="7" t="n">
        <v>256</v>
      </c>
      <c r="U6" s="7" t="n">
        <v>4096</v>
      </c>
      <c r="V6" s="7" t="n">
        <v>4</v>
      </c>
      <c r="W6" s="7" t="n">
        <v>1048576</v>
      </c>
      <c r="X6" s="7" t="n">
        <v>256</v>
      </c>
      <c r="Y6" s="7" t="n">
        <v>256</v>
      </c>
      <c r="Z6" s="7" t="n">
        <v>3</v>
      </c>
      <c r="AA6" s="7" t="n">
        <v>128</v>
      </c>
      <c r="AB6" s="7" t="n">
        <v>4096</v>
      </c>
      <c r="AC6" s="7" t="s">
        <v>80</v>
      </c>
      <c r="AD6" s="7"/>
      <c r="AE6" s="7"/>
      <c r="AF6" s="7"/>
      <c r="AG6" s="7"/>
      <c r="AH6" s="7"/>
      <c r="AI6" s="7"/>
      <c r="AJ6" s="7"/>
      <c r="AK6" s="7" t="n">
        <v>360998795</v>
      </c>
      <c r="AL6" s="7" t="n">
        <v>362075569</v>
      </c>
    </row>
    <row r="7" customFormat="false" ht="15" hidden="false" customHeight="false" outlineLevel="0" collapsed="false">
      <c r="A7" s="7" t="s">
        <v>77</v>
      </c>
      <c r="B7" s="7" t="s">
        <v>78</v>
      </c>
      <c r="C7" s="7" t="s">
        <v>82</v>
      </c>
      <c r="D7" s="7" t="s">
        <v>82</v>
      </c>
      <c r="E7" s="7"/>
      <c r="F7" s="7" t="n">
        <v>256</v>
      </c>
      <c r="G7" s="7" t="n">
        <v>42700000</v>
      </c>
      <c r="H7" s="7" t="n">
        <v>28</v>
      </c>
      <c r="I7" s="7" t="n">
        <v>1195600000</v>
      </c>
      <c r="J7" s="7" t="n">
        <v>146.488</v>
      </c>
      <c r="K7" s="7" t="n">
        <v>88.0405</v>
      </c>
      <c r="L7" s="7" t="n">
        <v>1195600000</v>
      </c>
      <c r="M7" s="7" t="n">
        <v>1195928436</v>
      </c>
      <c r="N7" s="7" t="n">
        <v>328436</v>
      </c>
      <c r="O7" s="7" t="n">
        <v>0.000275</v>
      </c>
      <c r="P7" s="7" t="n">
        <v>1</v>
      </c>
      <c r="Q7" s="7" t="n">
        <v>0.9997</v>
      </c>
      <c r="R7" s="7" t="n">
        <v>4561</v>
      </c>
      <c r="S7" s="7" t="n">
        <v>1</v>
      </c>
      <c r="T7" s="7" t="n">
        <v>256</v>
      </c>
      <c r="U7" s="7" t="n">
        <v>4096</v>
      </c>
      <c r="V7" s="7" t="n">
        <v>4</v>
      </c>
      <c r="W7" s="7" t="n">
        <v>1048576</v>
      </c>
      <c r="X7" s="7" t="n">
        <v>256</v>
      </c>
      <c r="Y7" s="7" t="n">
        <v>256</v>
      </c>
      <c r="Z7" s="7" t="n">
        <v>3</v>
      </c>
      <c r="AA7" s="7" t="n">
        <v>128</v>
      </c>
      <c r="AB7" s="7" t="n">
        <v>4096</v>
      </c>
      <c r="AC7" s="7" t="s">
        <v>80</v>
      </c>
      <c r="AD7" s="7"/>
      <c r="AE7" s="7"/>
      <c r="AF7" s="7"/>
      <c r="AG7" s="7" t="n">
        <v>1195600000</v>
      </c>
      <c r="AH7" s="7" t="n">
        <v>1195928436</v>
      </c>
      <c r="AI7" s="7"/>
      <c r="AJ7" s="7"/>
      <c r="AK7" s="7"/>
      <c r="AL7" s="7"/>
    </row>
    <row r="8" customFormat="false" ht="15" hidden="false" customHeight="false" outlineLevel="0" collapsed="false">
      <c r="A8" s="7" t="s">
        <v>77</v>
      </c>
      <c r="B8" s="7" t="s">
        <v>78</v>
      </c>
      <c r="C8" s="7" t="s">
        <v>79</v>
      </c>
      <c r="D8" s="7" t="s">
        <v>79</v>
      </c>
      <c r="E8" s="7"/>
      <c r="F8" s="7" t="n">
        <v>1024</v>
      </c>
      <c r="G8" s="7" t="n">
        <v>42700000</v>
      </c>
      <c r="H8" s="7" t="n">
        <v>28</v>
      </c>
      <c r="I8" s="7" t="n">
        <v>1195600000</v>
      </c>
      <c r="J8" s="7" t="n">
        <v>135.662</v>
      </c>
      <c r="K8" s="7" t="n">
        <v>93.9734</v>
      </c>
      <c r="L8" s="7" t="n">
        <v>723861477</v>
      </c>
      <c r="M8" s="7" t="n">
        <v>723908636</v>
      </c>
      <c r="N8" s="7" t="n">
        <v>47159</v>
      </c>
      <c r="O8" s="7" t="n">
        <v>6.5E-005</v>
      </c>
      <c r="P8" s="7" t="n">
        <v>1.6517</v>
      </c>
      <c r="Q8" s="7" t="n">
        <v>1.6516</v>
      </c>
      <c r="R8" s="7" t="n">
        <v>1141</v>
      </c>
      <c r="S8" s="7" t="n">
        <v>1</v>
      </c>
      <c r="T8" s="7" t="n">
        <v>1024</v>
      </c>
      <c r="U8" s="7" t="n">
        <v>4096</v>
      </c>
      <c r="V8" s="7" t="n">
        <v>4</v>
      </c>
      <c r="W8" s="7" t="n">
        <v>1048576</v>
      </c>
      <c r="X8" s="7" t="n">
        <v>1024</v>
      </c>
      <c r="Y8" s="7" t="n">
        <v>1024</v>
      </c>
      <c r="Z8" s="7" t="n">
        <v>3</v>
      </c>
      <c r="AA8" s="7" t="n">
        <v>128</v>
      </c>
      <c r="AB8" s="7" t="n">
        <v>4096</v>
      </c>
      <c r="AC8" s="7" t="s">
        <v>80</v>
      </c>
      <c r="AD8" s="7"/>
      <c r="AE8" s="7"/>
      <c r="AF8" s="7"/>
      <c r="AG8" s="7"/>
      <c r="AH8" s="7"/>
      <c r="AI8" s="7" t="n">
        <v>723861477</v>
      </c>
      <c r="AJ8" s="7" t="n">
        <v>723908636</v>
      </c>
      <c r="AK8" s="7"/>
      <c r="AL8" s="7"/>
    </row>
    <row r="9" customFormat="false" ht="15" hidden="false" customHeight="false" outlineLevel="0" collapsed="false">
      <c r="A9" s="7" t="s">
        <v>77</v>
      </c>
      <c r="B9" s="7" t="s">
        <v>78</v>
      </c>
      <c r="C9" s="7" t="s">
        <v>81</v>
      </c>
      <c r="D9" s="7" t="s">
        <v>81</v>
      </c>
      <c r="E9" s="7"/>
      <c r="F9" s="7" t="n">
        <v>1024</v>
      </c>
      <c r="G9" s="7" t="n">
        <v>42700000</v>
      </c>
      <c r="H9" s="7" t="n">
        <v>28</v>
      </c>
      <c r="I9" s="7" t="n">
        <v>1195600000</v>
      </c>
      <c r="J9" s="7" t="n">
        <v>131.611</v>
      </c>
      <c r="K9" s="7" t="n">
        <v>93.6597</v>
      </c>
      <c r="L9" s="7" t="n">
        <v>639795627</v>
      </c>
      <c r="M9" s="7" t="n">
        <v>640065281</v>
      </c>
      <c r="N9" s="7" t="n">
        <v>269654</v>
      </c>
      <c r="O9" s="7" t="n">
        <v>0.000421</v>
      </c>
      <c r="P9" s="7" t="n">
        <v>1.8687</v>
      </c>
      <c r="Q9" s="7" t="n">
        <v>1.8679</v>
      </c>
      <c r="R9" s="7" t="n">
        <v>1141</v>
      </c>
      <c r="S9" s="7" t="n">
        <v>1</v>
      </c>
      <c r="T9" s="7" t="n">
        <v>1024</v>
      </c>
      <c r="U9" s="7" t="n">
        <v>4096</v>
      </c>
      <c r="V9" s="7" t="n">
        <v>4</v>
      </c>
      <c r="W9" s="7" t="n">
        <v>1048576</v>
      </c>
      <c r="X9" s="7" t="n">
        <v>1024</v>
      </c>
      <c r="Y9" s="7" t="n">
        <v>1024</v>
      </c>
      <c r="Z9" s="7" t="n">
        <v>3</v>
      </c>
      <c r="AA9" s="7" t="n">
        <v>128</v>
      </c>
      <c r="AB9" s="7" t="n">
        <v>4096</v>
      </c>
      <c r="AC9" s="7" t="s">
        <v>80</v>
      </c>
      <c r="AD9" s="7"/>
      <c r="AE9" s="7"/>
      <c r="AF9" s="7"/>
      <c r="AG9" s="7"/>
      <c r="AH9" s="7"/>
      <c r="AI9" s="7"/>
      <c r="AJ9" s="7"/>
      <c r="AK9" s="7" t="n">
        <v>639795627</v>
      </c>
      <c r="AL9" s="7" t="n">
        <v>640065281</v>
      </c>
    </row>
    <row r="10" customFormat="false" ht="15" hidden="false" customHeight="false" outlineLevel="0" collapsed="false">
      <c r="A10" s="7" t="s">
        <v>77</v>
      </c>
      <c r="B10" s="7" t="s">
        <v>78</v>
      </c>
      <c r="C10" s="7" t="s">
        <v>81</v>
      </c>
      <c r="D10" s="7" t="s">
        <v>81</v>
      </c>
      <c r="E10" s="7" t="n">
        <v>0.1</v>
      </c>
      <c r="F10" s="7" t="n">
        <v>1024</v>
      </c>
      <c r="G10" s="7" t="n">
        <v>42700000</v>
      </c>
      <c r="H10" s="7" t="n">
        <v>28</v>
      </c>
      <c r="I10" s="7" t="n">
        <v>1195600000</v>
      </c>
      <c r="J10" s="7" t="n">
        <v>131.677</v>
      </c>
      <c r="K10" s="7" t="n">
        <v>93.3639</v>
      </c>
      <c r="L10" s="7" t="n">
        <v>405314797</v>
      </c>
      <c r="M10" s="7" t="n">
        <v>405584451</v>
      </c>
      <c r="N10" s="7" t="n">
        <v>269654</v>
      </c>
      <c r="O10" s="7" t="n">
        <v>0.000665</v>
      </c>
      <c r="P10" s="7" t="n">
        <v>2.9498</v>
      </c>
      <c r="Q10" s="7" t="n">
        <v>2.9478</v>
      </c>
      <c r="R10" s="7" t="n">
        <v>1141</v>
      </c>
      <c r="S10" s="7" t="n">
        <v>1</v>
      </c>
      <c r="T10" s="7" t="n">
        <v>1024</v>
      </c>
      <c r="U10" s="7" t="n">
        <v>4096</v>
      </c>
      <c r="V10" s="7" t="n">
        <v>4</v>
      </c>
      <c r="W10" s="7" t="n">
        <v>1048576</v>
      </c>
      <c r="X10" s="7" t="n">
        <v>1024</v>
      </c>
      <c r="Y10" s="7" t="n">
        <v>1024</v>
      </c>
      <c r="Z10" s="7" t="n">
        <v>3</v>
      </c>
      <c r="AA10" s="7" t="n">
        <v>128</v>
      </c>
      <c r="AB10" s="7" t="n">
        <v>4096</v>
      </c>
      <c r="AC10" s="7" t="s">
        <v>80</v>
      </c>
      <c r="AD10" s="7"/>
      <c r="AE10" s="7"/>
      <c r="AF10" s="7"/>
      <c r="AG10" s="7"/>
      <c r="AH10" s="7"/>
      <c r="AI10" s="7"/>
      <c r="AJ10" s="7"/>
      <c r="AK10" s="7" t="n">
        <v>405314797</v>
      </c>
      <c r="AL10" s="7" t="n">
        <v>405584451</v>
      </c>
    </row>
    <row r="11" customFormat="false" ht="15" hidden="false" customHeight="false" outlineLevel="0" collapsed="false">
      <c r="A11" s="7" t="s">
        <v>77</v>
      </c>
      <c r="B11" s="7" t="s">
        <v>78</v>
      </c>
      <c r="C11" s="7" t="s">
        <v>81</v>
      </c>
      <c r="D11" s="7" t="s">
        <v>81</v>
      </c>
      <c r="E11" s="7" t="n">
        <v>1</v>
      </c>
      <c r="F11" s="7" t="n">
        <v>1024</v>
      </c>
      <c r="G11" s="7" t="n">
        <v>42700000</v>
      </c>
      <c r="H11" s="7" t="n">
        <v>28</v>
      </c>
      <c r="I11" s="7" t="n">
        <v>1195600000</v>
      </c>
      <c r="J11" s="7" t="n">
        <v>130.526</v>
      </c>
      <c r="K11" s="7" t="n">
        <v>93.9485</v>
      </c>
      <c r="L11" s="7" t="n">
        <v>385249990</v>
      </c>
      <c r="M11" s="7" t="n">
        <v>385519644</v>
      </c>
      <c r="N11" s="7" t="n">
        <v>269654</v>
      </c>
      <c r="O11" s="7" t="n">
        <v>0.000699</v>
      </c>
      <c r="P11" s="7" t="n">
        <v>3.1034</v>
      </c>
      <c r="Q11" s="7" t="n">
        <v>3.1013</v>
      </c>
      <c r="R11" s="7" t="n">
        <v>1141</v>
      </c>
      <c r="S11" s="7" t="n">
        <v>1</v>
      </c>
      <c r="T11" s="7" t="n">
        <v>1024</v>
      </c>
      <c r="U11" s="7" t="n">
        <v>4096</v>
      </c>
      <c r="V11" s="7" t="n">
        <v>4</v>
      </c>
      <c r="W11" s="7" t="n">
        <v>1048576</v>
      </c>
      <c r="X11" s="7" t="n">
        <v>1024</v>
      </c>
      <c r="Y11" s="7" t="n">
        <v>1024</v>
      </c>
      <c r="Z11" s="7" t="n">
        <v>3</v>
      </c>
      <c r="AA11" s="7" t="n">
        <v>128</v>
      </c>
      <c r="AB11" s="7" t="n">
        <v>4096</v>
      </c>
      <c r="AC11" s="7" t="s">
        <v>80</v>
      </c>
      <c r="AD11" s="7"/>
      <c r="AE11" s="7"/>
      <c r="AF11" s="7"/>
      <c r="AG11" s="7"/>
      <c r="AH11" s="7"/>
      <c r="AI11" s="7"/>
      <c r="AJ11" s="7"/>
      <c r="AK11" s="7" t="n">
        <v>385249990</v>
      </c>
      <c r="AL11" s="7" t="n">
        <v>385519644</v>
      </c>
    </row>
    <row r="12" customFormat="false" ht="15" hidden="false" customHeight="false" outlineLevel="0" collapsed="false">
      <c r="A12" s="7" t="s">
        <v>77</v>
      </c>
      <c r="B12" s="7" t="s">
        <v>78</v>
      </c>
      <c r="C12" s="7" t="s">
        <v>81</v>
      </c>
      <c r="D12" s="7" t="s">
        <v>81</v>
      </c>
      <c r="E12" s="7" t="n">
        <v>5</v>
      </c>
      <c r="F12" s="7" t="n">
        <v>1024</v>
      </c>
      <c r="G12" s="7" t="n">
        <v>42700000</v>
      </c>
      <c r="H12" s="7" t="n">
        <v>28</v>
      </c>
      <c r="I12" s="7" t="n">
        <v>1195600000</v>
      </c>
      <c r="J12" s="7" t="n">
        <v>130.055</v>
      </c>
      <c r="K12" s="7" t="n">
        <v>95.1764</v>
      </c>
      <c r="L12" s="7" t="n">
        <v>370154595</v>
      </c>
      <c r="M12" s="7" t="n">
        <v>370424249</v>
      </c>
      <c r="N12" s="7" t="n">
        <v>269654</v>
      </c>
      <c r="O12" s="7" t="n">
        <v>0.000728</v>
      </c>
      <c r="P12" s="7" t="n">
        <v>3.23</v>
      </c>
      <c r="Q12" s="7" t="n">
        <v>3.2277</v>
      </c>
      <c r="R12" s="7" t="n">
        <v>1141</v>
      </c>
      <c r="S12" s="7" t="n">
        <v>1</v>
      </c>
      <c r="T12" s="7" t="n">
        <v>1024</v>
      </c>
      <c r="U12" s="7" t="n">
        <v>4096</v>
      </c>
      <c r="V12" s="7" t="n">
        <v>4</v>
      </c>
      <c r="W12" s="7" t="n">
        <v>1048576</v>
      </c>
      <c r="X12" s="7" t="n">
        <v>1024</v>
      </c>
      <c r="Y12" s="7" t="n">
        <v>1024</v>
      </c>
      <c r="Z12" s="7" t="n">
        <v>3</v>
      </c>
      <c r="AA12" s="7" t="n">
        <v>128</v>
      </c>
      <c r="AB12" s="7" t="n">
        <v>4096</v>
      </c>
      <c r="AC12" s="7" t="s">
        <v>80</v>
      </c>
      <c r="AD12" s="7"/>
      <c r="AE12" s="7"/>
      <c r="AF12" s="7"/>
      <c r="AG12" s="7"/>
      <c r="AH12" s="7"/>
      <c r="AI12" s="7"/>
      <c r="AJ12" s="7"/>
      <c r="AK12" s="7" t="n">
        <v>370154595</v>
      </c>
      <c r="AL12" s="7" t="n">
        <v>370424249</v>
      </c>
    </row>
    <row r="13" customFormat="false" ht="15" hidden="false" customHeight="false" outlineLevel="0" collapsed="false">
      <c r="A13" s="7" t="s">
        <v>77</v>
      </c>
      <c r="B13" s="7" t="s">
        <v>78</v>
      </c>
      <c r="C13" s="7" t="s">
        <v>82</v>
      </c>
      <c r="D13" s="7" t="s">
        <v>82</v>
      </c>
      <c r="E13" s="7"/>
      <c r="F13" s="7" t="n">
        <v>1024</v>
      </c>
      <c r="G13" s="7" t="n">
        <v>42700000</v>
      </c>
      <c r="H13" s="7" t="n">
        <v>28</v>
      </c>
      <c r="I13" s="7" t="n">
        <v>1195600000</v>
      </c>
      <c r="J13" s="7" t="n">
        <v>128.439</v>
      </c>
      <c r="K13" s="7" t="n">
        <v>93.4394</v>
      </c>
      <c r="L13" s="7" t="n">
        <v>1195600000</v>
      </c>
      <c r="M13" s="7" t="n">
        <v>1195682676</v>
      </c>
      <c r="N13" s="7" t="n">
        <v>82676</v>
      </c>
      <c r="O13" s="7" t="n">
        <v>6.9E-005</v>
      </c>
      <c r="P13" s="7" t="n">
        <v>1</v>
      </c>
      <c r="Q13" s="7" t="n">
        <v>0.9999</v>
      </c>
      <c r="R13" s="7" t="n">
        <v>1141</v>
      </c>
      <c r="S13" s="7" t="n">
        <v>1</v>
      </c>
      <c r="T13" s="7" t="n">
        <v>1024</v>
      </c>
      <c r="U13" s="7" t="n">
        <v>4096</v>
      </c>
      <c r="V13" s="7" t="n">
        <v>4</v>
      </c>
      <c r="W13" s="7" t="n">
        <v>1048576</v>
      </c>
      <c r="X13" s="7" t="n">
        <v>1024</v>
      </c>
      <c r="Y13" s="7" t="n">
        <v>1024</v>
      </c>
      <c r="Z13" s="7" t="n">
        <v>3</v>
      </c>
      <c r="AA13" s="7" t="n">
        <v>128</v>
      </c>
      <c r="AB13" s="7" t="n">
        <v>4096</v>
      </c>
      <c r="AC13" s="7" t="s">
        <v>80</v>
      </c>
      <c r="AD13" s="7"/>
      <c r="AE13" s="7"/>
      <c r="AF13" s="7"/>
      <c r="AG13" s="7" t="n">
        <v>1195600000</v>
      </c>
      <c r="AH13" s="7" t="n">
        <v>1195682676</v>
      </c>
      <c r="AI13" s="7"/>
      <c r="AJ13" s="7"/>
      <c r="AK13" s="7"/>
      <c r="AL13" s="7"/>
    </row>
    <row r="14" customFormat="false" ht="15" hidden="false" customHeight="false" outlineLevel="0" collapsed="false">
      <c r="A14" s="7" t="s">
        <v>77</v>
      </c>
      <c r="B14" s="7" t="s">
        <v>78</v>
      </c>
      <c r="C14" s="7" t="s">
        <v>79</v>
      </c>
      <c r="D14" s="7" t="s">
        <v>79</v>
      </c>
      <c r="E14" s="7"/>
      <c r="F14" s="7" t="n">
        <v>4096</v>
      </c>
      <c r="G14" s="7" t="n">
        <v>42700000</v>
      </c>
      <c r="H14" s="7" t="n">
        <v>28</v>
      </c>
      <c r="I14" s="7" t="n">
        <v>1195600000</v>
      </c>
      <c r="J14" s="7" t="n">
        <v>135.817</v>
      </c>
      <c r="K14" s="7" t="n">
        <v>93.9317</v>
      </c>
      <c r="L14" s="7" t="n">
        <v>723766456</v>
      </c>
      <c r="M14" s="7" t="n">
        <v>723778560</v>
      </c>
      <c r="N14" s="7" t="n">
        <v>12104</v>
      </c>
      <c r="O14" s="7" t="n">
        <v>1.7E-005</v>
      </c>
      <c r="P14" s="7" t="n">
        <v>1.6519</v>
      </c>
      <c r="Q14" s="7" t="n">
        <v>1.6519</v>
      </c>
      <c r="R14" s="7" t="n">
        <v>286</v>
      </c>
      <c r="S14" s="7" t="n">
        <v>1</v>
      </c>
      <c r="T14" s="7" t="n">
        <v>4096</v>
      </c>
      <c r="U14" s="7" t="n">
        <v>4096</v>
      </c>
      <c r="V14" s="7" t="n">
        <v>4</v>
      </c>
      <c r="W14" s="7" t="n">
        <v>1048576</v>
      </c>
      <c r="X14" s="7" t="n">
        <v>4096</v>
      </c>
      <c r="Y14" s="7" t="n">
        <v>4096</v>
      </c>
      <c r="Z14" s="7" t="n">
        <v>3</v>
      </c>
      <c r="AA14" s="7" t="n">
        <v>128</v>
      </c>
      <c r="AB14" s="7" t="n">
        <v>4096</v>
      </c>
      <c r="AC14" s="7" t="s">
        <v>80</v>
      </c>
      <c r="AD14" s="7"/>
      <c r="AE14" s="7"/>
      <c r="AF14" s="7"/>
      <c r="AG14" s="7"/>
      <c r="AH14" s="7"/>
      <c r="AI14" s="7" t="n">
        <v>723766456</v>
      </c>
      <c r="AJ14" s="7" t="n">
        <v>723778560</v>
      </c>
      <c r="AK14" s="7"/>
      <c r="AL14" s="7"/>
    </row>
    <row r="15" customFormat="false" ht="15" hidden="false" customHeight="false" outlineLevel="0" collapsed="false">
      <c r="A15" s="7" t="s">
        <v>77</v>
      </c>
      <c r="B15" s="7" t="s">
        <v>78</v>
      </c>
      <c r="C15" s="7" t="s">
        <v>81</v>
      </c>
      <c r="D15" s="7" t="s">
        <v>81</v>
      </c>
      <c r="E15" s="7"/>
      <c r="F15" s="7" t="n">
        <v>4096</v>
      </c>
      <c r="G15" s="7" t="n">
        <v>42700000</v>
      </c>
      <c r="H15" s="7" t="n">
        <v>28</v>
      </c>
      <c r="I15" s="7" t="n">
        <v>1195600000</v>
      </c>
      <c r="J15" s="7" t="n">
        <v>131.329</v>
      </c>
      <c r="K15" s="7" t="n">
        <v>93.4674</v>
      </c>
      <c r="L15" s="7" t="n">
        <v>646044488</v>
      </c>
      <c r="M15" s="7" t="n">
        <v>646112362</v>
      </c>
      <c r="N15" s="7" t="n">
        <v>67874</v>
      </c>
      <c r="O15" s="7" t="n">
        <v>0.000105</v>
      </c>
      <c r="P15" s="7" t="n">
        <v>1.8506</v>
      </c>
      <c r="Q15" s="7" t="n">
        <v>1.8505</v>
      </c>
      <c r="R15" s="7" t="n">
        <v>286</v>
      </c>
      <c r="S15" s="7" t="n">
        <v>1</v>
      </c>
      <c r="T15" s="7" t="n">
        <v>4096</v>
      </c>
      <c r="U15" s="7" t="n">
        <v>4096</v>
      </c>
      <c r="V15" s="7" t="n">
        <v>4</v>
      </c>
      <c r="W15" s="7" t="n">
        <v>1048576</v>
      </c>
      <c r="X15" s="7" t="n">
        <v>4096</v>
      </c>
      <c r="Y15" s="7" t="n">
        <v>4096</v>
      </c>
      <c r="Z15" s="7" t="n">
        <v>3</v>
      </c>
      <c r="AA15" s="7" t="n">
        <v>128</v>
      </c>
      <c r="AB15" s="7" t="n">
        <v>4096</v>
      </c>
      <c r="AC15" s="7" t="s">
        <v>80</v>
      </c>
      <c r="AD15" s="7"/>
      <c r="AE15" s="7"/>
      <c r="AF15" s="7"/>
      <c r="AG15" s="7"/>
      <c r="AH15" s="7"/>
      <c r="AI15" s="7"/>
      <c r="AJ15" s="7"/>
      <c r="AK15" s="7" t="n">
        <v>646044488</v>
      </c>
      <c r="AL15" s="7" t="n">
        <v>646112362</v>
      </c>
    </row>
    <row r="16" customFormat="false" ht="15" hidden="false" customHeight="false" outlineLevel="0" collapsed="false">
      <c r="A16" s="7" t="s">
        <v>77</v>
      </c>
      <c r="B16" s="7" t="s">
        <v>78</v>
      </c>
      <c r="C16" s="7" t="s">
        <v>81</v>
      </c>
      <c r="D16" s="7" t="s">
        <v>81</v>
      </c>
      <c r="E16" s="7" t="n">
        <v>0.1</v>
      </c>
      <c r="F16" s="7" t="n">
        <v>4096</v>
      </c>
      <c r="G16" s="7" t="n">
        <v>42700000</v>
      </c>
      <c r="H16" s="7" t="n">
        <v>28</v>
      </c>
      <c r="I16" s="7" t="n">
        <v>1195600000</v>
      </c>
      <c r="J16" s="7" t="n">
        <v>131.199</v>
      </c>
      <c r="K16" s="7" t="n">
        <v>93.7355</v>
      </c>
      <c r="L16" s="7" t="n">
        <v>415720791</v>
      </c>
      <c r="M16" s="7" t="n">
        <v>415788665</v>
      </c>
      <c r="N16" s="7" t="n">
        <v>67874</v>
      </c>
      <c r="O16" s="7" t="n">
        <v>0.000163</v>
      </c>
      <c r="P16" s="7" t="n">
        <v>2.876</v>
      </c>
      <c r="Q16" s="7" t="n">
        <v>2.8755</v>
      </c>
      <c r="R16" s="7" t="n">
        <v>286</v>
      </c>
      <c r="S16" s="7" t="n">
        <v>1</v>
      </c>
      <c r="T16" s="7" t="n">
        <v>4096</v>
      </c>
      <c r="U16" s="7" t="n">
        <v>4096</v>
      </c>
      <c r="V16" s="7" t="n">
        <v>4</v>
      </c>
      <c r="W16" s="7" t="n">
        <v>1048576</v>
      </c>
      <c r="X16" s="7" t="n">
        <v>4096</v>
      </c>
      <c r="Y16" s="7" t="n">
        <v>4096</v>
      </c>
      <c r="Z16" s="7" t="n">
        <v>3</v>
      </c>
      <c r="AA16" s="7" t="n">
        <v>128</v>
      </c>
      <c r="AB16" s="7" t="n">
        <v>4096</v>
      </c>
      <c r="AC16" s="7" t="s">
        <v>80</v>
      </c>
      <c r="AD16" s="7"/>
      <c r="AE16" s="7"/>
      <c r="AF16" s="7"/>
      <c r="AG16" s="7"/>
      <c r="AH16" s="7"/>
      <c r="AI16" s="7"/>
      <c r="AJ16" s="7"/>
      <c r="AK16" s="7" t="n">
        <v>415720791</v>
      </c>
      <c r="AL16" s="7" t="n">
        <v>415788665</v>
      </c>
    </row>
    <row r="17" customFormat="false" ht="15" hidden="false" customHeight="false" outlineLevel="0" collapsed="false">
      <c r="A17" s="7" t="s">
        <v>77</v>
      </c>
      <c r="B17" s="7" t="s">
        <v>78</v>
      </c>
      <c r="C17" s="7" t="s">
        <v>81</v>
      </c>
      <c r="D17" s="7" t="s">
        <v>81</v>
      </c>
      <c r="E17" s="7" t="n">
        <v>1</v>
      </c>
      <c r="F17" s="7" t="n">
        <v>4096</v>
      </c>
      <c r="G17" s="7" t="n">
        <v>42700000</v>
      </c>
      <c r="H17" s="7" t="n">
        <v>28</v>
      </c>
      <c r="I17" s="7" t="n">
        <v>1195600000</v>
      </c>
      <c r="J17" s="7" t="n">
        <v>130.127</v>
      </c>
      <c r="K17" s="7" t="n">
        <v>93.2298</v>
      </c>
      <c r="L17" s="7" t="n">
        <v>396405219</v>
      </c>
      <c r="M17" s="7" t="n">
        <v>396473093</v>
      </c>
      <c r="N17" s="7" t="n">
        <v>67874</v>
      </c>
      <c r="O17" s="7" t="n">
        <v>0.000171</v>
      </c>
      <c r="P17" s="7" t="n">
        <v>3.0161</v>
      </c>
      <c r="Q17" s="7" t="n">
        <v>3.0156</v>
      </c>
      <c r="R17" s="7" t="n">
        <v>286</v>
      </c>
      <c r="S17" s="7" t="n">
        <v>1</v>
      </c>
      <c r="T17" s="7" t="n">
        <v>4096</v>
      </c>
      <c r="U17" s="7" t="n">
        <v>4096</v>
      </c>
      <c r="V17" s="7" t="n">
        <v>4</v>
      </c>
      <c r="W17" s="7" t="n">
        <v>1048576</v>
      </c>
      <c r="X17" s="7" t="n">
        <v>4096</v>
      </c>
      <c r="Y17" s="7" t="n">
        <v>4096</v>
      </c>
      <c r="Z17" s="7" t="n">
        <v>3</v>
      </c>
      <c r="AA17" s="7" t="n">
        <v>128</v>
      </c>
      <c r="AB17" s="7" t="n">
        <v>4096</v>
      </c>
      <c r="AC17" s="7" t="s">
        <v>80</v>
      </c>
      <c r="AD17" s="7"/>
      <c r="AE17" s="7"/>
      <c r="AF17" s="7"/>
      <c r="AG17" s="7"/>
      <c r="AH17" s="7"/>
      <c r="AI17" s="7"/>
      <c r="AJ17" s="7"/>
      <c r="AK17" s="7" t="n">
        <v>396405219</v>
      </c>
      <c r="AL17" s="7" t="n">
        <v>396473093</v>
      </c>
    </row>
    <row r="18" customFormat="false" ht="15" hidden="false" customHeight="false" outlineLevel="0" collapsed="false">
      <c r="A18" s="7" t="s">
        <v>77</v>
      </c>
      <c r="B18" s="7" t="s">
        <v>78</v>
      </c>
      <c r="C18" s="7" t="s">
        <v>81</v>
      </c>
      <c r="D18" s="7" t="s">
        <v>81</v>
      </c>
      <c r="E18" s="7" t="n">
        <v>5</v>
      </c>
      <c r="F18" s="7" t="n">
        <v>4096</v>
      </c>
      <c r="G18" s="7" t="n">
        <v>42700000</v>
      </c>
      <c r="H18" s="7" t="n">
        <v>28</v>
      </c>
      <c r="I18" s="7" t="n">
        <v>1195600000</v>
      </c>
      <c r="J18" s="7" t="n">
        <v>131.186</v>
      </c>
      <c r="K18" s="7" t="n">
        <v>92.9201</v>
      </c>
      <c r="L18" s="7" t="n">
        <v>378222961</v>
      </c>
      <c r="M18" s="7" t="n">
        <v>378290835</v>
      </c>
      <c r="N18" s="7" t="n">
        <v>67874</v>
      </c>
      <c r="O18" s="7" t="n">
        <v>0.000179</v>
      </c>
      <c r="P18" s="7" t="n">
        <v>3.1611</v>
      </c>
      <c r="Q18" s="7" t="n">
        <v>3.1605</v>
      </c>
      <c r="R18" s="7" t="n">
        <v>286</v>
      </c>
      <c r="S18" s="7" t="n">
        <v>1</v>
      </c>
      <c r="T18" s="7" t="n">
        <v>4096</v>
      </c>
      <c r="U18" s="7" t="n">
        <v>4096</v>
      </c>
      <c r="V18" s="7" t="n">
        <v>4</v>
      </c>
      <c r="W18" s="7" t="n">
        <v>1048576</v>
      </c>
      <c r="X18" s="7" t="n">
        <v>4096</v>
      </c>
      <c r="Y18" s="7" t="n">
        <v>4096</v>
      </c>
      <c r="Z18" s="7" t="n">
        <v>3</v>
      </c>
      <c r="AA18" s="7" t="n">
        <v>128</v>
      </c>
      <c r="AB18" s="7" t="n">
        <v>4096</v>
      </c>
      <c r="AC18" s="7" t="s">
        <v>80</v>
      </c>
      <c r="AD18" s="7"/>
      <c r="AE18" s="7"/>
      <c r="AF18" s="7"/>
      <c r="AG18" s="7"/>
      <c r="AH18" s="7"/>
      <c r="AI18" s="7"/>
      <c r="AJ18" s="7"/>
      <c r="AK18" s="7" t="n">
        <v>378222961</v>
      </c>
      <c r="AL18" s="7" t="n">
        <v>378290835</v>
      </c>
    </row>
    <row r="19" customFormat="false" ht="15" hidden="false" customHeight="false" outlineLevel="0" collapsed="false">
      <c r="A19" s="7" t="s">
        <v>77</v>
      </c>
      <c r="B19" s="7" t="s">
        <v>78</v>
      </c>
      <c r="C19" s="7" t="s">
        <v>82</v>
      </c>
      <c r="D19" s="7" t="s">
        <v>82</v>
      </c>
      <c r="E19" s="7"/>
      <c r="F19" s="7" t="n">
        <v>4096</v>
      </c>
      <c r="G19" s="7" t="n">
        <v>42700000</v>
      </c>
      <c r="H19" s="7" t="n">
        <v>28</v>
      </c>
      <c r="I19" s="7" t="n">
        <v>1195600000</v>
      </c>
      <c r="J19" s="7" t="n">
        <v>128.535</v>
      </c>
      <c r="K19" s="7" t="n">
        <v>92.8939</v>
      </c>
      <c r="L19" s="7" t="n">
        <v>1195600000</v>
      </c>
      <c r="M19" s="7" t="n">
        <v>1195621236</v>
      </c>
      <c r="N19" s="7" t="n">
        <v>21236</v>
      </c>
      <c r="O19" s="7" t="n">
        <v>1.8E-005</v>
      </c>
      <c r="P19" s="7" t="n">
        <v>1</v>
      </c>
      <c r="Q19" s="7" t="n">
        <v>1</v>
      </c>
      <c r="R19" s="7" t="n">
        <v>286</v>
      </c>
      <c r="S19" s="7" t="n">
        <v>1</v>
      </c>
      <c r="T19" s="7" t="n">
        <v>4096</v>
      </c>
      <c r="U19" s="7" t="n">
        <v>4096</v>
      </c>
      <c r="V19" s="7" t="n">
        <v>4</v>
      </c>
      <c r="W19" s="7" t="n">
        <v>1048576</v>
      </c>
      <c r="X19" s="7" t="n">
        <v>4096</v>
      </c>
      <c r="Y19" s="7" t="n">
        <v>4096</v>
      </c>
      <c r="Z19" s="7" t="n">
        <v>3</v>
      </c>
      <c r="AA19" s="7" t="n">
        <v>128</v>
      </c>
      <c r="AB19" s="7" t="n">
        <v>4096</v>
      </c>
      <c r="AC19" s="7" t="s">
        <v>80</v>
      </c>
      <c r="AD19" s="7"/>
      <c r="AE19" s="7"/>
      <c r="AF19" s="7"/>
      <c r="AG19" s="7" t="n">
        <v>1195600000</v>
      </c>
      <c r="AH19" s="7" t="n">
        <v>1195621236</v>
      </c>
      <c r="AI19" s="7"/>
      <c r="AJ19" s="7"/>
      <c r="AK19" s="7"/>
      <c r="AL19" s="7"/>
    </row>
    <row r="20" customFormat="false" ht="15" hidden="false" customHeight="false" outlineLevel="0" collapsed="false">
      <c r="A20" s="7" t="s">
        <v>77</v>
      </c>
      <c r="B20" s="7" t="s">
        <v>78</v>
      </c>
      <c r="C20" s="7" t="s">
        <v>79</v>
      </c>
      <c r="D20" s="7" t="s">
        <v>79</v>
      </c>
      <c r="E20" s="7"/>
      <c r="F20" s="7" t="n">
        <v>16384</v>
      </c>
      <c r="G20" s="7" t="n">
        <v>42700000</v>
      </c>
      <c r="H20" s="7" t="n">
        <v>28</v>
      </c>
      <c r="I20" s="7" t="n">
        <v>1195600000</v>
      </c>
      <c r="J20" s="7" t="n">
        <v>133.374</v>
      </c>
      <c r="K20" s="7" t="n">
        <v>90.8952</v>
      </c>
      <c r="L20" s="7" t="n">
        <v>723744906</v>
      </c>
      <c r="M20" s="7" t="n">
        <v>723748236</v>
      </c>
      <c r="N20" s="7" t="n">
        <v>3330</v>
      </c>
      <c r="O20" s="7" t="n">
        <v>5E-006</v>
      </c>
      <c r="P20" s="7" t="n">
        <v>1.652</v>
      </c>
      <c r="Q20" s="7" t="n">
        <v>1.652</v>
      </c>
      <c r="R20" s="7" t="n">
        <v>72</v>
      </c>
      <c r="S20" s="7" t="n">
        <v>1</v>
      </c>
      <c r="T20" s="7" t="n">
        <v>16384</v>
      </c>
      <c r="U20" s="7" t="n">
        <v>4096</v>
      </c>
      <c r="V20" s="7" t="n">
        <v>4</v>
      </c>
      <c r="W20" s="7" t="n">
        <v>1048576</v>
      </c>
      <c r="X20" s="7" t="n">
        <v>16384</v>
      </c>
      <c r="Y20" s="7" t="n">
        <v>16384</v>
      </c>
      <c r="Z20" s="7" t="n">
        <v>3</v>
      </c>
      <c r="AA20" s="7" t="n">
        <v>128</v>
      </c>
      <c r="AB20" s="7" t="n">
        <v>4096</v>
      </c>
      <c r="AC20" s="7" t="s">
        <v>80</v>
      </c>
      <c r="AD20" s="7"/>
      <c r="AE20" s="7"/>
      <c r="AF20" s="7"/>
      <c r="AG20" s="7"/>
      <c r="AH20" s="7"/>
      <c r="AI20" s="7" t="n">
        <v>723744906</v>
      </c>
      <c r="AJ20" s="7" t="n">
        <v>723748236</v>
      </c>
      <c r="AK20" s="7"/>
      <c r="AL20" s="7"/>
    </row>
    <row r="21" customFormat="false" ht="15" hidden="false" customHeight="false" outlineLevel="0" collapsed="false">
      <c r="A21" s="7" t="s">
        <v>77</v>
      </c>
      <c r="B21" s="7" t="s">
        <v>78</v>
      </c>
      <c r="C21" s="7" t="s">
        <v>81</v>
      </c>
      <c r="D21" s="7" t="s">
        <v>81</v>
      </c>
      <c r="E21" s="7"/>
      <c r="F21" s="7" t="n">
        <v>16384</v>
      </c>
      <c r="G21" s="7" t="n">
        <v>42700000</v>
      </c>
      <c r="H21" s="7" t="n">
        <v>28</v>
      </c>
      <c r="I21" s="7" t="n">
        <v>1195600000</v>
      </c>
      <c r="J21" s="7" t="n">
        <v>130.474</v>
      </c>
      <c r="K21" s="7" t="n">
        <v>90.354</v>
      </c>
      <c r="L21" s="7" t="n">
        <v>651538342</v>
      </c>
      <c r="M21" s="7" t="n">
        <v>651555712</v>
      </c>
      <c r="N21" s="7" t="n">
        <v>17370</v>
      </c>
      <c r="O21" s="7" t="n">
        <v>2.7E-005</v>
      </c>
      <c r="P21" s="7" t="n">
        <v>1.835</v>
      </c>
      <c r="Q21" s="7" t="n">
        <v>1.835</v>
      </c>
      <c r="R21" s="7" t="n">
        <v>72</v>
      </c>
      <c r="S21" s="7" t="n">
        <v>1</v>
      </c>
      <c r="T21" s="7" t="n">
        <v>16384</v>
      </c>
      <c r="U21" s="7" t="n">
        <v>4096</v>
      </c>
      <c r="V21" s="7" t="n">
        <v>4</v>
      </c>
      <c r="W21" s="7" t="n">
        <v>1048576</v>
      </c>
      <c r="X21" s="7" t="n">
        <v>16384</v>
      </c>
      <c r="Y21" s="7" t="n">
        <v>16384</v>
      </c>
      <c r="Z21" s="7" t="n">
        <v>3</v>
      </c>
      <c r="AA21" s="7" t="n">
        <v>128</v>
      </c>
      <c r="AB21" s="7" t="n">
        <v>4096</v>
      </c>
      <c r="AC21" s="7" t="s">
        <v>80</v>
      </c>
      <c r="AD21" s="7"/>
      <c r="AE21" s="7"/>
      <c r="AF21" s="7"/>
      <c r="AG21" s="7"/>
      <c r="AH21" s="7"/>
      <c r="AI21" s="7"/>
      <c r="AJ21" s="7"/>
      <c r="AK21" s="7" t="n">
        <v>651538342</v>
      </c>
      <c r="AL21" s="7" t="n">
        <v>651555712</v>
      </c>
    </row>
    <row r="22" customFormat="false" ht="15" hidden="false" customHeight="false" outlineLevel="0" collapsed="false">
      <c r="A22" s="7" t="s">
        <v>77</v>
      </c>
      <c r="B22" s="7" t="s">
        <v>78</v>
      </c>
      <c r="C22" s="7" t="s">
        <v>81</v>
      </c>
      <c r="D22" s="7" t="s">
        <v>81</v>
      </c>
      <c r="E22" s="7" t="n">
        <v>0.1</v>
      </c>
      <c r="F22" s="7" t="n">
        <v>16384</v>
      </c>
      <c r="G22" s="7" t="n">
        <v>42700000</v>
      </c>
      <c r="H22" s="7" t="n">
        <v>28</v>
      </c>
      <c r="I22" s="7" t="n">
        <v>1195600000</v>
      </c>
      <c r="J22" s="7" t="n">
        <v>128.903</v>
      </c>
      <c r="K22" s="7" t="n">
        <v>92.9823</v>
      </c>
      <c r="L22" s="7" t="n">
        <v>422734809</v>
      </c>
      <c r="M22" s="7" t="n">
        <v>422752179</v>
      </c>
      <c r="N22" s="7" t="n">
        <v>17370</v>
      </c>
      <c r="O22" s="7" t="n">
        <v>4.1E-005</v>
      </c>
      <c r="P22" s="7" t="n">
        <v>2.8283</v>
      </c>
      <c r="Q22" s="7" t="n">
        <v>2.8281</v>
      </c>
      <c r="R22" s="7" t="n">
        <v>72</v>
      </c>
      <c r="S22" s="7" t="n">
        <v>1</v>
      </c>
      <c r="T22" s="7" t="n">
        <v>16384</v>
      </c>
      <c r="U22" s="7" t="n">
        <v>4096</v>
      </c>
      <c r="V22" s="7" t="n">
        <v>4</v>
      </c>
      <c r="W22" s="7" t="n">
        <v>1048576</v>
      </c>
      <c r="X22" s="7" t="n">
        <v>16384</v>
      </c>
      <c r="Y22" s="7" t="n">
        <v>16384</v>
      </c>
      <c r="Z22" s="7" t="n">
        <v>3</v>
      </c>
      <c r="AA22" s="7" t="n">
        <v>128</v>
      </c>
      <c r="AB22" s="7" t="n">
        <v>4096</v>
      </c>
      <c r="AC22" s="7" t="s">
        <v>80</v>
      </c>
      <c r="AD22" s="7"/>
      <c r="AE22" s="7"/>
      <c r="AF22" s="7"/>
      <c r="AG22" s="7"/>
      <c r="AH22" s="7"/>
      <c r="AI22" s="7"/>
      <c r="AJ22" s="7"/>
      <c r="AK22" s="7" t="n">
        <v>422734809</v>
      </c>
      <c r="AL22" s="7" t="n">
        <v>422752179</v>
      </c>
    </row>
    <row r="23" customFormat="false" ht="15" hidden="false" customHeight="false" outlineLevel="0" collapsed="false">
      <c r="A23" s="7" t="s">
        <v>77</v>
      </c>
      <c r="B23" s="7" t="s">
        <v>78</v>
      </c>
      <c r="C23" s="7" t="s">
        <v>81</v>
      </c>
      <c r="D23" s="7" t="s">
        <v>81</v>
      </c>
      <c r="E23" s="7" t="n">
        <v>1</v>
      </c>
      <c r="F23" s="7" t="n">
        <v>16384</v>
      </c>
      <c r="G23" s="7" t="n">
        <v>42700000</v>
      </c>
      <c r="H23" s="7" t="n">
        <v>28</v>
      </c>
      <c r="I23" s="7" t="n">
        <v>1195600000</v>
      </c>
      <c r="J23" s="7" t="n">
        <v>124.07</v>
      </c>
      <c r="K23" s="7" t="n">
        <v>90.1519</v>
      </c>
      <c r="L23" s="7" t="n">
        <v>402258660</v>
      </c>
      <c r="M23" s="7" t="n">
        <v>402276030</v>
      </c>
      <c r="N23" s="7" t="n">
        <v>17370</v>
      </c>
      <c r="O23" s="7" t="n">
        <v>4.3E-005</v>
      </c>
      <c r="P23" s="7" t="n">
        <v>2.9722</v>
      </c>
      <c r="Q23" s="7" t="n">
        <v>2.9721</v>
      </c>
      <c r="R23" s="7" t="n">
        <v>72</v>
      </c>
      <c r="S23" s="7" t="n">
        <v>1</v>
      </c>
      <c r="T23" s="7" t="n">
        <v>16384</v>
      </c>
      <c r="U23" s="7" t="n">
        <v>4096</v>
      </c>
      <c r="V23" s="7" t="n">
        <v>4</v>
      </c>
      <c r="W23" s="7" t="n">
        <v>1048576</v>
      </c>
      <c r="X23" s="7" t="n">
        <v>16384</v>
      </c>
      <c r="Y23" s="7" t="n">
        <v>16384</v>
      </c>
      <c r="Z23" s="7" t="n">
        <v>3</v>
      </c>
      <c r="AA23" s="7" t="n">
        <v>128</v>
      </c>
      <c r="AB23" s="7" t="n">
        <v>4096</v>
      </c>
      <c r="AC23" s="7" t="s">
        <v>80</v>
      </c>
      <c r="AD23" s="7"/>
      <c r="AE23" s="7"/>
      <c r="AF23" s="7"/>
      <c r="AG23" s="7"/>
      <c r="AH23" s="7"/>
      <c r="AI23" s="7"/>
      <c r="AJ23" s="7"/>
      <c r="AK23" s="7" t="n">
        <v>402258660</v>
      </c>
      <c r="AL23" s="7" t="n">
        <v>402276030</v>
      </c>
    </row>
    <row r="24" customFormat="false" ht="15" hidden="false" customHeight="false" outlineLevel="0" collapsed="false">
      <c r="A24" s="7" t="s">
        <v>77</v>
      </c>
      <c r="B24" s="7" t="s">
        <v>78</v>
      </c>
      <c r="C24" s="7" t="s">
        <v>81</v>
      </c>
      <c r="D24" s="7" t="s">
        <v>81</v>
      </c>
      <c r="E24" s="7" t="n">
        <v>5</v>
      </c>
      <c r="F24" s="7" t="n">
        <v>16384</v>
      </c>
      <c r="G24" s="7" t="n">
        <v>42700000</v>
      </c>
      <c r="H24" s="7" t="n">
        <v>28</v>
      </c>
      <c r="I24" s="7" t="n">
        <v>1195600000</v>
      </c>
      <c r="J24" s="7" t="n">
        <v>124.873</v>
      </c>
      <c r="K24" s="7" t="n">
        <v>88.5981</v>
      </c>
      <c r="L24" s="7" t="n">
        <v>380795246</v>
      </c>
      <c r="M24" s="7" t="n">
        <v>380812616</v>
      </c>
      <c r="N24" s="7" t="n">
        <v>17370</v>
      </c>
      <c r="O24" s="7" t="n">
        <v>4.6E-005</v>
      </c>
      <c r="P24" s="7" t="n">
        <v>3.1397</v>
      </c>
      <c r="Q24" s="7" t="n">
        <v>3.1396</v>
      </c>
      <c r="R24" s="7" t="n">
        <v>72</v>
      </c>
      <c r="S24" s="7" t="n">
        <v>1</v>
      </c>
      <c r="T24" s="7" t="n">
        <v>16384</v>
      </c>
      <c r="U24" s="7" t="n">
        <v>4096</v>
      </c>
      <c r="V24" s="7" t="n">
        <v>4</v>
      </c>
      <c r="W24" s="7" t="n">
        <v>1048576</v>
      </c>
      <c r="X24" s="7" t="n">
        <v>16384</v>
      </c>
      <c r="Y24" s="7" t="n">
        <v>16384</v>
      </c>
      <c r="Z24" s="7" t="n">
        <v>3</v>
      </c>
      <c r="AA24" s="7" t="n">
        <v>128</v>
      </c>
      <c r="AB24" s="7" t="n">
        <v>4096</v>
      </c>
      <c r="AC24" s="7" t="s">
        <v>80</v>
      </c>
      <c r="AD24" s="7"/>
      <c r="AE24" s="7"/>
      <c r="AF24" s="7"/>
      <c r="AG24" s="7"/>
      <c r="AH24" s="7"/>
      <c r="AI24" s="7"/>
      <c r="AJ24" s="7"/>
      <c r="AK24" s="7" t="n">
        <v>380795246</v>
      </c>
      <c r="AL24" s="7" t="n">
        <v>380812616</v>
      </c>
    </row>
    <row r="25" customFormat="false" ht="15" hidden="false" customHeight="false" outlineLevel="0" collapsed="false">
      <c r="A25" s="7" t="s">
        <v>77</v>
      </c>
      <c r="B25" s="7" t="s">
        <v>78</v>
      </c>
      <c r="C25" s="7" t="s">
        <v>82</v>
      </c>
      <c r="D25" s="7" t="s">
        <v>82</v>
      </c>
      <c r="E25" s="7"/>
      <c r="F25" s="7" t="n">
        <v>16384</v>
      </c>
      <c r="G25" s="7" t="n">
        <v>42700000</v>
      </c>
      <c r="H25" s="7" t="n">
        <v>28</v>
      </c>
      <c r="I25" s="7" t="n">
        <v>1195600000</v>
      </c>
      <c r="J25" s="7" t="n">
        <v>125.987</v>
      </c>
      <c r="K25" s="7" t="n">
        <v>113.633</v>
      </c>
      <c r="L25" s="7" t="n">
        <v>1195600000</v>
      </c>
      <c r="M25" s="7" t="n">
        <v>1195605876</v>
      </c>
      <c r="N25" s="7" t="n">
        <v>5876</v>
      </c>
      <c r="O25" s="7" t="n">
        <v>5E-006</v>
      </c>
      <c r="P25" s="7" t="n">
        <v>1</v>
      </c>
      <c r="Q25" s="7" t="n">
        <v>1</v>
      </c>
      <c r="R25" s="7" t="n">
        <v>72</v>
      </c>
      <c r="S25" s="7" t="n">
        <v>1</v>
      </c>
      <c r="T25" s="7" t="n">
        <v>16384</v>
      </c>
      <c r="U25" s="7" t="n">
        <v>4096</v>
      </c>
      <c r="V25" s="7" t="n">
        <v>4</v>
      </c>
      <c r="W25" s="7" t="n">
        <v>1048576</v>
      </c>
      <c r="X25" s="7" t="n">
        <v>16384</v>
      </c>
      <c r="Y25" s="7" t="n">
        <v>16384</v>
      </c>
      <c r="Z25" s="7" t="n">
        <v>3</v>
      </c>
      <c r="AA25" s="7" t="n">
        <v>128</v>
      </c>
      <c r="AB25" s="7" t="n">
        <v>4096</v>
      </c>
      <c r="AC25" s="7" t="s">
        <v>80</v>
      </c>
      <c r="AD25" s="7"/>
      <c r="AE25" s="7"/>
      <c r="AF25" s="7"/>
      <c r="AG25" s="7" t="n">
        <v>1195600000</v>
      </c>
      <c r="AH25" s="7" t="n">
        <v>1195605876</v>
      </c>
      <c r="AI25" s="7"/>
      <c r="AJ25" s="7"/>
      <c r="AK25" s="7"/>
      <c r="AL25"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38" min="2" style="0" width="13"/>
  </cols>
  <sheetData>
    <row r="1" customFormat="false" ht="15" hidden="false" customHeight="false" outlineLevel="0" collapsed="false">
      <c r="A1" s="6" t="s">
        <v>41</v>
      </c>
      <c r="B1" s="6" t="s">
        <v>42</v>
      </c>
      <c r="C1" s="6" t="s">
        <v>43</v>
      </c>
      <c r="D1" s="6" t="s">
        <v>44</v>
      </c>
      <c r="E1" s="6" t="s">
        <v>45</v>
      </c>
      <c r="F1" s="6" t="s">
        <v>46</v>
      </c>
      <c r="G1" s="6" t="s">
        <v>47</v>
      </c>
      <c r="H1" s="6" t="s">
        <v>48</v>
      </c>
      <c r="I1" s="6" t="s">
        <v>49</v>
      </c>
      <c r="J1" s="6" t="s">
        <v>50</v>
      </c>
      <c r="K1" s="6" t="s">
        <v>51</v>
      </c>
      <c r="L1" s="6" t="s">
        <v>52</v>
      </c>
      <c r="M1" s="6" t="s">
        <v>53</v>
      </c>
      <c r="N1" s="6" t="s">
        <v>54</v>
      </c>
      <c r="O1" s="6" t="s">
        <v>55</v>
      </c>
      <c r="P1" s="6" t="s">
        <v>33</v>
      </c>
      <c r="Q1" s="6" t="s">
        <v>35</v>
      </c>
      <c r="R1" s="6" t="s">
        <v>56</v>
      </c>
      <c r="S1" s="6" t="s">
        <v>57</v>
      </c>
      <c r="T1" s="6" t="s">
        <v>58</v>
      </c>
      <c r="U1" s="6" t="s">
        <v>59</v>
      </c>
      <c r="V1" s="6" t="s">
        <v>60</v>
      </c>
      <c r="W1" s="6" t="s">
        <v>61</v>
      </c>
      <c r="X1" s="6" t="s">
        <v>62</v>
      </c>
      <c r="Y1" s="6" t="s">
        <v>63</v>
      </c>
      <c r="Z1" s="6" t="s">
        <v>64</v>
      </c>
      <c r="AA1" s="6" t="s">
        <v>65</v>
      </c>
      <c r="AB1" s="6" t="s">
        <v>66</v>
      </c>
      <c r="AC1" s="6" t="s">
        <v>67</v>
      </c>
      <c r="AD1" s="6" t="s">
        <v>68</v>
      </c>
      <c r="AE1" s="6" t="s">
        <v>69</v>
      </c>
      <c r="AF1" s="6" t="s">
        <v>70</v>
      </c>
      <c r="AG1" s="6" t="s">
        <v>71</v>
      </c>
      <c r="AH1" s="6" t="s">
        <v>72</v>
      </c>
      <c r="AI1" s="6" t="s">
        <v>73</v>
      </c>
      <c r="AJ1" s="6" t="s">
        <v>74</v>
      </c>
      <c r="AK1" s="6" t="s">
        <v>75</v>
      </c>
      <c r="AL1" s="6" t="s">
        <v>76</v>
      </c>
    </row>
    <row r="2" customFormat="false" ht="15" hidden="false" customHeight="false" outlineLevel="0" collapsed="false">
      <c r="A2" s="7" t="s">
        <v>77</v>
      </c>
      <c r="B2" s="7" t="s">
        <v>83</v>
      </c>
      <c r="C2" s="7" t="s">
        <v>84</v>
      </c>
      <c r="D2" s="7" t="s">
        <v>79</v>
      </c>
      <c r="E2" s="7"/>
      <c r="F2" s="7" t="n">
        <v>256</v>
      </c>
      <c r="G2" s="7" t="n">
        <v>42700000</v>
      </c>
      <c r="H2" s="7" t="n">
        <v>28</v>
      </c>
      <c r="I2" s="7" t="n">
        <v>1195600000</v>
      </c>
      <c r="J2" s="7" t="n">
        <v>129.515</v>
      </c>
      <c r="K2" s="7" t="n">
        <v>88.0938</v>
      </c>
      <c r="L2" s="7" t="n">
        <v>725795022</v>
      </c>
      <c r="M2" s="7" t="n">
        <v>725983378</v>
      </c>
      <c r="N2" s="7" t="n">
        <v>188356</v>
      </c>
      <c r="O2" s="7" t="n">
        <v>0.000259</v>
      </c>
      <c r="P2" s="7" t="n">
        <v>1.6473</v>
      </c>
      <c r="Q2" s="7" t="n">
        <v>1.6469</v>
      </c>
      <c r="R2" s="7" t="n">
        <v>4570</v>
      </c>
      <c r="S2" s="7" t="n">
        <v>1</v>
      </c>
      <c r="T2" s="7" t="n">
        <v>256</v>
      </c>
      <c r="U2" s="7" t="n">
        <v>64</v>
      </c>
      <c r="V2" s="7" t="n">
        <v>16</v>
      </c>
      <c r="W2" s="7" t="n">
        <v>4096</v>
      </c>
      <c r="X2" s="7" t="n">
        <v>256</v>
      </c>
      <c r="Y2" s="7" t="n">
        <v>256</v>
      </c>
      <c r="Z2" s="7" t="n">
        <v>3</v>
      </c>
      <c r="AA2" s="7" t="n">
        <v>2048</v>
      </c>
      <c r="AB2" s="7" t="n">
        <v>4096</v>
      </c>
      <c r="AC2" s="7" t="s">
        <v>80</v>
      </c>
      <c r="AD2" s="7" t="n">
        <v>1</v>
      </c>
      <c r="AE2" s="7"/>
      <c r="AF2" s="7"/>
      <c r="AG2" s="7" t="n">
        <v>2526160</v>
      </c>
      <c r="AH2" s="7" t="n">
        <v>2527178</v>
      </c>
      <c r="AI2" s="7" t="n">
        <v>723268862</v>
      </c>
      <c r="AJ2" s="7" t="n">
        <v>723456200</v>
      </c>
      <c r="AK2" s="7"/>
      <c r="AL2" s="7"/>
    </row>
    <row r="3" customFormat="false" ht="15" hidden="false" customHeight="false" outlineLevel="0" collapsed="false">
      <c r="A3" s="7" t="s">
        <v>77</v>
      </c>
      <c r="B3" s="7" t="s">
        <v>83</v>
      </c>
      <c r="C3" s="7" t="s">
        <v>85</v>
      </c>
      <c r="D3" s="7" t="s">
        <v>81</v>
      </c>
      <c r="E3" s="7"/>
      <c r="F3" s="7" t="n">
        <v>256</v>
      </c>
      <c r="G3" s="7" t="n">
        <v>42700000</v>
      </c>
      <c r="H3" s="7" t="n">
        <v>28</v>
      </c>
      <c r="I3" s="7" t="n">
        <v>1195600000</v>
      </c>
      <c r="J3" s="7" t="n">
        <v>128.966</v>
      </c>
      <c r="K3" s="7" t="n">
        <v>88.8711</v>
      </c>
      <c r="L3" s="7" t="n">
        <v>643127122</v>
      </c>
      <c r="M3" s="7" t="n">
        <v>644204678</v>
      </c>
      <c r="N3" s="7" t="n">
        <v>1077556</v>
      </c>
      <c r="O3" s="7" t="n">
        <v>0.001673</v>
      </c>
      <c r="P3" s="7" t="n">
        <v>1.859</v>
      </c>
      <c r="Q3" s="7" t="n">
        <v>1.8559</v>
      </c>
      <c r="R3" s="7" t="n">
        <v>4570</v>
      </c>
      <c r="S3" s="7" t="n">
        <v>1</v>
      </c>
      <c r="T3" s="7" t="n">
        <v>256</v>
      </c>
      <c r="U3" s="7" t="n">
        <v>64</v>
      </c>
      <c r="V3" s="7" t="n">
        <v>16</v>
      </c>
      <c r="W3" s="7" t="n">
        <v>4096</v>
      </c>
      <c r="X3" s="7" t="n">
        <v>256</v>
      </c>
      <c r="Y3" s="7" t="n">
        <v>256</v>
      </c>
      <c r="Z3" s="7" t="n">
        <v>3</v>
      </c>
      <c r="AA3" s="7" t="n">
        <v>2048</v>
      </c>
      <c r="AB3" s="7" t="n">
        <v>4096</v>
      </c>
      <c r="AC3" s="7" t="s">
        <v>80</v>
      </c>
      <c r="AD3" s="7" t="n">
        <v>1</v>
      </c>
      <c r="AE3" s="7"/>
      <c r="AF3" s="7"/>
      <c r="AG3" s="7" t="n">
        <v>2526160</v>
      </c>
      <c r="AH3" s="7" t="n">
        <v>2527178</v>
      </c>
      <c r="AI3" s="7"/>
      <c r="AJ3" s="7"/>
      <c r="AK3" s="7" t="n">
        <v>640600962</v>
      </c>
      <c r="AL3" s="7" t="n">
        <v>641677500</v>
      </c>
    </row>
    <row r="4" customFormat="false" ht="15" hidden="false" customHeight="false" outlineLevel="0" collapsed="false">
      <c r="A4" s="7" t="s">
        <v>77</v>
      </c>
      <c r="B4" s="7" t="s">
        <v>83</v>
      </c>
      <c r="C4" s="7" t="s">
        <v>85</v>
      </c>
      <c r="D4" s="7" t="s">
        <v>81</v>
      </c>
      <c r="E4" s="7" t="n">
        <v>0.1</v>
      </c>
      <c r="F4" s="7" t="n">
        <v>256</v>
      </c>
      <c r="G4" s="7" t="n">
        <v>42700000</v>
      </c>
      <c r="H4" s="7" t="n">
        <v>28</v>
      </c>
      <c r="I4" s="7" t="n">
        <v>1195600000</v>
      </c>
      <c r="J4" s="7" t="n">
        <v>132.679</v>
      </c>
      <c r="K4" s="7" t="n">
        <v>89.9404</v>
      </c>
      <c r="L4" s="7" t="n">
        <v>396052713</v>
      </c>
      <c r="M4" s="7" t="n">
        <v>397130269</v>
      </c>
      <c r="N4" s="7" t="n">
        <v>1077556</v>
      </c>
      <c r="O4" s="7" t="n">
        <v>0.002713</v>
      </c>
      <c r="P4" s="7" t="n">
        <v>3.0188</v>
      </c>
      <c r="Q4" s="7" t="n">
        <v>3.0106</v>
      </c>
      <c r="R4" s="7" t="n">
        <v>4570</v>
      </c>
      <c r="S4" s="7" t="n">
        <v>1</v>
      </c>
      <c r="T4" s="7" t="n">
        <v>256</v>
      </c>
      <c r="U4" s="7" t="n">
        <v>64</v>
      </c>
      <c r="V4" s="7" t="n">
        <v>16</v>
      </c>
      <c r="W4" s="7" t="n">
        <v>4096</v>
      </c>
      <c r="X4" s="7" t="n">
        <v>256</v>
      </c>
      <c r="Y4" s="7" t="n">
        <v>256</v>
      </c>
      <c r="Z4" s="7" t="n">
        <v>3</v>
      </c>
      <c r="AA4" s="7" t="n">
        <v>2048</v>
      </c>
      <c r="AB4" s="7" t="n">
        <v>4096</v>
      </c>
      <c r="AC4" s="7" t="s">
        <v>80</v>
      </c>
      <c r="AD4" s="7" t="n">
        <v>1</v>
      </c>
      <c r="AE4" s="7"/>
      <c r="AF4" s="7"/>
      <c r="AG4" s="7" t="n">
        <v>2526160</v>
      </c>
      <c r="AH4" s="7" t="n">
        <v>2527178</v>
      </c>
      <c r="AI4" s="7"/>
      <c r="AJ4" s="7"/>
      <c r="AK4" s="7" t="n">
        <v>393526553</v>
      </c>
      <c r="AL4" s="7" t="n">
        <v>394603091</v>
      </c>
    </row>
    <row r="5" customFormat="false" ht="15" hidden="false" customHeight="false" outlineLevel="0" collapsed="false">
      <c r="A5" s="7" t="s">
        <v>77</v>
      </c>
      <c r="B5" s="7" t="s">
        <v>83</v>
      </c>
      <c r="C5" s="7" t="s">
        <v>85</v>
      </c>
      <c r="D5" s="7" t="s">
        <v>81</v>
      </c>
      <c r="E5" s="7" t="n">
        <v>1</v>
      </c>
      <c r="F5" s="7" t="n">
        <v>256</v>
      </c>
      <c r="G5" s="7" t="n">
        <v>42700000</v>
      </c>
      <c r="H5" s="7" t="n">
        <v>28</v>
      </c>
      <c r="I5" s="7" t="n">
        <v>1195600000</v>
      </c>
      <c r="J5" s="7" t="n">
        <v>132.177</v>
      </c>
      <c r="K5" s="7" t="n">
        <v>87.4643</v>
      </c>
      <c r="L5" s="7" t="n">
        <v>375426954</v>
      </c>
      <c r="M5" s="7" t="n">
        <v>376504510</v>
      </c>
      <c r="N5" s="7" t="n">
        <v>1077556</v>
      </c>
      <c r="O5" s="7" t="n">
        <v>0.002862</v>
      </c>
      <c r="P5" s="7" t="n">
        <v>3.1846</v>
      </c>
      <c r="Q5" s="7" t="n">
        <v>3.1755</v>
      </c>
      <c r="R5" s="7" t="n">
        <v>4570</v>
      </c>
      <c r="S5" s="7" t="n">
        <v>1</v>
      </c>
      <c r="T5" s="7" t="n">
        <v>256</v>
      </c>
      <c r="U5" s="7" t="n">
        <v>64</v>
      </c>
      <c r="V5" s="7" t="n">
        <v>16</v>
      </c>
      <c r="W5" s="7" t="n">
        <v>4096</v>
      </c>
      <c r="X5" s="7" t="n">
        <v>256</v>
      </c>
      <c r="Y5" s="7" t="n">
        <v>256</v>
      </c>
      <c r="Z5" s="7" t="n">
        <v>3</v>
      </c>
      <c r="AA5" s="7" t="n">
        <v>2048</v>
      </c>
      <c r="AB5" s="7" t="n">
        <v>4096</v>
      </c>
      <c r="AC5" s="7" t="s">
        <v>80</v>
      </c>
      <c r="AD5" s="7" t="n">
        <v>1</v>
      </c>
      <c r="AE5" s="7"/>
      <c r="AF5" s="7"/>
      <c r="AG5" s="7" t="n">
        <v>2526160</v>
      </c>
      <c r="AH5" s="7" t="n">
        <v>2527178</v>
      </c>
      <c r="AI5" s="7"/>
      <c r="AJ5" s="7"/>
      <c r="AK5" s="7" t="n">
        <v>372900794</v>
      </c>
      <c r="AL5" s="7" t="n">
        <v>373977332</v>
      </c>
    </row>
    <row r="6" customFormat="false" ht="15" hidden="false" customHeight="false" outlineLevel="0" collapsed="false">
      <c r="A6" s="7" t="s">
        <v>77</v>
      </c>
      <c r="B6" s="7" t="s">
        <v>83</v>
      </c>
      <c r="C6" s="7" t="s">
        <v>85</v>
      </c>
      <c r="D6" s="7" t="s">
        <v>81</v>
      </c>
      <c r="E6" s="7" t="n">
        <v>5</v>
      </c>
      <c r="F6" s="7" t="n">
        <v>256</v>
      </c>
      <c r="G6" s="7" t="n">
        <v>42700000</v>
      </c>
      <c r="H6" s="7" t="n">
        <v>28</v>
      </c>
      <c r="I6" s="7" t="n">
        <v>1195600000</v>
      </c>
      <c r="J6" s="7" t="n">
        <v>127.816</v>
      </c>
      <c r="K6" s="7" t="n">
        <v>85.8785</v>
      </c>
      <c r="L6" s="7" t="n">
        <v>362598723</v>
      </c>
      <c r="M6" s="7" t="n">
        <v>363676279</v>
      </c>
      <c r="N6" s="7" t="n">
        <v>1077556</v>
      </c>
      <c r="O6" s="7" t="n">
        <v>0.002963</v>
      </c>
      <c r="P6" s="7" t="n">
        <v>3.2973</v>
      </c>
      <c r="Q6" s="7" t="n">
        <v>3.2875</v>
      </c>
      <c r="R6" s="7" t="n">
        <v>4570</v>
      </c>
      <c r="S6" s="7" t="n">
        <v>1</v>
      </c>
      <c r="T6" s="7" t="n">
        <v>256</v>
      </c>
      <c r="U6" s="7" t="n">
        <v>64</v>
      </c>
      <c r="V6" s="7" t="n">
        <v>16</v>
      </c>
      <c r="W6" s="7" t="n">
        <v>4096</v>
      </c>
      <c r="X6" s="7" t="n">
        <v>256</v>
      </c>
      <c r="Y6" s="7" t="n">
        <v>256</v>
      </c>
      <c r="Z6" s="7" t="n">
        <v>3</v>
      </c>
      <c r="AA6" s="7" t="n">
        <v>2048</v>
      </c>
      <c r="AB6" s="7" t="n">
        <v>4096</v>
      </c>
      <c r="AC6" s="7" t="s">
        <v>80</v>
      </c>
      <c r="AD6" s="7" t="n">
        <v>1</v>
      </c>
      <c r="AE6" s="7"/>
      <c r="AF6" s="7"/>
      <c r="AG6" s="7" t="n">
        <v>2526160</v>
      </c>
      <c r="AH6" s="7" t="n">
        <v>2527178</v>
      </c>
      <c r="AI6" s="7"/>
      <c r="AJ6" s="7"/>
      <c r="AK6" s="7" t="n">
        <v>360072563</v>
      </c>
      <c r="AL6" s="7" t="n">
        <v>361149101</v>
      </c>
    </row>
    <row r="7" customFormat="false" ht="15" hidden="false" customHeight="false" outlineLevel="0" collapsed="false">
      <c r="A7" s="7" t="s">
        <v>77</v>
      </c>
      <c r="B7" s="7" t="s">
        <v>83</v>
      </c>
      <c r="C7" s="7" t="s">
        <v>84</v>
      </c>
      <c r="D7" s="7" t="s">
        <v>79</v>
      </c>
      <c r="E7" s="7"/>
      <c r="F7" s="7" t="n">
        <v>1024</v>
      </c>
      <c r="G7" s="7" t="n">
        <v>42700000</v>
      </c>
      <c r="H7" s="7" t="n">
        <v>28</v>
      </c>
      <c r="I7" s="7" t="n">
        <v>1195600000</v>
      </c>
      <c r="J7" s="7" t="n">
        <v>129.685</v>
      </c>
      <c r="K7" s="7" t="n">
        <v>84.4911</v>
      </c>
      <c r="L7" s="7" t="n">
        <v>724881093</v>
      </c>
      <c r="M7" s="7" t="n">
        <v>724928749</v>
      </c>
      <c r="N7" s="7" t="n">
        <v>47656</v>
      </c>
      <c r="O7" s="7" t="n">
        <v>6.6E-005</v>
      </c>
      <c r="P7" s="7" t="n">
        <v>1.6494</v>
      </c>
      <c r="Q7" s="7" t="n">
        <v>1.6493</v>
      </c>
      <c r="R7" s="7" t="n">
        <v>1143</v>
      </c>
      <c r="S7" s="7" t="n">
        <v>1</v>
      </c>
      <c r="T7" s="7" t="n">
        <v>1024</v>
      </c>
      <c r="U7" s="7" t="n">
        <v>64</v>
      </c>
      <c r="V7" s="7" t="n">
        <v>16</v>
      </c>
      <c r="W7" s="7" t="n">
        <v>4096</v>
      </c>
      <c r="X7" s="7" t="n">
        <v>1024</v>
      </c>
      <c r="Y7" s="7" t="n">
        <v>1024</v>
      </c>
      <c r="Z7" s="7" t="n">
        <v>3</v>
      </c>
      <c r="AA7" s="7" t="n">
        <v>2048</v>
      </c>
      <c r="AB7" s="7" t="n">
        <v>4096</v>
      </c>
      <c r="AC7" s="7" t="s">
        <v>80</v>
      </c>
      <c r="AD7" s="7" t="n">
        <v>1</v>
      </c>
      <c r="AE7" s="7"/>
      <c r="AF7" s="7"/>
      <c r="AG7" s="7" t="n">
        <v>2526160</v>
      </c>
      <c r="AH7" s="7" t="n">
        <v>2526698</v>
      </c>
      <c r="AI7" s="7" t="n">
        <v>722354933</v>
      </c>
      <c r="AJ7" s="7" t="n">
        <v>722402051</v>
      </c>
      <c r="AK7" s="7"/>
      <c r="AL7" s="7"/>
    </row>
    <row r="8" customFormat="false" ht="15" hidden="false" customHeight="false" outlineLevel="0" collapsed="false">
      <c r="A8" s="7" t="s">
        <v>77</v>
      </c>
      <c r="B8" s="7" t="s">
        <v>83</v>
      </c>
      <c r="C8" s="7" t="s">
        <v>85</v>
      </c>
      <c r="D8" s="7" t="s">
        <v>81</v>
      </c>
      <c r="E8" s="7"/>
      <c r="F8" s="7" t="n">
        <v>1024</v>
      </c>
      <c r="G8" s="7" t="n">
        <v>42700000</v>
      </c>
      <c r="H8" s="7" t="n">
        <v>28</v>
      </c>
      <c r="I8" s="7" t="n">
        <v>1195600000</v>
      </c>
      <c r="J8" s="7" t="n">
        <v>127.873</v>
      </c>
      <c r="K8" s="7" t="n">
        <v>85.3306</v>
      </c>
      <c r="L8" s="7" t="n">
        <v>640970521</v>
      </c>
      <c r="M8" s="7" t="n">
        <v>641240477</v>
      </c>
      <c r="N8" s="7" t="n">
        <v>269956</v>
      </c>
      <c r="O8" s="7" t="n">
        <v>0.000421</v>
      </c>
      <c r="P8" s="7" t="n">
        <v>1.8653</v>
      </c>
      <c r="Q8" s="7" t="n">
        <v>1.8645</v>
      </c>
      <c r="R8" s="7" t="n">
        <v>1143</v>
      </c>
      <c r="S8" s="7" t="n">
        <v>1</v>
      </c>
      <c r="T8" s="7" t="n">
        <v>1024</v>
      </c>
      <c r="U8" s="7" t="n">
        <v>64</v>
      </c>
      <c r="V8" s="7" t="n">
        <v>16</v>
      </c>
      <c r="W8" s="7" t="n">
        <v>4096</v>
      </c>
      <c r="X8" s="7" t="n">
        <v>1024</v>
      </c>
      <c r="Y8" s="7" t="n">
        <v>1024</v>
      </c>
      <c r="Z8" s="7" t="n">
        <v>3</v>
      </c>
      <c r="AA8" s="7" t="n">
        <v>2048</v>
      </c>
      <c r="AB8" s="7" t="n">
        <v>4096</v>
      </c>
      <c r="AC8" s="7" t="s">
        <v>80</v>
      </c>
      <c r="AD8" s="7" t="n">
        <v>1</v>
      </c>
      <c r="AE8" s="7"/>
      <c r="AF8" s="7"/>
      <c r="AG8" s="7" t="n">
        <v>2526160</v>
      </c>
      <c r="AH8" s="7" t="n">
        <v>2526698</v>
      </c>
      <c r="AI8" s="7"/>
      <c r="AJ8" s="7"/>
      <c r="AK8" s="7" t="n">
        <v>638444361</v>
      </c>
      <c r="AL8" s="7" t="n">
        <v>638713779</v>
      </c>
    </row>
    <row r="9" customFormat="false" ht="15" hidden="false" customHeight="false" outlineLevel="0" collapsed="false">
      <c r="A9" s="7" t="s">
        <v>77</v>
      </c>
      <c r="B9" s="7" t="s">
        <v>83</v>
      </c>
      <c r="C9" s="7" t="s">
        <v>85</v>
      </c>
      <c r="D9" s="7" t="s">
        <v>81</v>
      </c>
      <c r="E9" s="7" t="n">
        <v>0.1</v>
      </c>
      <c r="F9" s="7" t="n">
        <v>1024</v>
      </c>
      <c r="G9" s="7" t="n">
        <v>42700000</v>
      </c>
      <c r="H9" s="7" t="n">
        <v>28</v>
      </c>
      <c r="I9" s="7" t="n">
        <v>1195600000</v>
      </c>
      <c r="J9" s="7" t="n">
        <v>127.29</v>
      </c>
      <c r="K9" s="7" t="n">
        <v>85.748</v>
      </c>
      <c r="L9" s="7" t="n">
        <v>406985912</v>
      </c>
      <c r="M9" s="7" t="n">
        <v>407255868</v>
      </c>
      <c r="N9" s="7" t="n">
        <v>269956</v>
      </c>
      <c r="O9" s="7" t="n">
        <v>0.000663</v>
      </c>
      <c r="P9" s="7" t="n">
        <v>2.9377</v>
      </c>
      <c r="Q9" s="7" t="n">
        <v>2.9357</v>
      </c>
      <c r="R9" s="7" t="n">
        <v>1143</v>
      </c>
      <c r="S9" s="7" t="n">
        <v>1</v>
      </c>
      <c r="T9" s="7" t="n">
        <v>1024</v>
      </c>
      <c r="U9" s="7" t="n">
        <v>64</v>
      </c>
      <c r="V9" s="7" t="n">
        <v>16</v>
      </c>
      <c r="W9" s="7" t="n">
        <v>4096</v>
      </c>
      <c r="X9" s="7" t="n">
        <v>1024</v>
      </c>
      <c r="Y9" s="7" t="n">
        <v>1024</v>
      </c>
      <c r="Z9" s="7" t="n">
        <v>3</v>
      </c>
      <c r="AA9" s="7" t="n">
        <v>2048</v>
      </c>
      <c r="AB9" s="7" t="n">
        <v>4096</v>
      </c>
      <c r="AC9" s="7" t="s">
        <v>80</v>
      </c>
      <c r="AD9" s="7" t="n">
        <v>1</v>
      </c>
      <c r="AE9" s="7"/>
      <c r="AF9" s="7"/>
      <c r="AG9" s="7" t="n">
        <v>2526160</v>
      </c>
      <c r="AH9" s="7" t="n">
        <v>2526698</v>
      </c>
      <c r="AI9" s="7"/>
      <c r="AJ9" s="7"/>
      <c r="AK9" s="7" t="n">
        <v>404459752</v>
      </c>
      <c r="AL9" s="7" t="n">
        <v>404729170</v>
      </c>
    </row>
    <row r="10" customFormat="false" ht="15" hidden="false" customHeight="false" outlineLevel="0" collapsed="false">
      <c r="A10" s="7" t="s">
        <v>77</v>
      </c>
      <c r="B10" s="7" t="s">
        <v>83</v>
      </c>
      <c r="C10" s="7" t="s">
        <v>85</v>
      </c>
      <c r="D10" s="7" t="s">
        <v>81</v>
      </c>
      <c r="E10" s="7" t="n">
        <v>1</v>
      </c>
      <c r="F10" s="7" t="n">
        <v>1024</v>
      </c>
      <c r="G10" s="7" t="n">
        <v>42700000</v>
      </c>
      <c r="H10" s="7" t="n">
        <v>28</v>
      </c>
      <c r="I10" s="7" t="n">
        <v>1195600000</v>
      </c>
      <c r="J10" s="7" t="n">
        <v>125.771</v>
      </c>
      <c r="K10" s="7" t="n">
        <v>84.8461</v>
      </c>
      <c r="L10" s="7" t="n">
        <v>386990332</v>
      </c>
      <c r="M10" s="7" t="n">
        <v>387260288</v>
      </c>
      <c r="N10" s="7" t="n">
        <v>269956</v>
      </c>
      <c r="O10" s="7" t="n">
        <v>0.000697</v>
      </c>
      <c r="P10" s="7" t="n">
        <v>3.0895</v>
      </c>
      <c r="Q10" s="7" t="n">
        <v>3.0873</v>
      </c>
      <c r="R10" s="7" t="n">
        <v>1143</v>
      </c>
      <c r="S10" s="7" t="n">
        <v>1</v>
      </c>
      <c r="T10" s="7" t="n">
        <v>1024</v>
      </c>
      <c r="U10" s="7" t="n">
        <v>64</v>
      </c>
      <c r="V10" s="7" t="n">
        <v>16</v>
      </c>
      <c r="W10" s="7" t="n">
        <v>4096</v>
      </c>
      <c r="X10" s="7" t="n">
        <v>1024</v>
      </c>
      <c r="Y10" s="7" t="n">
        <v>1024</v>
      </c>
      <c r="Z10" s="7" t="n">
        <v>3</v>
      </c>
      <c r="AA10" s="7" t="n">
        <v>2048</v>
      </c>
      <c r="AB10" s="7" t="n">
        <v>4096</v>
      </c>
      <c r="AC10" s="7" t="s">
        <v>80</v>
      </c>
      <c r="AD10" s="7" t="n">
        <v>1</v>
      </c>
      <c r="AE10" s="7"/>
      <c r="AF10" s="7"/>
      <c r="AG10" s="7" t="n">
        <v>2526160</v>
      </c>
      <c r="AH10" s="7" t="n">
        <v>2526698</v>
      </c>
      <c r="AI10" s="7"/>
      <c r="AJ10" s="7"/>
      <c r="AK10" s="7" t="n">
        <v>384464172</v>
      </c>
      <c r="AL10" s="7" t="n">
        <v>384733590</v>
      </c>
    </row>
    <row r="11" customFormat="false" ht="15" hidden="false" customHeight="false" outlineLevel="0" collapsed="false">
      <c r="A11" s="7" t="s">
        <v>77</v>
      </c>
      <c r="B11" s="7" t="s">
        <v>83</v>
      </c>
      <c r="C11" s="7" t="s">
        <v>85</v>
      </c>
      <c r="D11" s="7" t="s">
        <v>81</v>
      </c>
      <c r="E11" s="7" t="n">
        <v>5</v>
      </c>
      <c r="F11" s="7" t="n">
        <v>1024</v>
      </c>
      <c r="G11" s="7" t="n">
        <v>42700000</v>
      </c>
      <c r="H11" s="7" t="n">
        <v>28</v>
      </c>
      <c r="I11" s="7" t="n">
        <v>1195600000</v>
      </c>
      <c r="J11" s="7" t="n">
        <v>126.538</v>
      </c>
      <c r="K11" s="7" t="n">
        <v>86.7</v>
      </c>
      <c r="L11" s="7" t="n">
        <v>371882724</v>
      </c>
      <c r="M11" s="7" t="n">
        <v>372152680</v>
      </c>
      <c r="N11" s="7" t="n">
        <v>269956</v>
      </c>
      <c r="O11" s="7" t="n">
        <v>0.000725</v>
      </c>
      <c r="P11" s="7" t="n">
        <v>3.215</v>
      </c>
      <c r="Q11" s="7" t="n">
        <v>3.2127</v>
      </c>
      <c r="R11" s="7" t="n">
        <v>1143</v>
      </c>
      <c r="S11" s="7" t="n">
        <v>1</v>
      </c>
      <c r="T11" s="7" t="n">
        <v>1024</v>
      </c>
      <c r="U11" s="7" t="n">
        <v>64</v>
      </c>
      <c r="V11" s="7" t="n">
        <v>16</v>
      </c>
      <c r="W11" s="7" t="n">
        <v>4096</v>
      </c>
      <c r="X11" s="7" t="n">
        <v>1024</v>
      </c>
      <c r="Y11" s="7" t="n">
        <v>1024</v>
      </c>
      <c r="Z11" s="7" t="n">
        <v>3</v>
      </c>
      <c r="AA11" s="7" t="n">
        <v>2048</v>
      </c>
      <c r="AB11" s="7" t="n">
        <v>4096</v>
      </c>
      <c r="AC11" s="7" t="s">
        <v>80</v>
      </c>
      <c r="AD11" s="7" t="n">
        <v>1</v>
      </c>
      <c r="AE11" s="7"/>
      <c r="AF11" s="7"/>
      <c r="AG11" s="7" t="n">
        <v>2526160</v>
      </c>
      <c r="AH11" s="7" t="n">
        <v>2526698</v>
      </c>
      <c r="AI11" s="7"/>
      <c r="AJ11" s="7"/>
      <c r="AK11" s="7" t="n">
        <v>369356564</v>
      </c>
      <c r="AL11" s="7" t="n">
        <v>369625982</v>
      </c>
    </row>
    <row r="12" customFormat="false" ht="15" hidden="false" customHeight="false" outlineLevel="0" collapsed="false">
      <c r="A12" s="7" t="s">
        <v>77</v>
      </c>
      <c r="B12" s="7" t="s">
        <v>83</v>
      </c>
      <c r="C12" s="7" t="s">
        <v>84</v>
      </c>
      <c r="D12" s="7" t="s">
        <v>79</v>
      </c>
      <c r="E12" s="7"/>
      <c r="F12" s="7" t="n">
        <v>4096</v>
      </c>
      <c r="G12" s="7" t="n">
        <v>42700000</v>
      </c>
      <c r="H12" s="7" t="n">
        <v>28</v>
      </c>
      <c r="I12" s="7" t="n">
        <v>1195600000</v>
      </c>
      <c r="J12" s="7" t="n">
        <v>131.466</v>
      </c>
      <c r="K12" s="7" t="n">
        <v>86.88</v>
      </c>
      <c r="L12" s="7" t="n">
        <v>724779693</v>
      </c>
      <c r="M12" s="7" t="n">
        <v>724799185</v>
      </c>
      <c r="N12" s="7" t="n">
        <v>19492</v>
      </c>
      <c r="O12" s="7" t="n">
        <v>2.7E-005</v>
      </c>
      <c r="P12" s="7" t="n">
        <v>1.6496</v>
      </c>
      <c r="Q12" s="7" t="n">
        <v>1.6496</v>
      </c>
      <c r="R12" s="7" t="n">
        <v>457</v>
      </c>
      <c r="S12" s="7" t="n">
        <v>1</v>
      </c>
      <c r="T12" s="7" t="n">
        <v>4096</v>
      </c>
      <c r="U12" s="7" t="n">
        <v>64</v>
      </c>
      <c r="V12" s="7" t="n">
        <v>16</v>
      </c>
      <c r="W12" s="7" t="n">
        <v>4096</v>
      </c>
      <c r="X12" s="7" t="n">
        <v>4096</v>
      </c>
      <c r="Y12" s="7" t="n">
        <v>4096</v>
      </c>
      <c r="Z12" s="7" t="n">
        <v>3</v>
      </c>
      <c r="AA12" s="7" t="n">
        <v>2048</v>
      </c>
      <c r="AB12" s="7" t="n">
        <v>4096</v>
      </c>
      <c r="AC12" s="7" t="s">
        <v>80</v>
      </c>
      <c r="AD12" s="7" t="n">
        <v>1</v>
      </c>
      <c r="AE12" s="7"/>
      <c r="AF12" s="7"/>
      <c r="AG12" s="7" t="n">
        <v>2526160</v>
      </c>
      <c r="AH12" s="7" t="n">
        <v>2526578</v>
      </c>
      <c r="AI12" s="7" t="n">
        <v>722253533</v>
      </c>
      <c r="AJ12" s="7" t="n">
        <v>722272607</v>
      </c>
      <c r="AK12" s="7"/>
      <c r="AL12" s="7"/>
    </row>
    <row r="13" customFormat="false" ht="15" hidden="false" customHeight="false" outlineLevel="0" collapsed="false">
      <c r="A13" s="7" t="s">
        <v>77</v>
      </c>
      <c r="B13" s="7" t="s">
        <v>83</v>
      </c>
      <c r="C13" s="7" t="s">
        <v>85</v>
      </c>
      <c r="D13" s="7" t="s">
        <v>81</v>
      </c>
      <c r="E13" s="7"/>
      <c r="F13" s="7" t="n">
        <v>4096</v>
      </c>
      <c r="G13" s="7" t="n">
        <v>42700000</v>
      </c>
      <c r="H13" s="7" t="n">
        <v>28</v>
      </c>
      <c r="I13" s="7" t="n">
        <v>1195600000</v>
      </c>
      <c r="J13" s="7" t="n">
        <v>129.174</v>
      </c>
      <c r="K13" s="7" t="n">
        <v>87.3531</v>
      </c>
      <c r="L13" s="7" t="n">
        <v>645940219</v>
      </c>
      <c r="M13" s="7" t="n">
        <v>646048631</v>
      </c>
      <c r="N13" s="7" t="n">
        <v>108412</v>
      </c>
      <c r="O13" s="7" t="n">
        <v>0.000168</v>
      </c>
      <c r="P13" s="7" t="n">
        <v>1.8509</v>
      </c>
      <c r="Q13" s="7" t="n">
        <v>1.8506</v>
      </c>
      <c r="R13" s="7" t="n">
        <v>457</v>
      </c>
      <c r="S13" s="7" t="n">
        <v>1</v>
      </c>
      <c r="T13" s="7" t="n">
        <v>4096</v>
      </c>
      <c r="U13" s="7" t="n">
        <v>64</v>
      </c>
      <c r="V13" s="7" t="n">
        <v>16</v>
      </c>
      <c r="W13" s="7" t="n">
        <v>4096</v>
      </c>
      <c r="X13" s="7" t="n">
        <v>4096</v>
      </c>
      <c r="Y13" s="7" t="n">
        <v>4096</v>
      </c>
      <c r="Z13" s="7" t="n">
        <v>3</v>
      </c>
      <c r="AA13" s="7" t="n">
        <v>2048</v>
      </c>
      <c r="AB13" s="7" t="n">
        <v>4096</v>
      </c>
      <c r="AC13" s="7" t="s">
        <v>80</v>
      </c>
      <c r="AD13" s="7" t="n">
        <v>1</v>
      </c>
      <c r="AE13" s="7"/>
      <c r="AF13" s="7"/>
      <c r="AG13" s="7" t="n">
        <v>2526160</v>
      </c>
      <c r="AH13" s="7" t="n">
        <v>2526578</v>
      </c>
      <c r="AI13" s="7"/>
      <c r="AJ13" s="7"/>
      <c r="AK13" s="7" t="n">
        <v>643414059</v>
      </c>
      <c r="AL13" s="7" t="n">
        <v>643522053</v>
      </c>
    </row>
    <row r="14" customFormat="false" ht="15" hidden="false" customHeight="false" outlineLevel="0" collapsed="false">
      <c r="A14" s="7" t="s">
        <v>77</v>
      </c>
      <c r="B14" s="7" t="s">
        <v>83</v>
      </c>
      <c r="C14" s="7" t="s">
        <v>85</v>
      </c>
      <c r="D14" s="7" t="s">
        <v>81</v>
      </c>
      <c r="E14" s="7" t="n">
        <v>0.1</v>
      </c>
      <c r="F14" s="7" t="n">
        <v>4096</v>
      </c>
      <c r="G14" s="7" t="n">
        <v>42700000</v>
      </c>
      <c r="H14" s="7" t="n">
        <v>28</v>
      </c>
      <c r="I14" s="7" t="n">
        <v>1195600000</v>
      </c>
      <c r="J14" s="7" t="n">
        <v>127.933</v>
      </c>
      <c r="K14" s="7" t="n">
        <v>88.0187</v>
      </c>
      <c r="L14" s="7" t="n">
        <v>415297579</v>
      </c>
      <c r="M14" s="7" t="n">
        <v>415405991</v>
      </c>
      <c r="N14" s="7" t="n">
        <v>108412</v>
      </c>
      <c r="O14" s="7" t="n">
        <v>0.000261</v>
      </c>
      <c r="P14" s="7" t="n">
        <v>2.8789</v>
      </c>
      <c r="Q14" s="7" t="n">
        <v>2.8781</v>
      </c>
      <c r="R14" s="7" t="n">
        <v>457</v>
      </c>
      <c r="S14" s="7" t="n">
        <v>1</v>
      </c>
      <c r="T14" s="7" t="n">
        <v>4096</v>
      </c>
      <c r="U14" s="7" t="n">
        <v>64</v>
      </c>
      <c r="V14" s="7" t="n">
        <v>16</v>
      </c>
      <c r="W14" s="7" t="n">
        <v>4096</v>
      </c>
      <c r="X14" s="7" t="n">
        <v>4096</v>
      </c>
      <c r="Y14" s="7" t="n">
        <v>4096</v>
      </c>
      <c r="Z14" s="7" t="n">
        <v>3</v>
      </c>
      <c r="AA14" s="7" t="n">
        <v>2048</v>
      </c>
      <c r="AB14" s="7" t="n">
        <v>4096</v>
      </c>
      <c r="AC14" s="7" t="s">
        <v>80</v>
      </c>
      <c r="AD14" s="7" t="n">
        <v>1</v>
      </c>
      <c r="AE14" s="7"/>
      <c r="AF14" s="7"/>
      <c r="AG14" s="7" t="n">
        <v>2526160</v>
      </c>
      <c r="AH14" s="7" t="n">
        <v>2526578</v>
      </c>
      <c r="AI14" s="7"/>
      <c r="AJ14" s="7"/>
      <c r="AK14" s="7" t="n">
        <v>412771419</v>
      </c>
      <c r="AL14" s="7" t="n">
        <v>412879413</v>
      </c>
    </row>
    <row r="15" customFormat="false" ht="15" hidden="false" customHeight="false" outlineLevel="0" collapsed="false">
      <c r="A15" s="7" t="s">
        <v>77</v>
      </c>
      <c r="B15" s="7" t="s">
        <v>83</v>
      </c>
      <c r="C15" s="7" t="s">
        <v>85</v>
      </c>
      <c r="D15" s="7" t="s">
        <v>81</v>
      </c>
      <c r="E15" s="7" t="n">
        <v>1</v>
      </c>
      <c r="F15" s="7" t="n">
        <v>4096</v>
      </c>
      <c r="G15" s="7" t="n">
        <v>42700000</v>
      </c>
      <c r="H15" s="7" t="n">
        <v>28</v>
      </c>
      <c r="I15" s="7" t="n">
        <v>1195600000</v>
      </c>
      <c r="J15" s="7" t="n">
        <v>127.973</v>
      </c>
      <c r="K15" s="7" t="n">
        <v>88.0725</v>
      </c>
      <c r="L15" s="7" t="n">
        <v>395938822</v>
      </c>
      <c r="M15" s="7" t="n">
        <v>396047234</v>
      </c>
      <c r="N15" s="7" t="n">
        <v>108412</v>
      </c>
      <c r="O15" s="7" t="n">
        <v>0.000274</v>
      </c>
      <c r="P15" s="7" t="n">
        <v>3.0197</v>
      </c>
      <c r="Q15" s="7" t="n">
        <v>3.0188</v>
      </c>
      <c r="R15" s="7" t="n">
        <v>457</v>
      </c>
      <c r="S15" s="7" t="n">
        <v>1</v>
      </c>
      <c r="T15" s="7" t="n">
        <v>4096</v>
      </c>
      <c r="U15" s="7" t="n">
        <v>64</v>
      </c>
      <c r="V15" s="7" t="n">
        <v>16</v>
      </c>
      <c r="W15" s="7" t="n">
        <v>4096</v>
      </c>
      <c r="X15" s="7" t="n">
        <v>4096</v>
      </c>
      <c r="Y15" s="7" t="n">
        <v>4096</v>
      </c>
      <c r="Z15" s="7" t="n">
        <v>3</v>
      </c>
      <c r="AA15" s="7" t="n">
        <v>2048</v>
      </c>
      <c r="AB15" s="7" t="n">
        <v>4096</v>
      </c>
      <c r="AC15" s="7" t="s">
        <v>80</v>
      </c>
      <c r="AD15" s="7" t="n">
        <v>1</v>
      </c>
      <c r="AE15" s="7"/>
      <c r="AF15" s="7"/>
      <c r="AG15" s="7" t="n">
        <v>2526160</v>
      </c>
      <c r="AH15" s="7" t="n">
        <v>2526578</v>
      </c>
      <c r="AI15" s="7"/>
      <c r="AJ15" s="7"/>
      <c r="AK15" s="7" t="n">
        <v>393412662</v>
      </c>
      <c r="AL15" s="7" t="n">
        <v>393520656</v>
      </c>
    </row>
    <row r="16" customFormat="false" ht="15" hidden="false" customHeight="false" outlineLevel="0" collapsed="false">
      <c r="A16" s="7" t="s">
        <v>77</v>
      </c>
      <c r="B16" s="7" t="s">
        <v>83</v>
      </c>
      <c r="C16" s="7" t="s">
        <v>85</v>
      </c>
      <c r="D16" s="7" t="s">
        <v>81</v>
      </c>
      <c r="E16" s="7" t="n">
        <v>5</v>
      </c>
      <c r="F16" s="7" t="n">
        <v>4096</v>
      </c>
      <c r="G16" s="7" t="n">
        <v>42700000</v>
      </c>
      <c r="H16" s="7" t="n">
        <v>28</v>
      </c>
      <c r="I16" s="7" t="n">
        <v>1195600000</v>
      </c>
      <c r="J16" s="7" t="n">
        <v>127.441</v>
      </c>
      <c r="K16" s="7" t="n">
        <v>87.7365</v>
      </c>
      <c r="L16" s="7" t="n">
        <v>378271929</v>
      </c>
      <c r="M16" s="7" t="n">
        <v>378380341</v>
      </c>
      <c r="N16" s="7" t="n">
        <v>108412</v>
      </c>
      <c r="O16" s="7" t="n">
        <v>0.000287</v>
      </c>
      <c r="P16" s="7" t="n">
        <v>3.1607</v>
      </c>
      <c r="Q16" s="7" t="n">
        <v>3.1598</v>
      </c>
      <c r="R16" s="7" t="n">
        <v>457</v>
      </c>
      <c r="S16" s="7" t="n">
        <v>1</v>
      </c>
      <c r="T16" s="7" t="n">
        <v>4096</v>
      </c>
      <c r="U16" s="7" t="n">
        <v>64</v>
      </c>
      <c r="V16" s="7" t="n">
        <v>16</v>
      </c>
      <c r="W16" s="7" t="n">
        <v>4096</v>
      </c>
      <c r="X16" s="7" t="n">
        <v>4096</v>
      </c>
      <c r="Y16" s="7" t="n">
        <v>4096</v>
      </c>
      <c r="Z16" s="7" t="n">
        <v>3</v>
      </c>
      <c r="AA16" s="7" t="n">
        <v>2048</v>
      </c>
      <c r="AB16" s="7" t="n">
        <v>4096</v>
      </c>
      <c r="AC16" s="7" t="s">
        <v>80</v>
      </c>
      <c r="AD16" s="7" t="n">
        <v>1</v>
      </c>
      <c r="AE16" s="7"/>
      <c r="AF16" s="7"/>
      <c r="AG16" s="7" t="n">
        <v>2526160</v>
      </c>
      <c r="AH16" s="7" t="n">
        <v>2526578</v>
      </c>
      <c r="AI16" s="7"/>
      <c r="AJ16" s="7"/>
      <c r="AK16" s="7" t="n">
        <v>375745769</v>
      </c>
      <c r="AL16" s="7" t="n">
        <v>375853763</v>
      </c>
    </row>
    <row r="17" customFormat="false" ht="15" hidden="false" customHeight="false" outlineLevel="0" collapsed="false">
      <c r="A17" s="7" t="s">
        <v>77</v>
      </c>
      <c r="B17" s="7" t="s">
        <v>83</v>
      </c>
      <c r="C17" s="7" t="s">
        <v>84</v>
      </c>
      <c r="D17" s="7" t="s">
        <v>79</v>
      </c>
      <c r="E17" s="7"/>
      <c r="F17" s="7" t="n">
        <v>16384</v>
      </c>
      <c r="G17" s="7" t="n">
        <v>42700000</v>
      </c>
      <c r="H17" s="7" t="n">
        <v>28</v>
      </c>
      <c r="I17" s="7" t="n">
        <v>1195600000</v>
      </c>
      <c r="J17" s="7" t="n">
        <v>133.402</v>
      </c>
      <c r="K17" s="7" t="n">
        <v>87.7869</v>
      </c>
      <c r="L17" s="7" t="n">
        <v>725160709</v>
      </c>
      <c r="M17" s="7" t="n">
        <v>725166999</v>
      </c>
      <c r="N17" s="7" t="n">
        <v>6290</v>
      </c>
      <c r="O17" s="7" t="n">
        <v>9E-006</v>
      </c>
      <c r="P17" s="7" t="n">
        <v>1.6487</v>
      </c>
      <c r="Q17" s="7" t="n">
        <v>1.6487</v>
      </c>
      <c r="R17" s="7" t="n">
        <v>135</v>
      </c>
      <c r="S17" s="7" t="n">
        <v>1</v>
      </c>
      <c r="T17" s="7" t="n">
        <v>16384</v>
      </c>
      <c r="U17" s="7" t="n">
        <v>64</v>
      </c>
      <c r="V17" s="7" t="n">
        <v>16</v>
      </c>
      <c r="W17" s="7" t="n">
        <v>4096</v>
      </c>
      <c r="X17" s="7" t="n">
        <v>16384</v>
      </c>
      <c r="Y17" s="7" t="n">
        <v>16384</v>
      </c>
      <c r="Z17" s="7" t="n">
        <v>3</v>
      </c>
      <c r="AA17" s="7" t="n">
        <v>2048</v>
      </c>
      <c r="AB17" s="7" t="n">
        <v>4096</v>
      </c>
      <c r="AC17" s="7" t="s">
        <v>80</v>
      </c>
      <c r="AD17" s="7" t="n">
        <v>1</v>
      </c>
      <c r="AE17" s="7"/>
      <c r="AF17" s="7"/>
      <c r="AG17" s="7" t="n">
        <v>3572716</v>
      </c>
      <c r="AH17" s="7" t="n">
        <v>3573134</v>
      </c>
      <c r="AI17" s="7" t="n">
        <v>721587993</v>
      </c>
      <c r="AJ17" s="7" t="n">
        <v>721593865</v>
      </c>
      <c r="AK17" s="7"/>
      <c r="AL17" s="7"/>
    </row>
    <row r="18" customFormat="false" ht="15" hidden="false" customHeight="false" outlineLevel="0" collapsed="false">
      <c r="A18" s="7" t="s">
        <v>77</v>
      </c>
      <c r="B18" s="7" t="s">
        <v>83</v>
      </c>
      <c r="C18" s="7" t="s">
        <v>85</v>
      </c>
      <c r="D18" s="7" t="s">
        <v>81</v>
      </c>
      <c r="E18" s="7"/>
      <c r="F18" s="7" t="n">
        <v>16384</v>
      </c>
      <c r="G18" s="7" t="n">
        <v>42700000</v>
      </c>
      <c r="H18" s="7" t="n">
        <v>28</v>
      </c>
      <c r="I18" s="7" t="n">
        <v>1195600000</v>
      </c>
      <c r="J18" s="7" t="n">
        <v>130.266</v>
      </c>
      <c r="K18" s="7" t="n">
        <v>86.4633</v>
      </c>
      <c r="L18" s="7" t="n">
        <v>652557626</v>
      </c>
      <c r="M18" s="7" t="n">
        <v>652590046</v>
      </c>
      <c r="N18" s="7" t="n">
        <v>32420</v>
      </c>
      <c r="O18" s="7" t="n">
        <v>5E-005</v>
      </c>
      <c r="P18" s="7" t="n">
        <v>1.8322</v>
      </c>
      <c r="Q18" s="7" t="n">
        <v>1.8321</v>
      </c>
      <c r="R18" s="7" t="n">
        <v>135</v>
      </c>
      <c r="S18" s="7" t="n">
        <v>1</v>
      </c>
      <c r="T18" s="7" t="n">
        <v>16384</v>
      </c>
      <c r="U18" s="7" t="n">
        <v>64</v>
      </c>
      <c r="V18" s="7" t="n">
        <v>16</v>
      </c>
      <c r="W18" s="7" t="n">
        <v>4096</v>
      </c>
      <c r="X18" s="7" t="n">
        <v>16384</v>
      </c>
      <c r="Y18" s="7" t="n">
        <v>16384</v>
      </c>
      <c r="Z18" s="7" t="n">
        <v>3</v>
      </c>
      <c r="AA18" s="7" t="n">
        <v>2048</v>
      </c>
      <c r="AB18" s="7" t="n">
        <v>4096</v>
      </c>
      <c r="AC18" s="7" t="s">
        <v>80</v>
      </c>
      <c r="AD18" s="7" t="n">
        <v>1</v>
      </c>
      <c r="AE18" s="7"/>
      <c r="AF18" s="7"/>
      <c r="AG18" s="7" t="n">
        <v>3572716</v>
      </c>
      <c r="AH18" s="7" t="n">
        <v>3573134</v>
      </c>
      <c r="AI18" s="7"/>
      <c r="AJ18" s="7"/>
      <c r="AK18" s="7" t="n">
        <v>648984910</v>
      </c>
      <c r="AL18" s="7" t="n">
        <v>649016912</v>
      </c>
    </row>
    <row r="19" customFormat="false" ht="15" hidden="false" customHeight="false" outlineLevel="0" collapsed="false">
      <c r="A19" s="7" t="s">
        <v>77</v>
      </c>
      <c r="B19" s="7" t="s">
        <v>83</v>
      </c>
      <c r="C19" s="7" t="s">
        <v>85</v>
      </c>
      <c r="D19" s="7" t="s">
        <v>81</v>
      </c>
      <c r="E19" s="7" t="n">
        <v>0.1</v>
      </c>
      <c r="F19" s="7" t="n">
        <v>16384</v>
      </c>
      <c r="G19" s="7" t="n">
        <v>42700000</v>
      </c>
      <c r="H19" s="7" t="n">
        <v>28</v>
      </c>
      <c r="I19" s="7" t="n">
        <v>1195600000</v>
      </c>
      <c r="J19" s="7" t="n">
        <v>129.132</v>
      </c>
      <c r="K19" s="7" t="n">
        <v>87.6786</v>
      </c>
      <c r="L19" s="7" t="n">
        <v>424017513</v>
      </c>
      <c r="M19" s="7" t="n">
        <v>424049933</v>
      </c>
      <c r="N19" s="7" t="n">
        <v>32420</v>
      </c>
      <c r="O19" s="7" t="n">
        <v>7.6E-005</v>
      </c>
      <c r="P19" s="7" t="n">
        <v>2.8197</v>
      </c>
      <c r="Q19" s="7" t="n">
        <v>2.8195</v>
      </c>
      <c r="R19" s="7" t="n">
        <v>135</v>
      </c>
      <c r="S19" s="7" t="n">
        <v>1</v>
      </c>
      <c r="T19" s="7" t="n">
        <v>16384</v>
      </c>
      <c r="U19" s="7" t="n">
        <v>64</v>
      </c>
      <c r="V19" s="7" t="n">
        <v>16</v>
      </c>
      <c r="W19" s="7" t="n">
        <v>4096</v>
      </c>
      <c r="X19" s="7" t="n">
        <v>16384</v>
      </c>
      <c r="Y19" s="7" t="n">
        <v>16384</v>
      </c>
      <c r="Z19" s="7" t="n">
        <v>3</v>
      </c>
      <c r="AA19" s="7" t="n">
        <v>2048</v>
      </c>
      <c r="AB19" s="7" t="n">
        <v>4096</v>
      </c>
      <c r="AC19" s="7" t="s">
        <v>80</v>
      </c>
      <c r="AD19" s="7" t="n">
        <v>1</v>
      </c>
      <c r="AE19" s="7"/>
      <c r="AF19" s="7"/>
      <c r="AG19" s="7" t="n">
        <v>3572716</v>
      </c>
      <c r="AH19" s="7" t="n">
        <v>3573134</v>
      </c>
      <c r="AI19" s="7"/>
      <c r="AJ19" s="7"/>
      <c r="AK19" s="7" t="n">
        <v>420444797</v>
      </c>
      <c r="AL19" s="7" t="n">
        <v>420476799</v>
      </c>
    </row>
    <row r="20" customFormat="false" ht="15" hidden="false" customHeight="false" outlineLevel="0" collapsed="false">
      <c r="A20" s="7" t="s">
        <v>77</v>
      </c>
      <c r="B20" s="7" t="s">
        <v>83</v>
      </c>
      <c r="C20" s="7" t="s">
        <v>85</v>
      </c>
      <c r="D20" s="7" t="s">
        <v>81</v>
      </c>
      <c r="E20" s="7" t="n">
        <v>1</v>
      </c>
      <c r="F20" s="7" t="n">
        <v>16384</v>
      </c>
      <c r="G20" s="7" t="n">
        <v>42700000</v>
      </c>
      <c r="H20" s="7" t="n">
        <v>28</v>
      </c>
      <c r="I20" s="7" t="n">
        <v>1195600000</v>
      </c>
      <c r="J20" s="7" t="n">
        <v>128.957</v>
      </c>
      <c r="K20" s="7" t="n">
        <v>87.0142</v>
      </c>
      <c r="L20" s="7" t="n">
        <v>403629532</v>
      </c>
      <c r="M20" s="7" t="n">
        <v>403661952</v>
      </c>
      <c r="N20" s="7" t="n">
        <v>32420</v>
      </c>
      <c r="O20" s="7" t="n">
        <v>8E-005</v>
      </c>
      <c r="P20" s="7" t="n">
        <v>2.9621</v>
      </c>
      <c r="Q20" s="7" t="n">
        <v>2.9619</v>
      </c>
      <c r="R20" s="7" t="n">
        <v>135</v>
      </c>
      <c r="S20" s="7" t="n">
        <v>1</v>
      </c>
      <c r="T20" s="7" t="n">
        <v>16384</v>
      </c>
      <c r="U20" s="7" t="n">
        <v>64</v>
      </c>
      <c r="V20" s="7" t="n">
        <v>16</v>
      </c>
      <c r="W20" s="7" t="n">
        <v>4096</v>
      </c>
      <c r="X20" s="7" t="n">
        <v>16384</v>
      </c>
      <c r="Y20" s="7" t="n">
        <v>16384</v>
      </c>
      <c r="Z20" s="7" t="n">
        <v>3</v>
      </c>
      <c r="AA20" s="7" t="n">
        <v>2048</v>
      </c>
      <c r="AB20" s="7" t="n">
        <v>4096</v>
      </c>
      <c r="AC20" s="7" t="s">
        <v>80</v>
      </c>
      <c r="AD20" s="7" t="n">
        <v>1</v>
      </c>
      <c r="AE20" s="7"/>
      <c r="AF20" s="7"/>
      <c r="AG20" s="7" t="n">
        <v>3572716</v>
      </c>
      <c r="AH20" s="7" t="n">
        <v>3573134</v>
      </c>
      <c r="AI20" s="7"/>
      <c r="AJ20" s="7"/>
      <c r="AK20" s="7" t="n">
        <v>400056816</v>
      </c>
      <c r="AL20" s="7" t="n">
        <v>400088818</v>
      </c>
    </row>
    <row r="21" customFormat="false" ht="15" hidden="false" customHeight="false" outlineLevel="0" collapsed="false">
      <c r="A21" s="7" t="s">
        <v>77</v>
      </c>
      <c r="B21" s="7" t="s">
        <v>83</v>
      </c>
      <c r="C21" s="7" t="s">
        <v>85</v>
      </c>
      <c r="D21" s="7" t="s">
        <v>81</v>
      </c>
      <c r="E21" s="7" t="n">
        <v>5</v>
      </c>
      <c r="F21" s="7" t="n">
        <v>16384</v>
      </c>
      <c r="G21" s="7" t="n">
        <v>42700000</v>
      </c>
      <c r="H21" s="7" t="n">
        <v>28</v>
      </c>
      <c r="I21" s="7" t="n">
        <v>1195600000</v>
      </c>
      <c r="J21" s="7" t="n">
        <v>129.461</v>
      </c>
      <c r="K21" s="7" t="n">
        <v>87.0299</v>
      </c>
      <c r="L21" s="7" t="n">
        <v>382807287</v>
      </c>
      <c r="M21" s="7" t="n">
        <v>382839707</v>
      </c>
      <c r="N21" s="7" t="n">
        <v>32420</v>
      </c>
      <c r="O21" s="7" t="n">
        <v>8.5E-005</v>
      </c>
      <c r="P21" s="7" t="n">
        <v>3.1232</v>
      </c>
      <c r="Q21" s="7" t="n">
        <v>3.123</v>
      </c>
      <c r="R21" s="7" t="n">
        <v>135</v>
      </c>
      <c r="S21" s="7" t="n">
        <v>1</v>
      </c>
      <c r="T21" s="7" t="n">
        <v>16384</v>
      </c>
      <c r="U21" s="7" t="n">
        <v>64</v>
      </c>
      <c r="V21" s="7" t="n">
        <v>16</v>
      </c>
      <c r="W21" s="7" t="n">
        <v>4096</v>
      </c>
      <c r="X21" s="7" t="n">
        <v>16384</v>
      </c>
      <c r="Y21" s="7" t="n">
        <v>16384</v>
      </c>
      <c r="Z21" s="7" t="n">
        <v>3</v>
      </c>
      <c r="AA21" s="7" t="n">
        <v>2048</v>
      </c>
      <c r="AB21" s="7" t="n">
        <v>4096</v>
      </c>
      <c r="AC21" s="7" t="s">
        <v>80</v>
      </c>
      <c r="AD21" s="7" t="n">
        <v>1</v>
      </c>
      <c r="AE21" s="7"/>
      <c r="AF21" s="7"/>
      <c r="AG21" s="7" t="n">
        <v>3572716</v>
      </c>
      <c r="AH21" s="7" t="n">
        <v>3573134</v>
      </c>
      <c r="AI21" s="7"/>
      <c r="AJ21" s="7"/>
      <c r="AK21" s="7" t="n">
        <v>379234571</v>
      </c>
      <c r="AL21" s="7" t="n">
        <v>379266573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12" min="2" style="0" width="13"/>
  </cols>
  <sheetData>
    <row r="1" customFormat="false" ht="15" hidden="false" customHeight="false" outlineLevel="0" collapsed="false">
      <c r="A1" s="6" t="s">
        <v>41</v>
      </c>
      <c r="B1" s="6" t="s">
        <v>86</v>
      </c>
      <c r="C1" s="6" t="s">
        <v>87</v>
      </c>
      <c r="D1" s="6" t="s">
        <v>88</v>
      </c>
      <c r="E1" s="6" t="s">
        <v>45</v>
      </c>
      <c r="F1" s="6" t="s">
        <v>89</v>
      </c>
      <c r="G1" s="6" t="s">
        <v>90</v>
      </c>
      <c r="H1" s="6" t="s">
        <v>91</v>
      </c>
      <c r="I1" s="6" t="s">
        <v>92</v>
      </c>
      <c r="J1" s="6" t="s">
        <v>93</v>
      </c>
      <c r="K1" s="6" t="s">
        <v>94</v>
      </c>
      <c r="L1" s="6" t="s">
        <v>95</v>
      </c>
    </row>
    <row r="2" customFormat="false" ht="15" hidden="false" customHeight="false" outlineLevel="0" collapsed="false">
      <c r="A2" s="7" t="s">
        <v>77</v>
      </c>
      <c r="B2" s="7" t="s">
        <v>96</v>
      </c>
      <c r="C2" s="7" t="s">
        <v>97</v>
      </c>
      <c r="D2" s="7" t="s">
        <v>98</v>
      </c>
      <c r="E2" s="7" t="n">
        <v>0</v>
      </c>
      <c r="F2" s="7" t="n">
        <v>18241</v>
      </c>
      <c r="G2" s="7" t="n">
        <v>144297189</v>
      </c>
      <c r="H2" s="7" t="n">
        <v>3.3793</v>
      </c>
      <c r="I2" s="7" t="n">
        <v>0</v>
      </c>
      <c r="J2" s="7" t="n">
        <v>0</v>
      </c>
      <c r="K2" s="7" t="s">
        <v>99</v>
      </c>
      <c r="L2" s="7" t="n">
        <v>0</v>
      </c>
    </row>
    <row r="3" customFormat="false" ht="15" hidden="false" customHeight="false" outlineLevel="0" collapsed="false">
      <c r="A3" s="7" t="s">
        <v>77</v>
      </c>
      <c r="B3" s="7" t="s">
        <v>100</v>
      </c>
      <c r="C3" s="7" t="s">
        <v>97</v>
      </c>
      <c r="D3" s="7" t="s">
        <v>98</v>
      </c>
      <c r="E3" s="7" t="n">
        <v>0</v>
      </c>
      <c r="F3" s="7" t="n">
        <v>18241</v>
      </c>
      <c r="G3" s="7" t="n">
        <v>16197189</v>
      </c>
      <c r="H3" s="7" t="n">
        <v>0.3793</v>
      </c>
      <c r="I3" s="7" t="n">
        <v>0</v>
      </c>
      <c r="J3" s="7" t="n">
        <v>0</v>
      </c>
      <c r="K3" s="7" t="s">
        <v>99</v>
      </c>
      <c r="L3" s="7" t="n">
        <v>0</v>
      </c>
    </row>
    <row r="4" customFormat="false" ht="15" hidden="false" customHeight="false" outlineLevel="0" collapsed="false">
      <c r="A4" s="7" t="s">
        <v>77</v>
      </c>
      <c r="B4" s="7" t="s">
        <v>101</v>
      </c>
      <c r="C4" s="7" t="s">
        <v>102</v>
      </c>
      <c r="D4" s="7" t="s">
        <v>103</v>
      </c>
      <c r="E4" s="7" t="n">
        <v>0</v>
      </c>
      <c r="F4" s="7" t="n">
        <v>18241</v>
      </c>
      <c r="G4" s="7" t="n">
        <v>326573665</v>
      </c>
      <c r="H4" s="7" t="n">
        <v>7.6481</v>
      </c>
      <c r="I4" s="7" t="n">
        <v>0</v>
      </c>
      <c r="J4" s="7" t="n">
        <v>0</v>
      </c>
      <c r="K4" s="7" t="s">
        <v>104</v>
      </c>
      <c r="L4" s="7" t="n">
        <v>0</v>
      </c>
    </row>
    <row r="5" customFormat="false" ht="15" hidden="false" customHeight="false" outlineLevel="0" collapsed="false">
      <c r="A5" s="7" t="s">
        <v>77</v>
      </c>
      <c r="B5" s="7" t="s">
        <v>105</v>
      </c>
      <c r="C5" s="7" t="s">
        <v>106</v>
      </c>
      <c r="D5" s="7" t="s">
        <v>98</v>
      </c>
      <c r="E5" s="7" t="n">
        <v>0</v>
      </c>
      <c r="F5" s="7" t="n">
        <v>18241</v>
      </c>
      <c r="G5" s="7" t="n">
        <v>149623209</v>
      </c>
      <c r="H5" s="7" t="n">
        <v>3.5041</v>
      </c>
      <c r="I5" s="7" t="n">
        <v>0</v>
      </c>
      <c r="J5" s="7" t="n">
        <v>0</v>
      </c>
      <c r="K5" s="7" t="s">
        <v>99</v>
      </c>
      <c r="L5" s="7" t="n">
        <v>0</v>
      </c>
    </row>
    <row r="6" customFormat="false" ht="15" hidden="false" customHeight="false" outlineLevel="0" collapsed="false">
      <c r="A6" s="7" t="s">
        <v>77</v>
      </c>
      <c r="B6" s="7" t="s">
        <v>96</v>
      </c>
      <c r="C6" s="7" t="s">
        <v>97</v>
      </c>
      <c r="D6" s="7" t="s">
        <v>98</v>
      </c>
      <c r="E6" s="7" t="n">
        <v>0.01</v>
      </c>
      <c r="F6" s="7" t="n">
        <v>18241</v>
      </c>
      <c r="G6" s="7" t="n">
        <v>144297189</v>
      </c>
      <c r="H6" s="7" t="n">
        <v>3.3793</v>
      </c>
      <c r="I6" s="7" t="n">
        <v>0</v>
      </c>
      <c r="J6" s="7" t="n">
        <v>0</v>
      </c>
      <c r="K6" s="7" t="s">
        <v>99</v>
      </c>
      <c r="L6" s="7" t="n">
        <v>0</v>
      </c>
    </row>
    <row r="7" customFormat="false" ht="15" hidden="false" customHeight="false" outlineLevel="0" collapsed="false">
      <c r="A7" s="7" t="s">
        <v>77</v>
      </c>
      <c r="B7" s="7" t="s">
        <v>100</v>
      </c>
      <c r="C7" s="7" t="s">
        <v>97</v>
      </c>
      <c r="D7" s="7" t="s">
        <v>98</v>
      </c>
      <c r="E7" s="7" t="n">
        <v>0.01</v>
      </c>
      <c r="F7" s="7" t="n">
        <v>18241</v>
      </c>
      <c r="G7" s="7" t="n">
        <v>16197189</v>
      </c>
      <c r="H7" s="7" t="n">
        <v>0.3793</v>
      </c>
      <c r="I7" s="7" t="n">
        <v>0</v>
      </c>
      <c r="J7" s="7" t="n">
        <v>0</v>
      </c>
      <c r="K7" s="7" t="s">
        <v>99</v>
      </c>
      <c r="L7" s="7" t="n">
        <v>0</v>
      </c>
    </row>
    <row r="8" customFormat="false" ht="15" hidden="false" customHeight="false" outlineLevel="0" collapsed="false">
      <c r="A8" s="7" t="s">
        <v>77</v>
      </c>
      <c r="B8" s="7" t="s">
        <v>101</v>
      </c>
      <c r="C8" s="7" t="s">
        <v>102</v>
      </c>
      <c r="D8" s="7" t="s">
        <v>103</v>
      </c>
      <c r="E8" s="7" t="n">
        <v>0.01</v>
      </c>
      <c r="F8" s="7" t="n">
        <v>18241</v>
      </c>
      <c r="G8" s="7" t="n">
        <v>86385645</v>
      </c>
      <c r="H8" s="7" t="n">
        <v>2.0231</v>
      </c>
      <c r="I8" s="7" t="n">
        <v>-240188020</v>
      </c>
      <c r="J8" s="7" t="n">
        <v>-73.55</v>
      </c>
      <c r="K8" s="7" t="s">
        <v>107</v>
      </c>
      <c r="L8" s="7" t="n">
        <v>9.9999994E-005</v>
      </c>
    </row>
    <row r="9" customFormat="false" ht="15" hidden="false" customHeight="false" outlineLevel="0" collapsed="false">
      <c r="A9" s="7" t="s">
        <v>77</v>
      </c>
      <c r="B9" s="7" t="s">
        <v>105</v>
      </c>
      <c r="C9" s="7" t="s">
        <v>106</v>
      </c>
      <c r="D9" s="7" t="s">
        <v>98</v>
      </c>
      <c r="E9" s="7" t="n">
        <v>0.01</v>
      </c>
      <c r="F9" s="7" t="n">
        <v>18241</v>
      </c>
      <c r="G9" s="7" t="n">
        <v>149623209</v>
      </c>
      <c r="H9" s="7" t="n">
        <v>3.5041</v>
      </c>
      <c r="I9" s="7" t="n">
        <v>0</v>
      </c>
      <c r="J9" s="7" t="n">
        <v>0</v>
      </c>
      <c r="K9" s="7" t="s">
        <v>99</v>
      </c>
      <c r="L9" s="7" t="n">
        <v>0</v>
      </c>
    </row>
    <row r="10" customFormat="false" ht="15" hidden="false" customHeight="false" outlineLevel="0" collapsed="false">
      <c r="A10" s="7" t="s">
        <v>77</v>
      </c>
      <c r="B10" s="7" t="s">
        <v>96</v>
      </c>
      <c r="C10" s="7" t="s">
        <v>97</v>
      </c>
      <c r="D10" s="7" t="s">
        <v>98</v>
      </c>
      <c r="E10" s="7" t="n">
        <v>0.1</v>
      </c>
      <c r="F10" s="7" t="n">
        <v>18241</v>
      </c>
      <c r="G10" s="7" t="n">
        <v>144297189</v>
      </c>
      <c r="H10" s="7" t="n">
        <v>3.3793</v>
      </c>
      <c r="I10" s="7" t="n">
        <v>0</v>
      </c>
      <c r="J10" s="7" t="n">
        <v>0</v>
      </c>
      <c r="K10" s="7" t="s">
        <v>99</v>
      </c>
      <c r="L10" s="7" t="n">
        <v>0</v>
      </c>
    </row>
    <row r="11" customFormat="false" ht="15" hidden="false" customHeight="false" outlineLevel="0" collapsed="false">
      <c r="A11" s="7" t="s">
        <v>77</v>
      </c>
      <c r="B11" s="7" t="s">
        <v>100</v>
      </c>
      <c r="C11" s="7" t="s">
        <v>97</v>
      </c>
      <c r="D11" s="7" t="s">
        <v>98</v>
      </c>
      <c r="E11" s="7" t="n">
        <v>0.1</v>
      </c>
      <c r="F11" s="7" t="n">
        <v>18241</v>
      </c>
      <c r="G11" s="7" t="n">
        <v>16197189</v>
      </c>
      <c r="H11" s="7" t="n">
        <v>0.3793</v>
      </c>
      <c r="I11" s="7" t="n">
        <v>0</v>
      </c>
      <c r="J11" s="7" t="n">
        <v>0</v>
      </c>
      <c r="K11" s="7" t="s">
        <v>99</v>
      </c>
      <c r="L11" s="7" t="n">
        <v>0</v>
      </c>
    </row>
    <row r="12" customFormat="false" ht="15" hidden="false" customHeight="false" outlineLevel="0" collapsed="false">
      <c r="A12" s="7" t="s">
        <v>77</v>
      </c>
      <c r="B12" s="7" t="s">
        <v>101</v>
      </c>
      <c r="C12" s="7" t="s">
        <v>102</v>
      </c>
      <c r="D12" s="7" t="s">
        <v>103</v>
      </c>
      <c r="E12" s="7" t="n">
        <v>0.1</v>
      </c>
      <c r="F12" s="7" t="n">
        <v>18241</v>
      </c>
      <c r="G12" s="7" t="n">
        <v>71537477</v>
      </c>
      <c r="H12" s="7" t="n">
        <v>1.6754</v>
      </c>
      <c r="I12" s="7" t="n">
        <v>-255036188</v>
      </c>
      <c r="J12" s="7" t="n">
        <v>-78.09</v>
      </c>
      <c r="K12" s="7" t="s">
        <v>107</v>
      </c>
      <c r="L12" s="7" t="n">
        <v>0.000999999975</v>
      </c>
    </row>
    <row r="13" customFormat="false" ht="15" hidden="false" customHeight="false" outlineLevel="0" collapsed="false">
      <c r="A13" s="7" t="s">
        <v>77</v>
      </c>
      <c r="B13" s="7" t="s">
        <v>105</v>
      </c>
      <c r="C13" s="7" t="s">
        <v>106</v>
      </c>
      <c r="D13" s="7" t="s">
        <v>98</v>
      </c>
      <c r="E13" s="7" t="n">
        <v>0.1</v>
      </c>
      <c r="F13" s="7" t="n">
        <v>18241</v>
      </c>
      <c r="G13" s="7" t="n">
        <v>149623209</v>
      </c>
      <c r="H13" s="7" t="n">
        <v>3.5041</v>
      </c>
      <c r="I13" s="7" t="n">
        <v>0</v>
      </c>
      <c r="J13" s="7" t="n">
        <v>0</v>
      </c>
      <c r="K13" s="7" t="s">
        <v>99</v>
      </c>
      <c r="L13" s="7" t="n">
        <v>0</v>
      </c>
    </row>
    <row r="14" customFormat="false" ht="15" hidden="false" customHeight="false" outlineLevel="0" collapsed="false">
      <c r="A14" s="7" t="s">
        <v>77</v>
      </c>
      <c r="B14" s="7" t="s">
        <v>96</v>
      </c>
      <c r="C14" s="7" t="s">
        <v>97</v>
      </c>
      <c r="D14" s="7" t="s">
        <v>98</v>
      </c>
      <c r="E14" s="7" t="n">
        <v>0.5</v>
      </c>
      <c r="F14" s="7" t="n">
        <v>18241</v>
      </c>
      <c r="G14" s="7" t="n">
        <v>144297189</v>
      </c>
      <c r="H14" s="7" t="n">
        <v>3.3793</v>
      </c>
      <c r="I14" s="7" t="n">
        <v>0</v>
      </c>
      <c r="J14" s="7" t="n">
        <v>0</v>
      </c>
      <c r="K14" s="7" t="s">
        <v>99</v>
      </c>
      <c r="L14" s="7" t="n">
        <v>0</v>
      </c>
    </row>
    <row r="15" customFormat="false" ht="15" hidden="false" customHeight="false" outlineLevel="0" collapsed="false">
      <c r="A15" s="7" t="s">
        <v>77</v>
      </c>
      <c r="B15" s="7" t="s">
        <v>100</v>
      </c>
      <c r="C15" s="7" t="s">
        <v>97</v>
      </c>
      <c r="D15" s="7" t="s">
        <v>98</v>
      </c>
      <c r="E15" s="7" t="n">
        <v>0.5</v>
      </c>
      <c r="F15" s="7" t="n">
        <v>18241</v>
      </c>
      <c r="G15" s="7" t="n">
        <v>16197189</v>
      </c>
      <c r="H15" s="7" t="n">
        <v>0.3793</v>
      </c>
      <c r="I15" s="7" t="n">
        <v>0</v>
      </c>
      <c r="J15" s="7" t="n">
        <v>0</v>
      </c>
      <c r="K15" s="7" t="s">
        <v>99</v>
      </c>
      <c r="L15" s="7" t="n">
        <v>0</v>
      </c>
    </row>
    <row r="16" customFormat="false" ht="15" hidden="false" customHeight="false" outlineLevel="0" collapsed="false">
      <c r="A16" s="7" t="s">
        <v>77</v>
      </c>
      <c r="B16" s="7" t="s">
        <v>101</v>
      </c>
      <c r="C16" s="7" t="s">
        <v>102</v>
      </c>
      <c r="D16" s="7" t="s">
        <v>103</v>
      </c>
      <c r="E16" s="7" t="n">
        <v>0.5</v>
      </c>
      <c r="F16" s="7" t="n">
        <v>18241</v>
      </c>
      <c r="G16" s="7" t="n">
        <v>58908943</v>
      </c>
      <c r="H16" s="7" t="n">
        <v>1.3796</v>
      </c>
      <c r="I16" s="7" t="n">
        <v>-267664722</v>
      </c>
      <c r="J16" s="7" t="n">
        <v>-81.96</v>
      </c>
      <c r="K16" s="7" t="s">
        <v>107</v>
      </c>
      <c r="L16" s="7" t="n">
        <v>0.00499999973</v>
      </c>
    </row>
    <row r="17" customFormat="false" ht="15" hidden="false" customHeight="false" outlineLevel="0" collapsed="false">
      <c r="A17" s="7" t="s">
        <v>77</v>
      </c>
      <c r="B17" s="7" t="s">
        <v>105</v>
      </c>
      <c r="C17" s="7" t="s">
        <v>106</v>
      </c>
      <c r="D17" s="7" t="s">
        <v>98</v>
      </c>
      <c r="E17" s="7" t="n">
        <v>0.5</v>
      </c>
      <c r="F17" s="7" t="n">
        <v>18241</v>
      </c>
      <c r="G17" s="7" t="n">
        <v>149623209</v>
      </c>
      <c r="H17" s="7" t="n">
        <v>3.5041</v>
      </c>
      <c r="I17" s="7" t="n">
        <v>0</v>
      </c>
      <c r="J17" s="7" t="n">
        <v>0</v>
      </c>
      <c r="K17" s="7" t="s">
        <v>99</v>
      </c>
      <c r="L17" s="7" t="n">
        <v>0</v>
      </c>
    </row>
    <row r="18" customFormat="false" ht="15" hidden="false" customHeight="false" outlineLevel="0" collapsed="false">
      <c r="A18" s="7" t="s">
        <v>77</v>
      </c>
      <c r="B18" s="7" t="s">
        <v>96</v>
      </c>
      <c r="C18" s="7" t="s">
        <v>97</v>
      </c>
      <c r="D18" s="7" t="s">
        <v>98</v>
      </c>
      <c r="E18" s="7" t="n">
        <v>1</v>
      </c>
      <c r="F18" s="7" t="n">
        <v>18241</v>
      </c>
      <c r="G18" s="7" t="n">
        <v>144297189</v>
      </c>
      <c r="H18" s="7" t="n">
        <v>3.3793</v>
      </c>
      <c r="I18" s="7" t="n">
        <v>0</v>
      </c>
      <c r="J18" s="7" t="n">
        <v>0</v>
      </c>
      <c r="K18" s="7" t="s">
        <v>99</v>
      </c>
      <c r="L18" s="7" t="n">
        <v>0</v>
      </c>
    </row>
    <row r="19" customFormat="false" ht="15" hidden="false" customHeight="false" outlineLevel="0" collapsed="false">
      <c r="A19" s="7" t="s">
        <v>77</v>
      </c>
      <c r="B19" s="7" t="s">
        <v>100</v>
      </c>
      <c r="C19" s="7" t="s">
        <v>97</v>
      </c>
      <c r="D19" s="7" t="s">
        <v>98</v>
      </c>
      <c r="E19" s="7" t="n">
        <v>1</v>
      </c>
      <c r="F19" s="7" t="n">
        <v>18241</v>
      </c>
      <c r="G19" s="7" t="n">
        <v>16197189</v>
      </c>
      <c r="H19" s="7" t="n">
        <v>0.3793</v>
      </c>
      <c r="I19" s="7" t="n">
        <v>0</v>
      </c>
      <c r="J19" s="7" t="n">
        <v>0</v>
      </c>
      <c r="K19" s="7" t="s">
        <v>99</v>
      </c>
      <c r="L19" s="7" t="n">
        <v>0</v>
      </c>
    </row>
    <row r="20" customFormat="false" ht="15" hidden="false" customHeight="false" outlineLevel="0" collapsed="false">
      <c r="A20" s="7" t="s">
        <v>77</v>
      </c>
      <c r="B20" s="7" t="s">
        <v>101</v>
      </c>
      <c r="C20" s="7" t="s">
        <v>102</v>
      </c>
      <c r="D20" s="7" t="s">
        <v>103</v>
      </c>
      <c r="E20" s="7" t="n">
        <v>1</v>
      </c>
      <c r="F20" s="7" t="n">
        <v>18241</v>
      </c>
      <c r="G20" s="7" t="n">
        <v>53961312</v>
      </c>
      <c r="H20" s="7" t="n">
        <v>1.2637</v>
      </c>
      <c r="I20" s="7" t="n">
        <v>-272612353</v>
      </c>
      <c r="J20" s="7" t="n">
        <v>-83.48</v>
      </c>
      <c r="K20" s="7" t="s">
        <v>107</v>
      </c>
      <c r="L20" s="7" t="n">
        <v>0.00999999956</v>
      </c>
    </row>
    <row r="21" customFormat="false" ht="15" hidden="false" customHeight="false" outlineLevel="0" collapsed="false">
      <c r="A21" s="7" t="s">
        <v>77</v>
      </c>
      <c r="B21" s="7" t="s">
        <v>105</v>
      </c>
      <c r="C21" s="7" t="s">
        <v>106</v>
      </c>
      <c r="D21" s="7" t="s">
        <v>98</v>
      </c>
      <c r="E21" s="7" t="n">
        <v>1</v>
      </c>
      <c r="F21" s="7" t="n">
        <v>18241</v>
      </c>
      <c r="G21" s="7" t="n">
        <v>149623209</v>
      </c>
      <c r="H21" s="7" t="n">
        <v>3.5041</v>
      </c>
      <c r="I21" s="7" t="n">
        <v>0</v>
      </c>
      <c r="J21" s="7" t="n">
        <v>0</v>
      </c>
      <c r="K21" s="7" t="s">
        <v>99</v>
      </c>
      <c r="L21" s="7" t="n">
        <v>0</v>
      </c>
    </row>
    <row r="22" customFormat="false" ht="15" hidden="false" customHeight="false" outlineLevel="0" collapsed="false">
      <c r="A22" s="7" t="s">
        <v>77</v>
      </c>
      <c r="B22" s="7" t="s">
        <v>96</v>
      </c>
      <c r="C22" s="7" t="s">
        <v>97</v>
      </c>
      <c r="D22" s="7" t="s">
        <v>98</v>
      </c>
      <c r="E22" s="7" t="n">
        <v>2</v>
      </c>
      <c r="F22" s="7" t="n">
        <v>18241</v>
      </c>
      <c r="G22" s="7" t="n">
        <v>144297189</v>
      </c>
      <c r="H22" s="7" t="n">
        <v>3.3793</v>
      </c>
      <c r="I22" s="7" t="n">
        <v>0</v>
      </c>
      <c r="J22" s="7" t="n">
        <v>0</v>
      </c>
      <c r="K22" s="7" t="s">
        <v>99</v>
      </c>
      <c r="L22" s="7" t="n">
        <v>0</v>
      </c>
    </row>
    <row r="23" customFormat="false" ht="15" hidden="false" customHeight="false" outlineLevel="0" collapsed="false">
      <c r="A23" s="7" t="s">
        <v>77</v>
      </c>
      <c r="B23" s="7" t="s">
        <v>100</v>
      </c>
      <c r="C23" s="7" t="s">
        <v>97</v>
      </c>
      <c r="D23" s="7" t="s">
        <v>98</v>
      </c>
      <c r="E23" s="7" t="n">
        <v>2</v>
      </c>
      <c r="F23" s="7" t="n">
        <v>18241</v>
      </c>
      <c r="G23" s="7" t="n">
        <v>16197189</v>
      </c>
      <c r="H23" s="7" t="n">
        <v>0.3793</v>
      </c>
      <c r="I23" s="7" t="n">
        <v>0</v>
      </c>
      <c r="J23" s="7" t="n">
        <v>0</v>
      </c>
      <c r="K23" s="7" t="s">
        <v>99</v>
      </c>
      <c r="L23" s="7" t="n">
        <v>0</v>
      </c>
    </row>
    <row r="24" customFormat="false" ht="15" hidden="false" customHeight="false" outlineLevel="0" collapsed="false">
      <c r="A24" s="7" t="s">
        <v>77</v>
      </c>
      <c r="B24" s="7" t="s">
        <v>101</v>
      </c>
      <c r="C24" s="7" t="s">
        <v>102</v>
      </c>
      <c r="D24" s="7" t="s">
        <v>103</v>
      </c>
      <c r="E24" s="7" t="n">
        <v>2</v>
      </c>
      <c r="F24" s="7" t="n">
        <v>18241</v>
      </c>
      <c r="G24" s="7" t="n">
        <v>41348630</v>
      </c>
      <c r="H24" s="7" t="n">
        <v>0.9684</v>
      </c>
      <c r="I24" s="7" t="n">
        <v>-285225035</v>
      </c>
      <c r="J24" s="7" t="n">
        <v>-87.34</v>
      </c>
      <c r="K24" s="7" t="s">
        <v>107</v>
      </c>
      <c r="L24" s="7" t="n">
        <v>0.0199999988</v>
      </c>
    </row>
    <row r="25" customFormat="false" ht="15" hidden="false" customHeight="false" outlineLevel="0" collapsed="false">
      <c r="A25" s="7" t="s">
        <v>77</v>
      </c>
      <c r="B25" s="7" t="s">
        <v>105</v>
      </c>
      <c r="C25" s="7" t="s">
        <v>106</v>
      </c>
      <c r="D25" s="7" t="s">
        <v>98</v>
      </c>
      <c r="E25" s="7" t="n">
        <v>2</v>
      </c>
      <c r="F25" s="7" t="n">
        <v>18241</v>
      </c>
      <c r="G25" s="7" t="n">
        <v>149623209</v>
      </c>
      <c r="H25" s="7" t="n">
        <v>3.5041</v>
      </c>
      <c r="I25" s="7" t="n">
        <v>0</v>
      </c>
      <c r="J25" s="7" t="n">
        <v>0</v>
      </c>
      <c r="K25" s="7" t="s">
        <v>99</v>
      </c>
      <c r="L25" s="7" t="n">
        <v>0</v>
      </c>
    </row>
    <row r="26" customFormat="false" ht="15" hidden="false" customHeight="false" outlineLevel="0" collapsed="false">
      <c r="A26" s="7" t="s">
        <v>77</v>
      </c>
      <c r="B26" s="7" t="s">
        <v>96</v>
      </c>
      <c r="C26" s="7" t="s">
        <v>97</v>
      </c>
      <c r="D26" s="7" t="s">
        <v>98</v>
      </c>
      <c r="E26" s="7" t="n">
        <v>5</v>
      </c>
      <c r="F26" s="7" t="n">
        <v>18241</v>
      </c>
      <c r="G26" s="7" t="n">
        <v>144297189</v>
      </c>
      <c r="H26" s="7" t="n">
        <v>3.3793</v>
      </c>
      <c r="I26" s="7" t="n">
        <v>0</v>
      </c>
      <c r="J26" s="7" t="n">
        <v>0</v>
      </c>
      <c r="K26" s="7" t="s">
        <v>99</v>
      </c>
      <c r="L26" s="7" t="n">
        <v>0</v>
      </c>
    </row>
    <row r="27" customFormat="false" ht="15" hidden="false" customHeight="false" outlineLevel="0" collapsed="false">
      <c r="A27" s="7" t="s">
        <v>77</v>
      </c>
      <c r="B27" s="7" t="s">
        <v>100</v>
      </c>
      <c r="C27" s="7" t="s">
        <v>97</v>
      </c>
      <c r="D27" s="7" t="s">
        <v>98</v>
      </c>
      <c r="E27" s="7" t="n">
        <v>5</v>
      </c>
      <c r="F27" s="7" t="n">
        <v>18241</v>
      </c>
      <c r="G27" s="7" t="n">
        <v>16197189</v>
      </c>
      <c r="H27" s="7" t="n">
        <v>0.3793</v>
      </c>
      <c r="I27" s="7" t="n">
        <v>0</v>
      </c>
      <c r="J27" s="7" t="n">
        <v>0</v>
      </c>
      <c r="K27" s="7" t="s">
        <v>99</v>
      </c>
      <c r="L27" s="7" t="n">
        <v>0</v>
      </c>
    </row>
    <row r="28" customFormat="false" ht="15" hidden="false" customHeight="false" outlineLevel="0" collapsed="false">
      <c r="A28" s="7" t="s">
        <v>77</v>
      </c>
      <c r="B28" s="7" t="s">
        <v>101</v>
      </c>
      <c r="C28" s="7" t="s">
        <v>102</v>
      </c>
      <c r="D28" s="7" t="s">
        <v>103</v>
      </c>
      <c r="E28" s="7" t="n">
        <v>5</v>
      </c>
      <c r="F28" s="7" t="n">
        <v>18241</v>
      </c>
      <c r="G28" s="7" t="n">
        <v>42539407</v>
      </c>
      <c r="H28" s="7" t="n">
        <v>0.9962</v>
      </c>
      <c r="I28" s="7" t="n">
        <v>-284034258</v>
      </c>
      <c r="J28" s="7" t="n">
        <v>-86.97</v>
      </c>
      <c r="K28" s="7" t="s">
        <v>107</v>
      </c>
      <c r="L28" s="7" t="n">
        <v>0.0499999992</v>
      </c>
    </row>
    <row r="29" customFormat="false" ht="15" hidden="false" customHeight="false" outlineLevel="0" collapsed="false">
      <c r="A29" s="7" t="s">
        <v>77</v>
      </c>
      <c r="B29" s="7" t="s">
        <v>105</v>
      </c>
      <c r="C29" s="7" t="s">
        <v>106</v>
      </c>
      <c r="D29" s="7" t="s">
        <v>98</v>
      </c>
      <c r="E29" s="7" t="n">
        <v>5</v>
      </c>
      <c r="F29" s="7" t="n">
        <v>18241</v>
      </c>
      <c r="G29" s="7" t="n">
        <v>149623209</v>
      </c>
      <c r="H29" s="7" t="n">
        <v>3.5041</v>
      </c>
      <c r="I29" s="7" t="n">
        <v>0</v>
      </c>
      <c r="J29" s="7" t="n">
        <v>0</v>
      </c>
      <c r="K29" s="7" t="s">
        <v>99</v>
      </c>
      <c r="L29" s="7" t="n">
        <v>0</v>
      </c>
    </row>
    <row r="30" customFormat="false" ht="15" hidden="false" customHeight="false" outlineLevel="0" collapsed="false">
      <c r="A30" s="7" t="s">
        <v>77</v>
      </c>
      <c r="B30" s="7" t="s">
        <v>96</v>
      </c>
      <c r="C30" s="7" t="s">
        <v>97</v>
      </c>
      <c r="D30" s="7" t="s">
        <v>98</v>
      </c>
      <c r="E30" s="7" t="n">
        <v>10</v>
      </c>
      <c r="F30" s="7" t="n">
        <v>18241</v>
      </c>
      <c r="G30" s="7" t="n">
        <v>144297189</v>
      </c>
      <c r="H30" s="7" t="n">
        <v>3.3793</v>
      </c>
      <c r="I30" s="7" t="n">
        <v>0</v>
      </c>
      <c r="J30" s="7" t="n">
        <v>0</v>
      </c>
      <c r="K30" s="7" t="s">
        <v>99</v>
      </c>
      <c r="L30" s="7" t="n">
        <v>0</v>
      </c>
    </row>
    <row r="31" customFormat="false" ht="15" hidden="false" customHeight="false" outlineLevel="0" collapsed="false">
      <c r="A31" s="7" t="s">
        <v>77</v>
      </c>
      <c r="B31" s="7" t="s">
        <v>100</v>
      </c>
      <c r="C31" s="7" t="s">
        <v>97</v>
      </c>
      <c r="D31" s="7" t="s">
        <v>98</v>
      </c>
      <c r="E31" s="7" t="n">
        <v>10</v>
      </c>
      <c r="F31" s="7" t="n">
        <v>18241</v>
      </c>
      <c r="G31" s="7" t="n">
        <v>16197189</v>
      </c>
      <c r="H31" s="7" t="n">
        <v>0.3793</v>
      </c>
      <c r="I31" s="7" t="n">
        <v>0</v>
      </c>
      <c r="J31" s="7" t="n">
        <v>0</v>
      </c>
      <c r="K31" s="7" t="s">
        <v>99</v>
      </c>
      <c r="L31" s="7" t="n">
        <v>0</v>
      </c>
    </row>
    <row r="32" customFormat="false" ht="15" hidden="false" customHeight="false" outlineLevel="0" collapsed="false">
      <c r="A32" s="7" t="s">
        <v>77</v>
      </c>
      <c r="B32" s="7" t="s">
        <v>101</v>
      </c>
      <c r="C32" s="7" t="s">
        <v>102</v>
      </c>
      <c r="D32" s="7" t="s">
        <v>103</v>
      </c>
      <c r="E32" s="7" t="n">
        <v>10</v>
      </c>
      <c r="F32" s="7" t="n">
        <v>18241</v>
      </c>
      <c r="G32" s="7" t="n">
        <v>33928095</v>
      </c>
      <c r="H32" s="7" t="n">
        <v>0.7946</v>
      </c>
      <c r="I32" s="7" t="n">
        <v>-292645570</v>
      </c>
      <c r="J32" s="7" t="n">
        <v>-89.61</v>
      </c>
      <c r="K32" s="7" t="s">
        <v>107</v>
      </c>
      <c r="L32" s="7" t="n">
        <v>0.0999999948</v>
      </c>
    </row>
    <row r="33" customFormat="false" ht="15" hidden="false" customHeight="false" outlineLevel="0" collapsed="false">
      <c r="A33" s="7" t="s">
        <v>77</v>
      </c>
      <c r="B33" s="7" t="s">
        <v>105</v>
      </c>
      <c r="C33" s="7" t="s">
        <v>106</v>
      </c>
      <c r="D33" s="7" t="s">
        <v>98</v>
      </c>
      <c r="E33" s="7" t="n">
        <v>10</v>
      </c>
      <c r="F33" s="7" t="n">
        <v>18241</v>
      </c>
      <c r="G33" s="7" t="n">
        <v>149623209</v>
      </c>
      <c r="H33" s="7" t="n">
        <v>3.5041</v>
      </c>
      <c r="I33" s="7" t="n">
        <v>0</v>
      </c>
      <c r="J33" s="7" t="n">
        <v>0</v>
      </c>
      <c r="K33" s="7" t="s">
        <v>99</v>
      </c>
      <c r="L33" s="7" t="n">
        <v>0</v>
      </c>
    </row>
    <row r="34" customFormat="false" ht="15" hidden="false" customHeight="false" outlineLevel="0" collapsed="false">
      <c r="A34" s="7" t="s">
        <v>77</v>
      </c>
      <c r="B34" s="7" t="s">
        <v>96</v>
      </c>
      <c r="C34" s="7" t="s">
        <v>97</v>
      </c>
      <c r="D34" s="7" t="s">
        <v>98</v>
      </c>
      <c r="E34" s="7" t="n">
        <v>20</v>
      </c>
      <c r="F34" s="7" t="n">
        <v>18241</v>
      </c>
      <c r="G34" s="7" t="n">
        <v>144297189</v>
      </c>
      <c r="H34" s="7" t="n">
        <v>3.3793</v>
      </c>
      <c r="I34" s="7" t="n">
        <v>0</v>
      </c>
      <c r="J34" s="7" t="n">
        <v>0</v>
      </c>
      <c r="K34" s="7" t="s">
        <v>99</v>
      </c>
      <c r="L34" s="7" t="n">
        <v>0</v>
      </c>
    </row>
    <row r="35" customFormat="false" ht="15" hidden="false" customHeight="false" outlineLevel="0" collapsed="false">
      <c r="A35" s="7" t="s">
        <v>77</v>
      </c>
      <c r="B35" s="7" t="s">
        <v>100</v>
      </c>
      <c r="C35" s="7" t="s">
        <v>97</v>
      </c>
      <c r="D35" s="7" t="s">
        <v>98</v>
      </c>
      <c r="E35" s="7" t="n">
        <v>20</v>
      </c>
      <c r="F35" s="7" t="n">
        <v>18241</v>
      </c>
      <c r="G35" s="7" t="n">
        <v>16197189</v>
      </c>
      <c r="H35" s="7" t="n">
        <v>0.3793</v>
      </c>
      <c r="I35" s="7" t="n">
        <v>0</v>
      </c>
      <c r="J35" s="7" t="n">
        <v>0</v>
      </c>
      <c r="K35" s="7" t="s">
        <v>99</v>
      </c>
      <c r="L35" s="7" t="n">
        <v>0</v>
      </c>
    </row>
    <row r="36" customFormat="false" ht="15" hidden="false" customHeight="false" outlineLevel="0" collapsed="false">
      <c r="A36" s="7" t="s">
        <v>77</v>
      </c>
      <c r="B36" s="7" t="s">
        <v>101</v>
      </c>
      <c r="C36" s="7" t="s">
        <v>102</v>
      </c>
      <c r="D36" s="7" t="s">
        <v>103</v>
      </c>
      <c r="E36" s="7" t="n">
        <v>20</v>
      </c>
      <c r="F36" s="7" t="n">
        <v>18241</v>
      </c>
      <c r="G36" s="7" t="n">
        <v>30385718</v>
      </c>
      <c r="H36" s="7" t="n">
        <v>0.7116</v>
      </c>
      <c r="I36" s="7" t="n">
        <v>-296187947</v>
      </c>
      <c r="J36" s="7" t="n">
        <v>-90.7</v>
      </c>
      <c r="K36" s="7" t="s">
        <v>107</v>
      </c>
      <c r="L36" s="7" t="n">
        <v>0.199999992</v>
      </c>
    </row>
    <row r="37" customFormat="false" ht="15" hidden="false" customHeight="false" outlineLevel="0" collapsed="false">
      <c r="A37" s="7" t="s">
        <v>77</v>
      </c>
      <c r="B37" s="7" t="s">
        <v>105</v>
      </c>
      <c r="C37" s="7" t="s">
        <v>106</v>
      </c>
      <c r="D37" s="7" t="s">
        <v>98</v>
      </c>
      <c r="E37" s="7" t="n">
        <v>20</v>
      </c>
      <c r="F37" s="7" t="n">
        <v>18241</v>
      </c>
      <c r="G37" s="7" t="n">
        <v>149623209</v>
      </c>
      <c r="H37" s="7" t="n">
        <v>3.5041</v>
      </c>
      <c r="I37" s="7" t="n">
        <v>0</v>
      </c>
      <c r="J37" s="7" t="n">
        <v>0</v>
      </c>
      <c r="K37" s="7" t="s">
        <v>99</v>
      </c>
      <c r="L37" s="7"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3" min="2" style="0" width="13"/>
  </cols>
  <sheetData>
    <row r="1" customFormat="false" ht="15" hidden="false" customHeight="false" outlineLevel="0" collapsed="false">
      <c r="A1" s="6" t="s">
        <v>41</v>
      </c>
      <c r="B1" s="6" t="s">
        <v>86</v>
      </c>
      <c r="C1" s="6" t="s">
        <v>45</v>
      </c>
      <c r="D1" s="6" t="s">
        <v>47</v>
      </c>
      <c r="E1" s="6" t="s">
        <v>89</v>
      </c>
      <c r="F1" s="6" t="s">
        <v>108</v>
      </c>
      <c r="G1" s="6" t="s">
        <v>109</v>
      </c>
      <c r="H1" s="6" t="s">
        <v>110</v>
      </c>
      <c r="I1" s="6" t="s">
        <v>111</v>
      </c>
      <c r="J1" s="6" t="s">
        <v>112</v>
      </c>
      <c r="K1" s="6" t="s">
        <v>113</v>
      </c>
      <c r="L1" s="6" t="s">
        <v>114</v>
      </c>
      <c r="M1" s="6" t="s">
        <v>115</v>
      </c>
      <c r="N1" s="6" t="s">
        <v>116</v>
      </c>
      <c r="O1" s="6" t="s">
        <v>117</v>
      </c>
      <c r="P1" s="6" t="s">
        <v>118</v>
      </c>
      <c r="Q1" s="6" t="s">
        <v>119</v>
      </c>
      <c r="R1" s="6" t="s">
        <v>120</v>
      </c>
      <c r="S1" s="6" t="s">
        <v>121</v>
      </c>
      <c r="T1" s="6" t="s">
        <v>122</v>
      </c>
      <c r="U1" s="6" t="s">
        <v>123</v>
      </c>
      <c r="V1" s="6" t="s">
        <v>124</v>
      </c>
      <c r="W1" s="6" t="s">
        <v>125</v>
      </c>
    </row>
    <row r="2" customFormat="false" ht="15" hidden="false" customHeight="false" outlineLevel="0" collapsed="false">
      <c r="A2" s="7" t="s">
        <v>77</v>
      </c>
      <c r="B2" s="7" t="s">
        <v>101</v>
      </c>
      <c r="C2" s="7" t="n">
        <v>0</v>
      </c>
      <c r="D2" s="7" t="n">
        <v>42700000</v>
      </c>
      <c r="E2" s="7" t="n">
        <v>18241</v>
      </c>
      <c r="F2" s="7" t="n">
        <v>341600000</v>
      </c>
      <c r="G2" s="7" t="n">
        <v>64</v>
      </c>
      <c r="H2" s="7" t="n">
        <v>341271662</v>
      </c>
      <c r="I2" s="7" t="n">
        <v>63.9385</v>
      </c>
      <c r="J2" s="7" t="n">
        <v>1.001</v>
      </c>
      <c r="K2" s="7" t="n">
        <v>328338</v>
      </c>
      <c r="L2" s="7" t="n">
        <v>341600000</v>
      </c>
      <c r="M2" s="7" t="n">
        <v>64</v>
      </c>
      <c r="N2" s="7" t="n">
        <v>1</v>
      </c>
      <c r="O2" s="7" t="n">
        <v>321229325</v>
      </c>
      <c r="P2" s="7" t="n">
        <v>60.1835</v>
      </c>
      <c r="Q2" s="7" t="n">
        <v>1.0634</v>
      </c>
      <c r="R2" s="7" t="n">
        <v>20370675</v>
      </c>
      <c r="S2" s="7" t="n">
        <v>5.963</v>
      </c>
      <c r="T2" s="7" t="n">
        <v>18241</v>
      </c>
      <c r="U2" s="7" t="n">
        <v>1</v>
      </c>
      <c r="V2" s="7" t="n">
        <v>1</v>
      </c>
      <c r="W2" s="7" t="n">
        <v>1.0634</v>
      </c>
    </row>
    <row r="3" customFormat="false" ht="15" hidden="false" customHeight="false" outlineLevel="0" collapsed="false">
      <c r="A3" s="7" t="s">
        <v>77</v>
      </c>
      <c r="B3" s="7" t="s">
        <v>101</v>
      </c>
      <c r="C3" s="7" t="n">
        <v>0.01</v>
      </c>
      <c r="D3" s="7" t="n">
        <v>42700000</v>
      </c>
      <c r="E3" s="7" t="n">
        <v>18241</v>
      </c>
      <c r="F3" s="7" t="n">
        <v>341600000</v>
      </c>
      <c r="G3" s="7" t="n">
        <v>64</v>
      </c>
      <c r="H3" s="7" t="n">
        <v>85234514</v>
      </c>
      <c r="I3" s="7" t="n">
        <v>15.969</v>
      </c>
      <c r="J3" s="7" t="n">
        <v>4.0078</v>
      </c>
      <c r="K3" s="7" t="n">
        <v>328338</v>
      </c>
      <c r="L3" s="7" t="n">
        <v>85562852</v>
      </c>
      <c r="M3" s="7" t="n">
        <v>16.0305</v>
      </c>
      <c r="N3" s="7" t="n">
        <v>3.9924</v>
      </c>
      <c r="O3" s="7" t="n">
        <v>81041305</v>
      </c>
      <c r="P3" s="7" t="n">
        <v>15.1834</v>
      </c>
      <c r="Q3" s="7" t="n">
        <v>4.2151</v>
      </c>
      <c r="R3" s="7" t="n">
        <v>4521547</v>
      </c>
      <c r="S3" s="7" t="n">
        <v>5.284</v>
      </c>
      <c r="T3" s="7" t="n">
        <v>17517</v>
      </c>
      <c r="U3" s="7" t="n">
        <v>0.9603</v>
      </c>
      <c r="V3" s="7" t="n">
        <v>3.9924</v>
      </c>
      <c r="W3" s="7" t="n">
        <v>1.0558</v>
      </c>
    </row>
    <row r="4" customFormat="false" ht="15" hidden="false" customHeight="false" outlineLevel="0" collapsed="false">
      <c r="A4" s="7" t="s">
        <v>77</v>
      </c>
      <c r="B4" s="7" t="s">
        <v>101</v>
      </c>
      <c r="C4" s="7" t="n">
        <v>0.1</v>
      </c>
      <c r="D4" s="7" t="n">
        <v>42700000</v>
      </c>
      <c r="E4" s="7" t="n">
        <v>18241</v>
      </c>
      <c r="F4" s="7" t="n">
        <v>341600000</v>
      </c>
      <c r="G4" s="7" t="n">
        <v>64</v>
      </c>
      <c r="H4" s="7" t="n">
        <v>66595030</v>
      </c>
      <c r="I4" s="7" t="n">
        <v>12.4768</v>
      </c>
      <c r="J4" s="7" t="n">
        <v>5.1295</v>
      </c>
      <c r="K4" s="7" t="n">
        <v>328338</v>
      </c>
      <c r="L4" s="7" t="n">
        <v>66923368</v>
      </c>
      <c r="M4" s="7" t="n">
        <v>12.5383</v>
      </c>
      <c r="N4" s="7" t="n">
        <v>5.1043</v>
      </c>
      <c r="O4" s="7" t="n">
        <v>66193137</v>
      </c>
      <c r="P4" s="7" t="n">
        <v>12.4015</v>
      </c>
      <c r="Q4" s="7" t="n">
        <v>5.1607</v>
      </c>
      <c r="R4" s="7" t="n">
        <v>730231</v>
      </c>
      <c r="S4" s="7" t="n">
        <v>1.091</v>
      </c>
      <c r="T4" s="7" t="n">
        <v>9573</v>
      </c>
      <c r="U4" s="7" t="n">
        <v>0.5248</v>
      </c>
      <c r="V4" s="7" t="n">
        <v>5.1043</v>
      </c>
      <c r="W4" s="7" t="n">
        <v>1.011</v>
      </c>
    </row>
    <row r="5" customFormat="false" ht="15" hidden="false" customHeight="false" outlineLevel="0" collapsed="false">
      <c r="A5" s="7" t="s">
        <v>77</v>
      </c>
      <c r="B5" s="7" t="s">
        <v>101</v>
      </c>
      <c r="C5" s="7" t="n">
        <v>0.5</v>
      </c>
      <c r="D5" s="7" t="n">
        <v>42700000</v>
      </c>
      <c r="E5" s="7" t="n">
        <v>18241</v>
      </c>
      <c r="F5" s="7" t="n">
        <v>341600000</v>
      </c>
      <c r="G5" s="7" t="n">
        <v>64</v>
      </c>
      <c r="H5" s="7" t="n">
        <v>53828432</v>
      </c>
      <c r="I5" s="7" t="n">
        <v>10.085</v>
      </c>
      <c r="J5" s="7" t="n">
        <v>6.3461</v>
      </c>
      <c r="K5" s="7" t="n">
        <v>328338</v>
      </c>
      <c r="L5" s="7" t="n">
        <v>54156770</v>
      </c>
      <c r="M5" s="7" t="n">
        <v>10.1465</v>
      </c>
      <c r="N5" s="7" t="n">
        <v>6.3076</v>
      </c>
      <c r="O5" s="7" t="n">
        <v>53564603</v>
      </c>
      <c r="P5" s="7" t="n">
        <v>10.0355</v>
      </c>
      <c r="Q5" s="7" t="n">
        <v>6.3773</v>
      </c>
      <c r="R5" s="7" t="n">
        <v>592167</v>
      </c>
      <c r="S5" s="7" t="n">
        <v>1.093</v>
      </c>
      <c r="T5" s="7" t="n">
        <v>8159</v>
      </c>
      <c r="U5" s="7" t="n">
        <v>0.4473</v>
      </c>
      <c r="V5" s="7" t="n">
        <v>6.3076</v>
      </c>
      <c r="W5" s="7" t="n">
        <v>1.0111</v>
      </c>
    </row>
    <row r="6" customFormat="false" ht="15" hidden="false" customHeight="false" outlineLevel="0" collapsed="false">
      <c r="A6" s="7" t="s">
        <v>77</v>
      </c>
      <c r="B6" s="7" t="s">
        <v>101</v>
      </c>
      <c r="C6" s="7" t="n">
        <v>1</v>
      </c>
      <c r="D6" s="7" t="n">
        <v>42700000</v>
      </c>
      <c r="E6" s="7" t="n">
        <v>18241</v>
      </c>
      <c r="F6" s="7" t="n">
        <v>341600000</v>
      </c>
      <c r="G6" s="7" t="n">
        <v>64</v>
      </c>
      <c r="H6" s="7" t="n">
        <v>48500834</v>
      </c>
      <c r="I6" s="7" t="n">
        <v>9.0868</v>
      </c>
      <c r="J6" s="7" t="n">
        <v>7.0432</v>
      </c>
      <c r="K6" s="7" t="n">
        <v>328338</v>
      </c>
      <c r="L6" s="7" t="n">
        <v>48829172</v>
      </c>
      <c r="M6" s="7" t="n">
        <v>9.1483</v>
      </c>
      <c r="N6" s="7" t="n">
        <v>6.9958</v>
      </c>
      <c r="O6" s="7" t="n">
        <v>48616972</v>
      </c>
      <c r="P6" s="7" t="n">
        <v>9.1086</v>
      </c>
      <c r="Q6" s="7" t="n">
        <v>7.0264</v>
      </c>
      <c r="R6" s="7" t="n">
        <v>212200</v>
      </c>
      <c r="S6" s="7" t="n">
        <v>0.435</v>
      </c>
      <c r="T6" s="7" t="n">
        <v>2339</v>
      </c>
      <c r="U6" s="7" t="n">
        <v>0.1282</v>
      </c>
      <c r="V6" s="7" t="n">
        <v>6.9958</v>
      </c>
      <c r="W6" s="7" t="n">
        <v>1.0044</v>
      </c>
    </row>
    <row r="7" customFormat="false" ht="15" hidden="false" customHeight="false" outlineLevel="0" collapsed="false">
      <c r="A7" s="7" t="s">
        <v>77</v>
      </c>
      <c r="B7" s="7" t="s">
        <v>101</v>
      </c>
      <c r="C7" s="7" t="n">
        <v>2</v>
      </c>
      <c r="D7" s="7" t="n">
        <v>42700000</v>
      </c>
      <c r="E7" s="7" t="n">
        <v>18241</v>
      </c>
      <c r="F7" s="7" t="n">
        <v>341600000</v>
      </c>
      <c r="G7" s="7" t="n">
        <v>64</v>
      </c>
      <c r="H7" s="7" t="n">
        <v>43182864</v>
      </c>
      <c r="I7" s="7" t="n">
        <v>8.0905</v>
      </c>
      <c r="J7" s="7" t="n">
        <v>7.9105</v>
      </c>
      <c r="K7" s="7" t="n">
        <v>328338</v>
      </c>
      <c r="L7" s="7" t="n">
        <v>43511202</v>
      </c>
      <c r="M7" s="7" t="n">
        <v>8.152</v>
      </c>
      <c r="N7" s="7" t="n">
        <v>7.8509</v>
      </c>
      <c r="O7" s="7" t="n">
        <v>36004290</v>
      </c>
      <c r="P7" s="7" t="n">
        <v>6.7455</v>
      </c>
      <c r="Q7" s="7" t="n">
        <v>9.4878</v>
      </c>
      <c r="R7" s="7" t="n">
        <v>7506912</v>
      </c>
      <c r="S7" s="7" t="n">
        <v>17.253</v>
      </c>
      <c r="T7" s="7" t="n">
        <v>16654</v>
      </c>
      <c r="U7" s="7" t="n">
        <v>0.913</v>
      </c>
      <c r="V7" s="7" t="n">
        <v>7.8509</v>
      </c>
      <c r="W7" s="7" t="n">
        <v>1.2085</v>
      </c>
    </row>
    <row r="8" customFormat="false" ht="15" hidden="false" customHeight="false" outlineLevel="0" collapsed="false">
      <c r="A8" s="7" t="s">
        <v>77</v>
      </c>
      <c r="B8" s="7" t="s">
        <v>101</v>
      </c>
      <c r="C8" s="7" t="n">
        <v>5</v>
      </c>
      <c r="D8" s="7" t="n">
        <v>42700000</v>
      </c>
      <c r="E8" s="7" t="n">
        <v>18241</v>
      </c>
      <c r="F8" s="7" t="n">
        <v>341600000</v>
      </c>
      <c r="G8" s="7" t="n">
        <v>64</v>
      </c>
      <c r="H8" s="7" t="n">
        <v>37377846</v>
      </c>
      <c r="I8" s="7" t="n">
        <v>7.0029</v>
      </c>
      <c r="J8" s="7" t="n">
        <v>9.1391</v>
      </c>
      <c r="K8" s="7" t="n">
        <v>328338</v>
      </c>
      <c r="L8" s="7" t="n">
        <v>37706184</v>
      </c>
      <c r="M8" s="7" t="n">
        <v>7.0644</v>
      </c>
      <c r="N8" s="7" t="n">
        <v>9.0595</v>
      </c>
      <c r="O8" s="7" t="n">
        <v>37195067</v>
      </c>
      <c r="P8" s="7" t="n">
        <v>6.9686</v>
      </c>
      <c r="Q8" s="7" t="n">
        <v>9.184</v>
      </c>
      <c r="R8" s="7" t="n">
        <v>511117</v>
      </c>
      <c r="S8" s="7" t="n">
        <v>1.356</v>
      </c>
      <c r="T8" s="7" t="n">
        <v>7141</v>
      </c>
      <c r="U8" s="7" t="n">
        <v>0.3915</v>
      </c>
      <c r="V8" s="7" t="n">
        <v>9.0595</v>
      </c>
      <c r="W8" s="7" t="n">
        <v>1.0137</v>
      </c>
    </row>
    <row r="9" customFormat="false" ht="15" hidden="false" customHeight="false" outlineLevel="0" collapsed="false">
      <c r="A9" s="7" t="s">
        <v>77</v>
      </c>
      <c r="B9" s="7" t="s">
        <v>101</v>
      </c>
      <c r="C9" s="7" t="n">
        <v>10</v>
      </c>
      <c r="D9" s="7" t="n">
        <v>42700000</v>
      </c>
      <c r="E9" s="7" t="n">
        <v>18241</v>
      </c>
      <c r="F9" s="7" t="n">
        <v>341600000</v>
      </c>
      <c r="G9" s="7" t="n">
        <v>64</v>
      </c>
      <c r="H9" s="7" t="n">
        <v>32080591</v>
      </c>
      <c r="I9" s="7" t="n">
        <v>6.0104</v>
      </c>
      <c r="J9" s="7" t="n">
        <v>10.6482</v>
      </c>
      <c r="K9" s="7" t="n">
        <v>328338</v>
      </c>
      <c r="L9" s="7" t="n">
        <v>32408929</v>
      </c>
      <c r="M9" s="7" t="n">
        <v>6.0719</v>
      </c>
      <c r="N9" s="7" t="n">
        <v>10.5403</v>
      </c>
      <c r="O9" s="7" t="n">
        <v>28583755</v>
      </c>
      <c r="P9" s="7" t="n">
        <v>5.3553</v>
      </c>
      <c r="Q9" s="7" t="n">
        <v>11.9508</v>
      </c>
      <c r="R9" s="7" t="n">
        <v>3825174</v>
      </c>
      <c r="S9" s="7" t="n">
        <v>11.803</v>
      </c>
      <c r="T9" s="7" t="n">
        <v>18240</v>
      </c>
      <c r="U9" s="7" t="n">
        <v>0.9999</v>
      </c>
      <c r="V9" s="7" t="n">
        <v>10.5403</v>
      </c>
      <c r="W9" s="7" t="n">
        <v>1.1338</v>
      </c>
    </row>
    <row r="10" customFormat="false" ht="15" hidden="false" customHeight="false" outlineLevel="0" collapsed="false">
      <c r="A10" s="7" t="s">
        <v>77</v>
      </c>
      <c r="B10" s="7" t="s">
        <v>101</v>
      </c>
      <c r="C10" s="7" t="n">
        <v>20</v>
      </c>
      <c r="D10" s="7" t="n">
        <v>42700000</v>
      </c>
      <c r="E10" s="7" t="n">
        <v>18241</v>
      </c>
      <c r="F10" s="7" t="n">
        <v>341600000</v>
      </c>
      <c r="G10" s="7" t="n">
        <v>64</v>
      </c>
      <c r="H10" s="7" t="n">
        <v>26828141</v>
      </c>
      <c r="I10" s="7" t="n">
        <v>5.0263</v>
      </c>
      <c r="J10" s="7" t="n">
        <v>12.7329</v>
      </c>
      <c r="K10" s="7" t="n">
        <v>328338</v>
      </c>
      <c r="L10" s="7" t="n">
        <v>27156479</v>
      </c>
      <c r="M10" s="7" t="n">
        <v>5.0879</v>
      </c>
      <c r="N10" s="7" t="n">
        <v>12.579</v>
      </c>
      <c r="O10" s="7" t="n">
        <v>25041378</v>
      </c>
      <c r="P10" s="7" t="n">
        <v>4.6916</v>
      </c>
      <c r="Q10" s="7" t="n">
        <v>13.6414</v>
      </c>
      <c r="R10" s="7" t="n">
        <v>2115101</v>
      </c>
      <c r="S10" s="7" t="n">
        <v>7.789</v>
      </c>
      <c r="T10" s="7" t="n">
        <v>18240</v>
      </c>
      <c r="U10" s="7" t="n">
        <v>0.9999</v>
      </c>
      <c r="V10" s="7" t="n">
        <v>12.579</v>
      </c>
      <c r="W10" s="7" t="n">
        <v>1.0845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5" min="2" style="0" width="12"/>
  </cols>
  <sheetData>
    <row r="1" customFormat="false" ht="15" hidden="false" customHeight="false" outlineLevel="0" collapsed="false">
      <c r="A1" s="8" t="s">
        <v>126</v>
      </c>
    </row>
    <row r="2" customFormat="false" ht="15" hidden="false" customHeight="false" outlineLevel="0" collapsed="false">
      <c r="A2" s="2" t="s">
        <v>127</v>
      </c>
    </row>
    <row r="4" customFormat="false" ht="15" hidden="false" customHeight="false" outlineLevel="0" collapsed="false">
      <c r="A4" s="3" t="s">
        <v>128</v>
      </c>
      <c r="B4" s="4"/>
      <c r="C4" s="4"/>
      <c r="D4" s="4"/>
      <c r="E4" s="4"/>
    </row>
    <row r="5" customFormat="false" ht="15" hidden="false" customHeight="false" outlineLevel="0" collapsed="false">
      <c r="A5" s="2" t="s">
        <v>129</v>
      </c>
    </row>
    <row r="6" customFormat="false" ht="15" hidden="false" customHeight="false" outlineLevel="0" collapsed="false">
      <c r="A6" s="6" t="s">
        <v>130</v>
      </c>
      <c r="B6" s="6" t="s">
        <v>131</v>
      </c>
      <c r="C6" s="6" t="s">
        <v>132</v>
      </c>
      <c r="D6" s="6" t="s">
        <v>133</v>
      </c>
      <c r="E6" s="6" t="s">
        <v>134</v>
      </c>
    </row>
    <row r="7" customFormat="false" ht="15" hidden="false" customHeight="false" outlineLevel="0" collapsed="false">
      <c r="A7" s="7" t="s">
        <v>82</v>
      </c>
      <c r="B7" s="9" t="n">
        <f aca="false">SUMIFS(Standalone!$P:$P,Standalone!$C:$C,"FileStore",Standalone!$E:$E,"",Standalone!$F:$F,256)</f>
        <v>1</v>
      </c>
      <c r="C7" s="9" t="n">
        <f aca="false">SUMIFS(Standalone!$P:$P,Standalone!$C:$C,"FileStore",Standalone!$E:$E,"",Standalone!$F:$F,1024)</f>
        <v>1</v>
      </c>
      <c r="D7" s="9" t="n">
        <f aca="false">SUMIFS(Standalone!$P:$P,Standalone!$C:$C,"FileStore",Standalone!$E:$E,"",Standalone!$F:$F,4096)</f>
        <v>1</v>
      </c>
      <c r="E7" s="9" t="n">
        <f aca="false">SUMIFS(Standalone!$P:$P,Standalone!$C:$C,"FileStore",Standalone!$E:$E,"",Standalone!$F:$F,16384)</f>
        <v>1</v>
      </c>
    </row>
    <row r="8" customFormat="false" ht="15" hidden="false" customHeight="false" outlineLevel="0" collapsed="false">
      <c r="A8" s="7" t="s">
        <v>79</v>
      </c>
      <c r="B8" s="9" t="n">
        <f aca="false">SUMIFS(Standalone!$P:$P,Standalone!$C:$C,"CompressedStore",Standalone!$E:$E,"",Standalone!$F:$F,256)</f>
        <v>1.6504</v>
      </c>
      <c r="C8" s="9" t="n">
        <f aca="false">SUMIFS(Standalone!$P:$P,Standalone!$C:$C,"CompressedStore",Standalone!$E:$E,"",Standalone!$F:$F,1024)</f>
        <v>1.6517</v>
      </c>
      <c r="D8" s="9" t="n">
        <f aca="false">SUMIFS(Standalone!$P:$P,Standalone!$C:$C,"CompressedStore",Standalone!$E:$E,"",Standalone!$F:$F,4096)</f>
        <v>1.6519</v>
      </c>
      <c r="E8" s="9" t="n">
        <f aca="false">SUMIFS(Standalone!$P:$P,Standalone!$C:$C,"CompressedStore",Standalone!$E:$E,"",Standalone!$F:$F,16384)</f>
        <v>1.652</v>
      </c>
    </row>
    <row r="9" customFormat="false" ht="15" hidden="false" customHeight="false" outlineLevel="0" collapsed="false">
      <c r="A9" s="7" t="s">
        <v>135</v>
      </c>
      <c r="B9" s="9" t="n">
        <f aca="false">SUMIFS(Standalone!$P:$P,Standalone!$C:$C,"LossyStore",Standalone!$E:$E,"",Standalone!$F:$F,256)</f>
        <v>1.8617</v>
      </c>
      <c r="C9" s="9" t="n">
        <f aca="false">SUMIFS(Standalone!$P:$P,Standalone!$C:$C,"LossyStore",Standalone!$E:$E,"",Standalone!$F:$F,1024)</f>
        <v>1.8687</v>
      </c>
      <c r="D9" s="9" t="n">
        <f aca="false">SUMIFS(Standalone!$P:$P,Standalone!$C:$C,"LossyStore",Standalone!$E:$E,"",Standalone!$F:$F,4096)</f>
        <v>1.8506</v>
      </c>
      <c r="E9" s="9" t="n">
        <f aca="false">SUMIFS(Standalone!$P:$P,Standalone!$C:$C,"LossyStore",Standalone!$E:$E,"",Standalone!$F:$F,16384)</f>
        <v>1.835</v>
      </c>
    </row>
    <row r="10" customFormat="false" ht="15" hidden="false" customHeight="false" outlineLevel="0" collapsed="false">
      <c r="A10" s="7" t="s">
        <v>136</v>
      </c>
      <c r="B10" s="9" t="n">
        <f aca="false">SUMIFS(Standalone!$P:$P,Standalone!$C:$C,"LossyStore",Standalone!$E:$E,0.1,Standalone!$F:$F,256)</f>
        <v>3.0306</v>
      </c>
      <c r="C10" s="9" t="n">
        <f aca="false">SUMIFS(Standalone!$P:$P,Standalone!$C:$C,"LossyStore",Standalone!$E:$E,0.1,Standalone!$F:$F,1024)</f>
        <v>2.9498</v>
      </c>
      <c r="D10" s="9" t="n">
        <f aca="false">SUMIFS(Standalone!$P:$P,Standalone!$C:$C,"LossyStore",Standalone!$E:$E,0.1,Standalone!$F:$F,4096)</f>
        <v>2.876</v>
      </c>
      <c r="E10" s="9" t="n">
        <f aca="false">SUMIFS(Standalone!$P:$P,Standalone!$C:$C,"LossyStore",Standalone!$E:$E,0.1,Standalone!$F:$F,16384)</f>
        <v>2.8283</v>
      </c>
    </row>
    <row r="11" customFormat="false" ht="15" hidden="false" customHeight="false" outlineLevel="0" collapsed="false">
      <c r="A11" s="7" t="s">
        <v>137</v>
      </c>
      <c r="B11" s="9" t="n">
        <f aca="false">SUMIFS(Standalone!$P:$P,Standalone!$C:$C,"LossyStore",Standalone!$E:$E,1,Standalone!$F:$F,256)</f>
        <v>3.1981</v>
      </c>
      <c r="C11" s="9" t="n">
        <f aca="false">SUMIFS(Standalone!$P:$P,Standalone!$C:$C,"LossyStore",Standalone!$E:$E,1,Standalone!$F:$F,1024)</f>
        <v>3.1034</v>
      </c>
      <c r="D11" s="9" t="n">
        <f aca="false">SUMIFS(Standalone!$P:$P,Standalone!$C:$C,"LossyStore",Standalone!$E:$E,1,Standalone!$F:$F,4096)</f>
        <v>3.0161</v>
      </c>
      <c r="E11" s="9" t="n">
        <f aca="false">SUMIFS(Standalone!$P:$P,Standalone!$C:$C,"LossyStore",Standalone!$E:$E,1,Standalone!$F:$F,16384)</f>
        <v>2.9722</v>
      </c>
    </row>
    <row r="12" customFormat="false" ht="15" hidden="false" customHeight="false" outlineLevel="0" collapsed="false">
      <c r="A12" s="7" t="s">
        <v>138</v>
      </c>
      <c r="B12" s="9" t="n">
        <f aca="false">SUMIFS(Standalone!$P:$P,Standalone!$C:$C,"LossyStore",Standalone!$E:$E,5,Standalone!$F:$F,256)</f>
        <v>3.3119</v>
      </c>
      <c r="C12" s="9" t="n">
        <f aca="false">SUMIFS(Standalone!$P:$P,Standalone!$C:$C,"LossyStore",Standalone!$E:$E,5,Standalone!$F:$F,1024)</f>
        <v>3.23</v>
      </c>
      <c r="D12" s="9" t="n">
        <f aca="false">SUMIFS(Standalone!$P:$P,Standalone!$C:$C,"LossyStore",Standalone!$E:$E,5,Standalone!$F:$F,4096)</f>
        <v>3.1611</v>
      </c>
      <c r="E12" s="9" t="n">
        <f aca="false">SUMIFS(Standalone!$P:$P,Standalone!$C:$C,"LossyStore",Standalone!$E:$E,5,Standalone!$F:$F,16384)</f>
        <v>3.1397</v>
      </c>
    </row>
    <row r="14" customFormat="false" ht="15" hidden="false" customHeight="false" outlineLevel="0" collapsed="false">
      <c r="A14" s="10" t="s">
        <v>139</v>
      </c>
      <c r="B14" s="2" t="s">
        <v>140</v>
      </c>
    </row>
    <row r="15" customFormat="false" ht="15" hidden="false" customHeight="false" outlineLevel="0" collapsed="false">
      <c r="A15" s="10" t="s">
        <v>141</v>
      </c>
      <c r="B15" s="2" t="s">
        <v>142</v>
      </c>
    </row>
    <row r="17" customFormat="false" ht="15" hidden="false" customHeight="false" outlineLevel="0" collapsed="false">
      <c r="A17" s="3" t="s">
        <v>143</v>
      </c>
      <c r="B17" s="4"/>
      <c r="C17" s="4"/>
      <c r="D17" s="4"/>
      <c r="E17" s="4"/>
    </row>
    <row r="18" customFormat="false" ht="15" hidden="false" customHeight="false" outlineLevel="0" collapsed="false">
      <c r="A18" s="2" t="s">
        <v>144</v>
      </c>
    </row>
    <row r="19" customFormat="false" ht="15" hidden="false" customHeight="false" outlineLevel="0" collapsed="false">
      <c r="A19" s="6" t="s">
        <v>130</v>
      </c>
      <c r="B19" s="6" t="s">
        <v>131</v>
      </c>
      <c r="C19" s="6" t="s">
        <v>132</v>
      </c>
      <c r="D19" s="6" t="s">
        <v>133</v>
      </c>
      <c r="E19" s="6" t="s">
        <v>134</v>
      </c>
    </row>
    <row r="20" customFormat="false" ht="15" hidden="false" customHeight="false" outlineLevel="0" collapsed="false">
      <c r="A20" s="7" t="s">
        <v>82</v>
      </c>
      <c r="B20" s="11" t="n">
        <f aca="false">SUMIFS(Standalone!$Q:$Q,Standalone!$C:$C,"FileStore",Standalone!$E:$E,"",Standalone!$F:$F,256)</f>
        <v>0.9997</v>
      </c>
      <c r="C20" s="11" t="n">
        <f aca="false">SUMIFS(Standalone!$Q:$Q,Standalone!$C:$C,"FileStore",Standalone!$E:$E,"",Standalone!$F:$F,1024)</f>
        <v>0.9999</v>
      </c>
      <c r="D20" s="11" t="n">
        <f aca="false">SUMIFS(Standalone!$Q:$Q,Standalone!$C:$C,"FileStore",Standalone!$E:$E,"",Standalone!$F:$F,4096)</f>
        <v>1</v>
      </c>
      <c r="E20" s="11" t="n">
        <f aca="false">SUMIFS(Standalone!$Q:$Q,Standalone!$C:$C,"FileStore",Standalone!$E:$E,"",Standalone!$F:$F,16384)</f>
        <v>1</v>
      </c>
    </row>
    <row r="21" customFormat="false" ht="15" hidden="false" customHeight="false" outlineLevel="0" collapsed="false">
      <c r="A21" s="7" t="s">
        <v>79</v>
      </c>
      <c r="B21" s="11" t="n">
        <f aca="false">SUMIFS(Standalone!$Q:$Q,Standalone!$C:$C,"CompressedStore",Standalone!$E:$E,"",Standalone!$F:$F,256)</f>
        <v>1.65</v>
      </c>
      <c r="C21" s="11" t="n">
        <f aca="false">SUMIFS(Standalone!$Q:$Q,Standalone!$C:$C,"CompressedStore",Standalone!$E:$E,"",Standalone!$F:$F,1024)</f>
        <v>1.6516</v>
      </c>
      <c r="D21" s="11" t="n">
        <f aca="false">SUMIFS(Standalone!$Q:$Q,Standalone!$C:$C,"CompressedStore",Standalone!$E:$E,"",Standalone!$F:$F,4096)</f>
        <v>1.6519</v>
      </c>
      <c r="E21" s="11" t="n">
        <f aca="false">SUMIFS(Standalone!$Q:$Q,Standalone!$C:$C,"CompressedStore",Standalone!$E:$E,"",Standalone!$F:$F,16384)</f>
        <v>1.652</v>
      </c>
    </row>
    <row r="22" customFormat="false" ht="15" hidden="false" customHeight="false" outlineLevel="0" collapsed="false">
      <c r="A22" s="7" t="s">
        <v>135</v>
      </c>
      <c r="B22" s="11" t="n">
        <f aca="false">SUMIFS(Standalone!$Q:$Q,Standalone!$C:$C,"LossyStore",Standalone!$E:$E,"",Standalone!$F:$F,256)</f>
        <v>1.8586</v>
      </c>
      <c r="C22" s="11" t="n">
        <f aca="false">SUMIFS(Standalone!$Q:$Q,Standalone!$C:$C,"LossyStore",Standalone!$E:$E,"",Standalone!$F:$F,1024)</f>
        <v>1.8679</v>
      </c>
      <c r="D22" s="11" t="n">
        <f aca="false">SUMIFS(Standalone!$Q:$Q,Standalone!$C:$C,"LossyStore",Standalone!$E:$E,"",Standalone!$F:$F,4096)</f>
        <v>1.8505</v>
      </c>
      <c r="E22" s="11" t="n">
        <f aca="false">SUMIFS(Standalone!$Q:$Q,Standalone!$C:$C,"LossyStore",Standalone!$E:$E,"",Standalone!$F:$F,16384)</f>
        <v>1.835</v>
      </c>
    </row>
    <row r="23" customFormat="false" ht="15" hidden="false" customHeight="false" outlineLevel="0" collapsed="false">
      <c r="A23" s="7" t="s">
        <v>136</v>
      </c>
      <c r="B23" s="11" t="n">
        <f aca="false">SUMIFS(Standalone!$Q:$Q,Standalone!$C:$C,"LossyStore",Standalone!$E:$E,0.1,Standalone!$F:$F,256)</f>
        <v>3.0224</v>
      </c>
      <c r="C23" s="11" t="n">
        <f aca="false">SUMIFS(Standalone!$Q:$Q,Standalone!$C:$C,"LossyStore",Standalone!$E:$E,0.1,Standalone!$F:$F,1024)</f>
        <v>2.9478</v>
      </c>
      <c r="D23" s="11" t="n">
        <f aca="false">SUMIFS(Standalone!$Q:$Q,Standalone!$C:$C,"LossyStore",Standalone!$E:$E,0.1,Standalone!$F:$F,4096)</f>
        <v>2.8755</v>
      </c>
      <c r="E23" s="11" t="n">
        <f aca="false">SUMIFS(Standalone!$Q:$Q,Standalone!$C:$C,"LossyStore",Standalone!$E:$E,0.1,Standalone!$F:$F,16384)</f>
        <v>2.8281</v>
      </c>
    </row>
    <row r="24" customFormat="false" ht="15" hidden="false" customHeight="false" outlineLevel="0" collapsed="false">
      <c r="A24" s="7" t="s">
        <v>137</v>
      </c>
      <c r="B24" s="11" t="n">
        <f aca="false">SUMIFS(Standalone!$Q:$Q,Standalone!$C:$C,"LossyStore",Standalone!$E:$E,1,Standalone!$F:$F,256)</f>
        <v>3.1889</v>
      </c>
      <c r="C24" s="11" t="n">
        <f aca="false">SUMIFS(Standalone!$Q:$Q,Standalone!$C:$C,"LossyStore",Standalone!$E:$E,1,Standalone!$F:$F,1024)</f>
        <v>3.1013</v>
      </c>
      <c r="D24" s="11" t="n">
        <f aca="false">SUMIFS(Standalone!$Q:$Q,Standalone!$C:$C,"LossyStore",Standalone!$E:$E,1,Standalone!$F:$F,4096)</f>
        <v>3.0156</v>
      </c>
      <c r="E24" s="11" t="n">
        <f aca="false">SUMIFS(Standalone!$Q:$Q,Standalone!$C:$C,"LossyStore",Standalone!$E:$E,1,Standalone!$F:$F,16384)</f>
        <v>2.9721</v>
      </c>
    </row>
    <row r="25" customFormat="false" ht="15" hidden="false" customHeight="false" outlineLevel="0" collapsed="false">
      <c r="A25" s="7" t="s">
        <v>138</v>
      </c>
      <c r="B25" s="11" t="n">
        <f aca="false">SUMIFS(Standalone!$Q:$Q,Standalone!$C:$C,"LossyStore",Standalone!$E:$E,5,Standalone!$F:$F,256)</f>
        <v>3.3021</v>
      </c>
      <c r="C25" s="11" t="n">
        <f aca="false">SUMIFS(Standalone!$Q:$Q,Standalone!$C:$C,"LossyStore",Standalone!$E:$E,5,Standalone!$F:$F,1024)</f>
        <v>3.2277</v>
      </c>
      <c r="D25" s="11" t="n">
        <f aca="false">SUMIFS(Standalone!$Q:$Q,Standalone!$C:$C,"LossyStore",Standalone!$E:$E,5,Standalone!$F:$F,4096)</f>
        <v>3.1605</v>
      </c>
      <c r="E25" s="11" t="n">
        <f aca="false">SUMIFS(Standalone!$Q:$Q,Standalone!$C:$C,"LossyStore",Standalone!$E:$E,5,Standalone!$F:$F,16384)</f>
        <v>3.1396</v>
      </c>
    </row>
    <row r="27" customFormat="false" ht="15" hidden="false" customHeight="false" outlineLevel="0" collapsed="false">
      <c r="A27" s="10" t="s">
        <v>139</v>
      </c>
      <c r="B27" s="2" t="s">
        <v>145</v>
      </c>
    </row>
    <row r="28" customFormat="false" ht="15" hidden="false" customHeight="false" outlineLevel="0" collapsed="false">
      <c r="A28" s="10" t="s">
        <v>141</v>
      </c>
      <c r="B28" s="2" t="s">
        <v>146</v>
      </c>
    </row>
    <row r="29" customFormat="false" ht="15" hidden="false" customHeight="false" outlineLevel="0" collapsed="false">
      <c r="A29" s="2" t="s">
        <v>147</v>
      </c>
    </row>
    <row r="31" customFormat="false" ht="15" hidden="false" customHeight="false" outlineLevel="0" collapsed="false">
      <c r="A31" s="3" t="s">
        <v>148</v>
      </c>
      <c r="B31" s="4"/>
      <c r="C31" s="4"/>
      <c r="D31" s="4"/>
      <c r="E31" s="4"/>
    </row>
    <row r="32" customFormat="false" ht="15" hidden="false" customHeight="false" outlineLevel="0" collapsed="false">
      <c r="A32" s="2" t="s">
        <v>149</v>
      </c>
    </row>
    <row r="33" customFormat="false" ht="15" hidden="false" customHeight="false" outlineLevel="0" collapsed="false">
      <c r="A33" s="6" t="s">
        <v>130</v>
      </c>
      <c r="B33" s="6" t="s">
        <v>131</v>
      </c>
      <c r="C33" s="6" t="s">
        <v>132</v>
      </c>
      <c r="D33" s="6" t="s">
        <v>133</v>
      </c>
      <c r="E33" s="6" t="s">
        <v>134</v>
      </c>
    </row>
    <row r="34" customFormat="false" ht="15" hidden="false" customHeight="false" outlineLevel="0" collapsed="false">
      <c r="A34" s="7" t="s">
        <v>82</v>
      </c>
      <c r="B34" s="12" t="n">
        <f aca="false">SUMIFS(Standalone!$N:$N,Standalone!$C:$C,"FileStore",Standalone!$E:$E,"",Standalone!$F:$F,256)</f>
        <v>328436</v>
      </c>
      <c r="C34" s="12" t="n">
        <f aca="false">SUMIFS(Standalone!$N:$N,Standalone!$C:$C,"FileStore",Standalone!$E:$E,"",Standalone!$F:$F,1024)</f>
        <v>82676</v>
      </c>
      <c r="D34" s="12" t="n">
        <f aca="false">SUMIFS(Standalone!$N:$N,Standalone!$C:$C,"FileStore",Standalone!$E:$E,"",Standalone!$F:$F,4096)</f>
        <v>21236</v>
      </c>
      <c r="E34" s="12" t="n">
        <f aca="false">SUMIFS(Standalone!$N:$N,Standalone!$C:$C,"FileStore",Standalone!$E:$E,"",Standalone!$F:$F,16384)</f>
        <v>5876</v>
      </c>
    </row>
    <row r="35" customFormat="false" ht="15" hidden="false" customHeight="false" outlineLevel="0" collapsed="false">
      <c r="A35" s="7" t="s">
        <v>79</v>
      </c>
      <c r="B35" s="12" t="n">
        <f aca="false">SUMIFS(Standalone!$N:$N,Standalone!$C:$C,"CompressedStore",Standalone!$E:$E,"",Standalone!$F:$F,256)</f>
        <v>187379</v>
      </c>
      <c r="C35" s="12" t="n">
        <f aca="false">SUMIFS(Standalone!$N:$N,Standalone!$C:$C,"CompressedStore",Standalone!$E:$E,"",Standalone!$F:$F,1024)</f>
        <v>47159</v>
      </c>
      <c r="D35" s="12" t="n">
        <f aca="false">SUMIFS(Standalone!$N:$N,Standalone!$C:$C,"CompressedStore",Standalone!$E:$E,"",Standalone!$F:$F,4096)</f>
        <v>12104</v>
      </c>
      <c r="E35" s="12" t="n">
        <f aca="false">SUMIFS(Standalone!$N:$N,Standalone!$C:$C,"CompressedStore",Standalone!$E:$E,"",Standalone!$F:$F,16384)</f>
        <v>3330</v>
      </c>
    </row>
    <row r="36" customFormat="false" ht="15" hidden="false" customHeight="false" outlineLevel="0" collapsed="false">
      <c r="A36" s="7" t="s">
        <v>135</v>
      </c>
      <c r="B36" s="12" t="n">
        <f aca="false">SUMIFS(Standalone!$N:$N,Standalone!$C:$C,"LossyStore",Standalone!$E:$E,"",Standalone!$F:$F,256)</f>
        <v>1076774</v>
      </c>
      <c r="C36" s="12" t="n">
        <f aca="false">SUMIFS(Standalone!$N:$N,Standalone!$C:$C,"LossyStore",Standalone!$E:$E,"",Standalone!$F:$F,1024)</f>
        <v>269654</v>
      </c>
      <c r="D36" s="12" t="n">
        <f aca="false">SUMIFS(Standalone!$N:$N,Standalone!$C:$C,"LossyStore",Standalone!$E:$E,"",Standalone!$F:$F,4096)</f>
        <v>67874</v>
      </c>
      <c r="E36" s="12" t="n">
        <f aca="false">SUMIFS(Standalone!$N:$N,Standalone!$C:$C,"LossyStore",Standalone!$E:$E,"",Standalone!$F:$F,16384)</f>
        <v>17370</v>
      </c>
    </row>
    <row r="37" customFormat="false" ht="15" hidden="false" customHeight="false" outlineLevel="0" collapsed="false">
      <c r="A37" s="7" t="s">
        <v>136</v>
      </c>
      <c r="B37" s="12" t="n">
        <f aca="false">SUMIFS(Standalone!$N:$N,Standalone!$C:$C,"LossyStore",Standalone!$E:$E,0.1,Standalone!$F:$F,256)</f>
        <v>1076774</v>
      </c>
      <c r="C37" s="12" t="n">
        <f aca="false">SUMIFS(Standalone!$N:$N,Standalone!$C:$C,"LossyStore",Standalone!$E:$E,0.1,Standalone!$F:$F,1024)</f>
        <v>269654</v>
      </c>
      <c r="D37" s="12" t="n">
        <f aca="false">SUMIFS(Standalone!$N:$N,Standalone!$C:$C,"LossyStore",Standalone!$E:$E,0.1,Standalone!$F:$F,4096)</f>
        <v>67874</v>
      </c>
      <c r="E37" s="12" t="n">
        <f aca="false">SUMIFS(Standalone!$N:$N,Standalone!$C:$C,"LossyStore",Standalone!$E:$E,0.1,Standalone!$F:$F,16384)</f>
        <v>17370</v>
      </c>
    </row>
    <row r="38" customFormat="false" ht="15" hidden="false" customHeight="false" outlineLevel="0" collapsed="false">
      <c r="A38" s="7" t="s">
        <v>137</v>
      </c>
      <c r="B38" s="12" t="n">
        <f aca="false">SUMIFS(Standalone!$N:$N,Standalone!$C:$C,"LossyStore",Standalone!$E:$E,1,Standalone!$F:$F,256)</f>
        <v>1076774</v>
      </c>
      <c r="C38" s="12" t="n">
        <f aca="false">SUMIFS(Standalone!$N:$N,Standalone!$C:$C,"LossyStore",Standalone!$E:$E,1,Standalone!$F:$F,1024)</f>
        <v>269654</v>
      </c>
      <c r="D38" s="12" t="n">
        <f aca="false">SUMIFS(Standalone!$N:$N,Standalone!$C:$C,"LossyStore",Standalone!$E:$E,1,Standalone!$F:$F,4096)</f>
        <v>67874</v>
      </c>
      <c r="E38" s="12" t="n">
        <f aca="false">SUMIFS(Standalone!$N:$N,Standalone!$C:$C,"LossyStore",Standalone!$E:$E,1,Standalone!$F:$F,16384)</f>
        <v>17370</v>
      </c>
    </row>
    <row r="39" customFormat="false" ht="15" hidden="false" customHeight="false" outlineLevel="0" collapsed="false">
      <c r="A39" s="7" t="s">
        <v>138</v>
      </c>
      <c r="B39" s="12" t="n">
        <f aca="false">SUMIFS(Standalone!$N:$N,Standalone!$C:$C,"LossyStore",Standalone!$E:$E,5,Standalone!$F:$F,256)</f>
        <v>1076774</v>
      </c>
      <c r="C39" s="12" t="n">
        <f aca="false">SUMIFS(Standalone!$N:$N,Standalone!$C:$C,"LossyStore",Standalone!$E:$E,5,Standalone!$F:$F,1024)</f>
        <v>269654</v>
      </c>
      <c r="D39" s="12" t="n">
        <f aca="false">SUMIFS(Standalone!$N:$N,Standalone!$C:$C,"LossyStore",Standalone!$E:$E,5,Standalone!$F:$F,4096)</f>
        <v>67874</v>
      </c>
      <c r="E39" s="12" t="n">
        <f aca="false">SUMIFS(Standalone!$N:$N,Standalone!$C:$C,"LossyStore",Standalone!$E:$E,5,Standalone!$F:$F,16384)</f>
        <v>17370</v>
      </c>
    </row>
    <row r="41" customFormat="false" ht="15" hidden="false" customHeight="false" outlineLevel="0" collapsed="false">
      <c r="A41" s="10" t="s">
        <v>139</v>
      </c>
      <c r="B41" s="2" t="s">
        <v>150</v>
      </c>
    </row>
    <row r="42" customFormat="false" ht="15" hidden="false" customHeight="false" outlineLevel="0" collapsed="false">
      <c r="A42" s="10" t="s">
        <v>141</v>
      </c>
      <c r="B42" s="2" t="s">
        <v>151</v>
      </c>
    </row>
    <row r="44" customFormat="false" ht="15" hidden="false" customHeight="false" outlineLevel="0" collapsed="false">
      <c r="A44" s="3" t="s">
        <v>152</v>
      </c>
      <c r="B44" s="4"/>
      <c r="C44" s="4"/>
      <c r="D44" s="4"/>
      <c r="E44" s="4"/>
    </row>
    <row r="45" customFormat="false" ht="15" hidden="false" customHeight="false" outlineLevel="0" collapsed="false">
      <c r="A45" s="2" t="s">
        <v>153</v>
      </c>
    </row>
    <row r="46" customFormat="false" ht="15" hidden="false" customHeight="false" outlineLevel="0" collapsed="false">
      <c r="A46" s="6" t="s">
        <v>130</v>
      </c>
      <c r="B46" s="6" t="s">
        <v>131</v>
      </c>
      <c r="C46" s="6" t="s">
        <v>132</v>
      </c>
      <c r="D46" s="6" t="s">
        <v>133</v>
      </c>
      <c r="E46" s="6" t="s">
        <v>134</v>
      </c>
    </row>
    <row r="47" customFormat="false" ht="15" hidden="false" customHeight="false" outlineLevel="0" collapsed="false">
      <c r="A47" s="7" t="s">
        <v>154</v>
      </c>
      <c r="B47" s="9" t="n">
        <f aca="false">SUMIFS(Chained!$P:$P,Chained!$C:$C,"MemoryStore-&gt;FileStore-&gt;CompressedStore",Chained!$E:$E,"",Chained!$F:$F,256)</f>
        <v>1.6473</v>
      </c>
      <c r="C47" s="9" t="n">
        <f aca="false">SUMIFS(Chained!$P:$P,Chained!$C:$C,"MemoryStore-&gt;FileStore-&gt;CompressedStore",Chained!$E:$E,"",Chained!$F:$F,1024)</f>
        <v>1.6494</v>
      </c>
      <c r="D47" s="9" t="n">
        <f aca="false">SUMIFS(Chained!$P:$P,Chained!$C:$C,"MemoryStore-&gt;FileStore-&gt;CompressedStore",Chained!$E:$E,"",Chained!$F:$F,4096)</f>
        <v>1.6496</v>
      </c>
      <c r="E47" s="9" t="n">
        <f aca="false">SUMIFS(Chained!$P:$P,Chained!$C:$C,"MemoryStore-&gt;FileStore-&gt;CompressedStore",Chained!$E:$E,"",Chained!$F:$F,16384)</f>
        <v>1.6487</v>
      </c>
    </row>
    <row r="48" customFormat="false" ht="15" hidden="false" customHeight="false" outlineLevel="0" collapsed="false">
      <c r="A48" s="7" t="s">
        <v>155</v>
      </c>
      <c r="B48" s="9" t="n">
        <f aca="false">SUMIFS(Chained!$P:$P,Chained!$C:$C,"MemoryStore-&gt;FileStore-&gt;LossyStore",Chained!$E:$E,"",Chained!$F:$F,256)</f>
        <v>1.859</v>
      </c>
      <c r="C48" s="9" t="n">
        <f aca="false">SUMIFS(Chained!$P:$P,Chained!$C:$C,"MemoryStore-&gt;FileStore-&gt;LossyStore",Chained!$E:$E,"",Chained!$F:$F,1024)</f>
        <v>1.8653</v>
      </c>
      <c r="D48" s="9" t="n">
        <f aca="false">SUMIFS(Chained!$P:$P,Chained!$C:$C,"MemoryStore-&gt;FileStore-&gt;LossyStore",Chained!$E:$E,"",Chained!$F:$F,4096)</f>
        <v>1.8509</v>
      </c>
      <c r="E48" s="9" t="n">
        <f aca="false">SUMIFS(Chained!$P:$P,Chained!$C:$C,"MemoryStore-&gt;FileStore-&gt;LossyStore",Chained!$E:$E,"",Chained!$F:$F,16384)</f>
        <v>1.8322</v>
      </c>
    </row>
    <row r="49" customFormat="false" ht="15" hidden="false" customHeight="false" outlineLevel="0" collapsed="false">
      <c r="A49" s="7" t="s">
        <v>156</v>
      </c>
      <c r="B49" s="9" t="n">
        <f aca="false">SUMIFS(Chained!$P:$P,Chained!$C:$C,"MemoryStore-&gt;FileStore-&gt;LossyStore",Chained!$E:$E,0.1,Chained!$F:$F,256)</f>
        <v>3.0188</v>
      </c>
      <c r="C49" s="9" t="n">
        <f aca="false">SUMIFS(Chained!$P:$P,Chained!$C:$C,"MemoryStore-&gt;FileStore-&gt;LossyStore",Chained!$E:$E,0.1,Chained!$F:$F,1024)</f>
        <v>2.9377</v>
      </c>
      <c r="D49" s="9" t="n">
        <f aca="false">SUMIFS(Chained!$P:$P,Chained!$C:$C,"MemoryStore-&gt;FileStore-&gt;LossyStore",Chained!$E:$E,0.1,Chained!$F:$F,4096)</f>
        <v>2.8789</v>
      </c>
      <c r="E49" s="9" t="n">
        <f aca="false">SUMIFS(Chained!$P:$P,Chained!$C:$C,"MemoryStore-&gt;FileStore-&gt;LossyStore",Chained!$E:$E,0.1,Chained!$F:$F,16384)</f>
        <v>2.8197</v>
      </c>
    </row>
    <row r="50" customFormat="false" ht="15" hidden="false" customHeight="false" outlineLevel="0" collapsed="false">
      <c r="A50" s="7" t="s">
        <v>157</v>
      </c>
      <c r="B50" s="9" t="n">
        <f aca="false">SUMIFS(Chained!$P:$P,Chained!$C:$C,"MemoryStore-&gt;FileStore-&gt;LossyStore",Chained!$E:$E,1,Chained!$F:$F,256)</f>
        <v>3.1846</v>
      </c>
      <c r="C50" s="9" t="n">
        <f aca="false">SUMIFS(Chained!$P:$P,Chained!$C:$C,"MemoryStore-&gt;FileStore-&gt;LossyStore",Chained!$E:$E,1,Chained!$F:$F,1024)</f>
        <v>3.0895</v>
      </c>
      <c r="D50" s="9" t="n">
        <f aca="false">SUMIFS(Chained!$P:$P,Chained!$C:$C,"MemoryStore-&gt;FileStore-&gt;LossyStore",Chained!$E:$E,1,Chained!$F:$F,4096)</f>
        <v>3.0197</v>
      </c>
      <c r="E50" s="9" t="n">
        <f aca="false">SUMIFS(Chained!$P:$P,Chained!$C:$C,"MemoryStore-&gt;FileStore-&gt;LossyStore",Chained!$E:$E,1,Chained!$F:$F,16384)</f>
        <v>2.9621</v>
      </c>
    </row>
    <row r="51" customFormat="false" ht="15" hidden="false" customHeight="false" outlineLevel="0" collapsed="false">
      <c r="A51" s="7" t="s">
        <v>158</v>
      </c>
      <c r="B51" s="9" t="n">
        <f aca="false">SUMIFS(Chained!$P:$P,Chained!$C:$C,"MemoryStore-&gt;FileStore-&gt;LossyStore",Chained!$E:$E,5,Chained!$F:$F,256)</f>
        <v>3.2973</v>
      </c>
      <c r="C51" s="9" t="n">
        <f aca="false">SUMIFS(Chained!$P:$P,Chained!$C:$C,"MemoryStore-&gt;FileStore-&gt;LossyStore",Chained!$E:$E,5,Chained!$F:$F,1024)</f>
        <v>3.215</v>
      </c>
      <c r="D51" s="9" t="n">
        <f aca="false">SUMIFS(Chained!$P:$P,Chained!$C:$C,"MemoryStore-&gt;FileStore-&gt;LossyStore",Chained!$E:$E,5,Chained!$F:$F,4096)</f>
        <v>3.1607</v>
      </c>
      <c r="E51" s="9" t="n">
        <f aca="false">SUMIFS(Chained!$P:$P,Chained!$C:$C,"MemoryStore-&gt;FileStore-&gt;LossyStore",Chained!$E:$E,5,Chained!$F:$F,16384)</f>
        <v>3.1232</v>
      </c>
    </row>
    <row r="53" customFormat="false" ht="15" hidden="false" customHeight="false" outlineLevel="0" collapsed="false">
      <c r="A53" s="10" t="s">
        <v>139</v>
      </c>
      <c r="B53" s="2" t="s">
        <v>159</v>
      </c>
    </row>
    <row r="54" customFormat="false" ht="15" hidden="false" customHeight="false" outlineLevel="0" collapsed="false">
      <c r="A54" s="10" t="s">
        <v>141</v>
      </c>
      <c r="B54" s="2"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13" min="2" style="0" width="15"/>
  </cols>
  <sheetData>
    <row r="1" customFormat="false" ht="15" hidden="false" customHeight="false" outlineLevel="0" collapsed="false">
      <c r="A1" s="8" t="s">
        <v>161</v>
      </c>
    </row>
    <row r="2" customFormat="false" ht="15" hidden="false" customHeight="false" outlineLevel="0" collapsed="false">
      <c r="A2" s="2" t="s">
        <v>162</v>
      </c>
    </row>
    <row r="4" customFormat="false" ht="15" hidden="false" customHeight="false" outlineLevel="0" collapsed="false">
      <c r="A4" s="3" t="s">
        <v>163</v>
      </c>
      <c r="B4" s="4"/>
    </row>
    <row r="5" customFormat="false" ht="15" hidden="false" customHeight="false" outlineLevel="0" collapsed="false">
      <c r="A5" s="5" t="s">
        <v>41</v>
      </c>
      <c r="B5" s="7" t="s">
        <v>77</v>
      </c>
    </row>
    <row r="6" customFormat="false" ht="15" hidden="false" customHeight="false" outlineLevel="0" collapsed="false">
      <c r="A6" s="5" t="s">
        <v>164</v>
      </c>
      <c r="B6" s="7" t="s">
        <v>165</v>
      </c>
    </row>
    <row r="7" customFormat="false" ht="15" hidden="false" customHeight="false" outlineLevel="0" collapsed="false">
      <c r="A7" s="5" t="s">
        <v>166</v>
      </c>
      <c r="B7" s="13" t="n">
        <v>1489260482</v>
      </c>
    </row>
    <row r="8" customFormat="false" ht="15" hidden="false" customHeight="false" outlineLevel="0" collapsed="false">
      <c r="A8" s="5" t="s">
        <v>47</v>
      </c>
      <c r="B8" s="13" t="n">
        <v>42700000</v>
      </c>
    </row>
    <row r="9" customFormat="false" ht="15" hidden="false" customHeight="false" outlineLevel="0" collapsed="false">
      <c r="A9" s="5" t="s">
        <v>167</v>
      </c>
      <c r="B9" s="13" t="n">
        <v>4</v>
      </c>
    </row>
    <row r="10" customFormat="false" ht="15" hidden="false" customHeight="false" outlineLevel="0" collapsed="false">
      <c r="A10" s="5" t="s">
        <v>168</v>
      </c>
      <c r="B10" s="13" t="n">
        <v>28</v>
      </c>
    </row>
    <row r="11" customFormat="false" ht="15" hidden="false" customHeight="false" outlineLevel="0" collapsed="false">
      <c r="A11" s="5" t="s">
        <v>169</v>
      </c>
      <c r="B11" s="13" t="n">
        <v>1195600000</v>
      </c>
    </row>
    <row r="12" customFormat="false" ht="15" hidden="false" customHeight="false" outlineLevel="0" collapsed="false">
      <c r="A12" s="5" t="s">
        <v>170</v>
      </c>
      <c r="B12" s="7" t="s">
        <v>171</v>
      </c>
    </row>
    <row r="13" customFormat="false" ht="15" hidden="false" customHeight="false" outlineLevel="0" collapsed="false">
      <c r="A13" s="5" t="s">
        <v>172</v>
      </c>
      <c r="B13" s="7" t="s">
        <v>173</v>
      </c>
    </row>
    <row r="14" customFormat="false" ht="15" hidden="false" customHeight="false" outlineLevel="0" collapsed="false">
      <c r="A14" s="5" t="s">
        <v>174</v>
      </c>
      <c r="B14" s="7" t="s">
        <v>175</v>
      </c>
    </row>
    <row r="15" customFormat="false" ht="15" hidden="false" customHeight="false" outlineLevel="0" collapsed="false">
      <c r="A15" s="5" t="s">
        <v>176</v>
      </c>
      <c r="B15" s="7" t="s">
        <v>177</v>
      </c>
    </row>
    <row r="16" customFormat="false" ht="15" hidden="false" customHeight="false" outlineLevel="0" collapsed="false">
      <c r="A16" s="5" t="s">
        <v>178</v>
      </c>
      <c r="B16" s="13" t="n">
        <v>0</v>
      </c>
    </row>
    <row r="17" customFormat="false" ht="15" hidden="false" customHeight="false" outlineLevel="0" collapsed="false">
      <c r="A17" s="5" t="s">
        <v>179</v>
      </c>
      <c r="B17" s="13" t="n">
        <v>743465</v>
      </c>
    </row>
    <row r="18" customFormat="false" ht="15" hidden="false" customHeight="false" outlineLevel="0" collapsed="false">
      <c r="A18" s="5" t="s">
        <v>180</v>
      </c>
      <c r="B18" s="7" t="s">
        <v>181</v>
      </c>
    </row>
    <row r="19" customFormat="false" ht="15" hidden="false" customHeight="false" outlineLevel="0" collapsed="false">
      <c r="A19" s="5" t="s">
        <v>182</v>
      </c>
      <c r="B19" s="7" t="s">
        <v>183</v>
      </c>
    </row>
    <row r="21" customFormat="false" ht="15" hidden="false" customHeight="false" outlineLevel="0" collapsed="false">
      <c r="A21" s="3" t="s">
        <v>184</v>
      </c>
      <c r="B21" s="4"/>
      <c r="C21" s="4"/>
      <c r="D21" s="4"/>
      <c r="E21" s="4"/>
      <c r="F21" s="4"/>
      <c r="G21" s="4"/>
      <c r="H21" s="4"/>
      <c r="I21" s="4"/>
      <c r="J21" s="4"/>
      <c r="K21" s="4"/>
      <c r="L21" s="4"/>
      <c r="M21" s="4"/>
    </row>
    <row r="22" customFormat="false" ht="15" hidden="false" customHeight="false" outlineLevel="0" collapsed="false">
      <c r="A22" s="6" t="s">
        <v>41</v>
      </c>
      <c r="B22" s="6" t="s">
        <v>86</v>
      </c>
      <c r="C22" s="6" t="s">
        <v>185</v>
      </c>
      <c r="D22" s="6" t="s">
        <v>186</v>
      </c>
      <c r="E22" s="6" t="s">
        <v>187</v>
      </c>
      <c r="F22" s="6" t="s">
        <v>188</v>
      </c>
      <c r="G22" s="6" t="s">
        <v>189</v>
      </c>
      <c r="H22" s="6" t="s">
        <v>190</v>
      </c>
      <c r="I22" s="6" t="s">
        <v>191</v>
      </c>
      <c r="J22" s="6" t="s">
        <v>192</v>
      </c>
      <c r="K22" s="6" t="s">
        <v>193</v>
      </c>
      <c r="L22" s="6" t="s">
        <v>194</v>
      </c>
      <c r="M22" s="6" t="s">
        <v>195</v>
      </c>
    </row>
    <row r="23" customFormat="false" ht="15" hidden="false" customHeight="false" outlineLevel="0" collapsed="false">
      <c r="A23" s="7" t="s">
        <v>77</v>
      </c>
      <c r="B23" s="7" t="s">
        <v>96</v>
      </c>
      <c r="C23" s="7" t="s">
        <v>97</v>
      </c>
      <c r="D23" s="7" t="n">
        <v>4</v>
      </c>
      <c r="E23" s="7" t="n">
        <v>1</v>
      </c>
      <c r="F23" s="7" t="n">
        <v>5</v>
      </c>
      <c r="G23" s="7" t="n">
        <v>42700000</v>
      </c>
      <c r="H23" s="7" t="n">
        <v>100</v>
      </c>
      <c r="I23" s="7" t="n">
        <v>0</v>
      </c>
      <c r="J23" s="7" t="n">
        <v>42699999</v>
      </c>
      <c r="K23" s="7"/>
      <c r="L23" s="7" t="s">
        <v>98</v>
      </c>
      <c r="M23" s="7" t="n">
        <v>20043650</v>
      </c>
    </row>
    <row r="24" customFormat="false" ht="15" hidden="false" customHeight="false" outlineLevel="0" collapsed="false">
      <c r="A24" s="7" t="s">
        <v>77</v>
      </c>
      <c r="B24" s="7" t="s">
        <v>100</v>
      </c>
      <c r="C24" s="7" t="s">
        <v>97</v>
      </c>
      <c r="D24" s="7" t="n">
        <v>4</v>
      </c>
      <c r="E24" s="7" t="n">
        <v>1</v>
      </c>
      <c r="F24" s="7" t="n">
        <v>5</v>
      </c>
      <c r="G24" s="7" t="n">
        <v>4</v>
      </c>
      <c r="H24" s="7" t="n">
        <v>0</v>
      </c>
      <c r="I24" s="7" t="n">
        <v>0</v>
      </c>
      <c r="J24" s="7" t="n">
        <v>3</v>
      </c>
      <c r="K24" s="7"/>
      <c r="L24" s="7" t="s">
        <v>98</v>
      </c>
      <c r="M24" s="7" t="n">
        <v>0</v>
      </c>
    </row>
    <row r="25" customFormat="false" ht="15" hidden="false" customHeight="false" outlineLevel="0" collapsed="false">
      <c r="A25" s="7" t="s">
        <v>77</v>
      </c>
      <c r="B25" s="7" t="s">
        <v>101</v>
      </c>
      <c r="C25" s="7" t="s">
        <v>102</v>
      </c>
      <c r="D25" s="7" t="n">
        <v>8</v>
      </c>
      <c r="E25" s="7" t="n">
        <v>1</v>
      </c>
      <c r="F25" s="7" t="n">
        <v>9</v>
      </c>
      <c r="G25" s="7" t="n">
        <v>41802464</v>
      </c>
      <c r="H25" s="7" t="n">
        <v>97.9</v>
      </c>
      <c r="I25" s="7" t="n">
        <v>2.5E-005</v>
      </c>
      <c r="J25" s="7" t="n">
        <v>999.999996</v>
      </c>
      <c r="K25" s="7" t="s">
        <v>196</v>
      </c>
      <c r="L25" s="7" t="s">
        <v>103</v>
      </c>
      <c r="M25" s="7" t="n">
        <v>931.603841</v>
      </c>
    </row>
    <row r="26" customFormat="false" ht="15" hidden="false" customHeight="false" outlineLevel="0" collapsed="false">
      <c r="A26" s="7" t="s">
        <v>77</v>
      </c>
      <c r="B26" s="7" t="s">
        <v>197</v>
      </c>
      <c r="C26" s="7" t="s">
        <v>106</v>
      </c>
      <c r="D26" s="7" t="n">
        <v>8</v>
      </c>
      <c r="E26" s="7" t="n">
        <v>1</v>
      </c>
      <c r="F26" s="7" t="n">
        <v>9</v>
      </c>
      <c r="G26" s="7" t="n">
        <v>42699472</v>
      </c>
      <c r="H26" s="7" t="n">
        <v>100</v>
      </c>
      <c r="I26" s="7" t="n">
        <v>1680357514</v>
      </c>
      <c r="J26" s="7" t="n">
        <v>1724294922528</v>
      </c>
      <c r="K26" s="7"/>
      <c r="L26" s="7" t="s">
        <v>98</v>
      </c>
      <c r="M26" s="7" t="n">
        <v>1680357514</v>
      </c>
    </row>
    <row r="28" customFormat="false" ht="15" hidden="false" customHeight="false" outlineLevel="0" collapsed="false">
      <c r="A28" s="3" t="s">
        <v>198</v>
      </c>
      <c r="B28" s="4"/>
    </row>
    <row r="29" customFormat="false" ht="15" hidden="false" customHeight="false" outlineLevel="0" collapsed="false">
      <c r="A29" s="5" t="s">
        <v>96</v>
      </c>
      <c r="B29" s="2" t="s">
        <v>199</v>
      </c>
    </row>
    <row r="30" customFormat="false" ht="15" hidden="false" customHeight="false" outlineLevel="0" collapsed="false">
      <c r="A30" s="5" t="s">
        <v>100</v>
      </c>
      <c r="B30" s="2" t="s">
        <v>200</v>
      </c>
    </row>
    <row r="31" customFormat="false" ht="15" hidden="false" customHeight="false" outlineLevel="0" collapsed="false">
      <c r="A31" s="5" t="s">
        <v>101</v>
      </c>
      <c r="B31" s="2" t="s">
        <v>201</v>
      </c>
    </row>
    <row r="32" customFormat="false" ht="15" hidden="false" customHeight="false" outlineLevel="0" collapsed="false">
      <c r="A32" s="5" t="s">
        <v>197</v>
      </c>
      <c r="B32" s="2" t="s">
        <v>202</v>
      </c>
    </row>
    <row r="33" customFormat="false" ht="15" hidden="false" customHeight="false" outlineLevel="0" collapsed="false">
      <c r="A33" s="5" t="s">
        <v>203</v>
      </c>
      <c r="B33" s="2" t="s">
        <v>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5" min="2" style="0" width="12"/>
  </cols>
  <sheetData>
    <row r="1" customFormat="false" ht="15" hidden="false" customHeight="false" outlineLevel="0" collapsed="false">
      <c r="A1" s="8" t="s">
        <v>205</v>
      </c>
    </row>
    <row r="2" customFormat="false" ht="15" hidden="false" customHeight="false" outlineLevel="0" collapsed="false">
      <c r="A2" s="2" t="s">
        <v>206</v>
      </c>
    </row>
    <row r="4" customFormat="false" ht="15" hidden="false" customHeight="false" outlineLevel="0" collapsed="false">
      <c r="A4" s="3" t="s">
        <v>207</v>
      </c>
      <c r="B4" s="4"/>
      <c r="C4" s="4"/>
      <c r="D4" s="4"/>
      <c r="E4" s="4"/>
    </row>
    <row r="5" customFormat="false" ht="15" hidden="false" customHeight="false" outlineLevel="0" collapsed="false">
      <c r="A5" s="2" t="s">
        <v>208</v>
      </c>
    </row>
    <row r="6" customFormat="false" ht="15" hidden="false" customHeight="false" outlineLevel="0" collapsed="false">
      <c r="A6" s="6" t="s">
        <v>130</v>
      </c>
      <c r="B6" s="6" t="s">
        <v>131</v>
      </c>
      <c r="C6" s="6" t="s">
        <v>132</v>
      </c>
      <c r="D6" s="6" t="s">
        <v>133</v>
      </c>
      <c r="E6" s="6" t="s">
        <v>134</v>
      </c>
    </row>
    <row r="7" customFormat="false" ht="15" hidden="false" customHeight="false" outlineLevel="0" collapsed="false">
      <c r="A7" s="7" t="s">
        <v>154</v>
      </c>
      <c r="B7" s="12" t="n">
        <f aca="false">SUMIFS(Chained!$AG:$AG,Chained!$C:$C,"MemoryStore-&gt;FileStore-&gt;CompressedStore",Chained!$E:$E,"",Chained!$F:$F,256)</f>
        <v>2526160</v>
      </c>
      <c r="C7" s="12" t="n">
        <f aca="false">SUMIFS(Chained!$AG:$AG,Chained!$C:$C,"MemoryStore-&gt;FileStore-&gt;CompressedStore",Chained!$E:$E,"",Chained!$F:$F,1024)</f>
        <v>2526160</v>
      </c>
      <c r="D7" s="12" t="n">
        <f aca="false">SUMIFS(Chained!$AG:$AG,Chained!$C:$C,"MemoryStore-&gt;FileStore-&gt;CompressedStore",Chained!$E:$E,"",Chained!$F:$F,4096)</f>
        <v>2526160</v>
      </c>
      <c r="E7" s="12" t="n">
        <f aca="false">SUMIFS(Chained!$AG:$AG,Chained!$C:$C,"MemoryStore-&gt;FileStore-&gt;CompressedStore",Chained!$E:$E,"",Chained!$F:$F,16384)</f>
        <v>3572716</v>
      </c>
    </row>
    <row r="8" customFormat="false" ht="15" hidden="false" customHeight="false" outlineLevel="0" collapsed="false">
      <c r="A8" s="7" t="s">
        <v>155</v>
      </c>
      <c r="B8" s="12" t="n">
        <f aca="false">SUMIFS(Chained!$AG:$AG,Chained!$C:$C,"MemoryStore-&gt;FileStore-&gt;LossyStore",Chained!$E:$E,"",Chained!$F:$F,256)</f>
        <v>2526160</v>
      </c>
      <c r="C8" s="12" t="n">
        <f aca="false">SUMIFS(Chained!$AG:$AG,Chained!$C:$C,"MemoryStore-&gt;FileStore-&gt;LossyStore",Chained!$E:$E,"",Chained!$F:$F,1024)</f>
        <v>2526160</v>
      </c>
      <c r="D8" s="12" t="n">
        <f aca="false">SUMIFS(Chained!$AG:$AG,Chained!$C:$C,"MemoryStore-&gt;FileStore-&gt;LossyStore",Chained!$E:$E,"",Chained!$F:$F,4096)</f>
        <v>2526160</v>
      </c>
      <c r="E8" s="12" t="n">
        <f aca="false">SUMIFS(Chained!$AG:$AG,Chained!$C:$C,"MemoryStore-&gt;FileStore-&gt;LossyStore",Chained!$E:$E,"",Chained!$F:$F,16384)</f>
        <v>3572716</v>
      </c>
    </row>
    <row r="9" customFormat="false" ht="15" hidden="false" customHeight="false" outlineLevel="0" collapsed="false">
      <c r="A9" s="7" t="s">
        <v>156</v>
      </c>
      <c r="B9" s="12" t="n">
        <f aca="false">SUMIFS(Chained!$AG:$AG,Chained!$C:$C,"MemoryStore-&gt;FileStore-&gt;LossyStore",Chained!$E:$E,0.1,Chained!$F:$F,256)</f>
        <v>2526160</v>
      </c>
      <c r="C9" s="12" t="n">
        <f aca="false">SUMIFS(Chained!$AG:$AG,Chained!$C:$C,"MemoryStore-&gt;FileStore-&gt;LossyStore",Chained!$E:$E,0.1,Chained!$F:$F,1024)</f>
        <v>2526160</v>
      </c>
      <c r="D9" s="12" t="n">
        <f aca="false">SUMIFS(Chained!$AG:$AG,Chained!$C:$C,"MemoryStore-&gt;FileStore-&gt;LossyStore",Chained!$E:$E,0.1,Chained!$F:$F,4096)</f>
        <v>2526160</v>
      </c>
      <c r="E9" s="12" t="n">
        <f aca="false">SUMIFS(Chained!$AG:$AG,Chained!$C:$C,"MemoryStore-&gt;FileStore-&gt;LossyStore",Chained!$E:$E,0.1,Chained!$F:$F,16384)</f>
        <v>3572716</v>
      </c>
    </row>
    <row r="10" customFormat="false" ht="15" hidden="false" customHeight="false" outlineLevel="0" collapsed="false">
      <c r="A10" s="7" t="s">
        <v>157</v>
      </c>
      <c r="B10" s="12" t="n">
        <f aca="false">SUMIFS(Chained!$AG:$AG,Chained!$C:$C,"MemoryStore-&gt;FileStore-&gt;LossyStore",Chained!$E:$E,1,Chained!$F:$F,256)</f>
        <v>2526160</v>
      </c>
      <c r="C10" s="12" t="n">
        <f aca="false">SUMIFS(Chained!$AG:$AG,Chained!$C:$C,"MemoryStore-&gt;FileStore-&gt;LossyStore",Chained!$E:$E,1,Chained!$F:$F,1024)</f>
        <v>2526160</v>
      </c>
      <c r="D10" s="12" t="n">
        <f aca="false">SUMIFS(Chained!$AG:$AG,Chained!$C:$C,"MemoryStore-&gt;FileStore-&gt;LossyStore",Chained!$E:$E,1,Chained!$F:$F,4096)</f>
        <v>2526160</v>
      </c>
      <c r="E10" s="12" t="n">
        <f aca="false">SUMIFS(Chained!$AG:$AG,Chained!$C:$C,"MemoryStore-&gt;FileStore-&gt;LossyStore",Chained!$E:$E,1,Chained!$F:$F,16384)</f>
        <v>3572716</v>
      </c>
    </row>
    <row r="11" customFormat="false" ht="15" hidden="false" customHeight="false" outlineLevel="0" collapsed="false">
      <c r="A11" s="7" t="s">
        <v>158</v>
      </c>
      <c r="B11" s="12" t="n">
        <f aca="false">SUMIFS(Chained!$AG:$AG,Chained!$C:$C,"MemoryStore-&gt;FileStore-&gt;LossyStore",Chained!$E:$E,5,Chained!$F:$F,256)</f>
        <v>2526160</v>
      </c>
      <c r="C11" s="12" t="n">
        <f aca="false">SUMIFS(Chained!$AG:$AG,Chained!$C:$C,"MemoryStore-&gt;FileStore-&gt;LossyStore",Chained!$E:$E,5,Chained!$F:$F,1024)</f>
        <v>2526160</v>
      </c>
      <c r="D11" s="12" t="n">
        <f aca="false">SUMIFS(Chained!$AG:$AG,Chained!$C:$C,"MemoryStore-&gt;FileStore-&gt;LossyStore",Chained!$E:$E,5,Chained!$F:$F,4096)</f>
        <v>2526160</v>
      </c>
      <c r="E11" s="12" t="n">
        <f aca="false">SUMIFS(Chained!$AG:$AG,Chained!$C:$C,"MemoryStore-&gt;FileStore-&gt;LossyStore",Chained!$E:$E,5,Chained!$F:$F,16384)</f>
        <v>3572716</v>
      </c>
    </row>
    <row r="12" customFormat="false" ht="15" hidden="false" customHeight="false" outlineLevel="0" collapsed="false">
      <c r="A12" s="2" t="s">
        <v>209</v>
      </c>
    </row>
    <row r="13" customFormat="false" ht="15" hidden="false" customHeight="false" outlineLevel="0" collapsed="false">
      <c r="A13" s="6" t="s">
        <v>130</v>
      </c>
      <c r="B13" s="6" t="s">
        <v>131</v>
      </c>
      <c r="C13" s="6" t="s">
        <v>132</v>
      </c>
      <c r="D13" s="6" t="s">
        <v>133</v>
      </c>
      <c r="E13" s="6" t="s">
        <v>134</v>
      </c>
    </row>
    <row r="14" customFormat="false" ht="15" hidden="false" customHeight="false" outlineLevel="0" collapsed="false">
      <c r="A14" s="7" t="s">
        <v>154</v>
      </c>
      <c r="B14" s="14" t="n">
        <f aca="false">B7/1195600000</f>
        <v>0.00211288056206089</v>
      </c>
      <c r="C14" s="14" t="n">
        <f aca="false">C7/1195600000</f>
        <v>0.00211288056206089</v>
      </c>
      <c r="D14" s="14" t="n">
        <f aca="false">D7/1195600000</f>
        <v>0.00211288056206089</v>
      </c>
      <c r="E14" s="14" t="n">
        <f aca="false">E7/1195600000</f>
        <v>0.00298822014051522</v>
      </c>
    </row>
    <row r="15" customFormat="false" ht="15" hidden="false" customHeight="false" outlineLevel="0" collapsed="false">
      <c r="A15" s="7" t="s">
        <v>155</v>
      </c>
      <c r="B15" s="14" t="n">
        <f aca="false">B8/1195600000</f>
        <v>0.00211288056206089</v>
      </c>
      <c r="C15" s="14" t="n">
        <f aca="false">C8/1195600000</f>
        <v>0.00211288056206089</v>
      </c>
      <c r="D15" s="14" t="n">
        <f aca="false">D8/1195600000</f>
        <v>0.00211288056206089</v>
      </c>
      <c r="E15" s="14" t="n">
        <f aca="false">E8/1195600000</f>
        <v>0.00298822014051522</v>
      </c>
    </row>
    <row r="16" customFormat="false" ht="15" hidden="false" customHeight="false" outlineLevel="0" collapsed="false">
      <c r="A16" s="7" t="s">
        <v>156</v>
      </c>
      <c r="B16" s="14" t="n">
        <f aca="false">B9/1195600000</f>
        <v>0.00211288056206089</v>
      </c>
      <c r="C16" s="14" t="n">
        <f aca="false">C9/1195600000</f>
        <v>0.00211288056206089</v>
      </c>
      <c r="D16" s="14" t="n">
        <f aca="false">D9/1195600000</f>
        <v>0.00211288056206089</v>
      </c>
      <c r="E16" s="14" t="n">
        <f aca="false">E9/1195600000</f>
        <v>0.00298822014051522</v>
      </c>
    </row>
    <row r="17" customFormat="false" ht="15" hidden="false" customHeight="false" outlineLevel="0" collapsed="false">
      <c r="A17" s="7" t="s">
        <v>157</v>
      </c>
      <c r="B17" s="14" t="n">
        <f aca="false">B10/1195600000</f>
        <v>0.00211288056206089</v>
      </c>
      <c r="C17" s="14" t="n">
        <f aca="false">C10/1195600000</f>
        <v>0.00211288056206089</v>
      </c>
      <c r="D17" s="14" t="n">
        <f aca="false">D10/1195600000</f>
        <v>0.00211288056206089</v>
      </c>
      <c r="E17" s="14" t="n">
        <f aca="false">E10/1195600000</f>
        <v>0.00298822014051522</v>
      </c>
    </row>
    <row r="18" customFormat="false" ht="15" hidden="false" customHeight="false" outlineLevel="0" collapsed="false">
      <c r="A18" s="7" t="s">
        <v>158</v>
      </c>
      <c r="B18" s="14" t="n">
        <f aca="false">B11/1195600000</f>
        <v>0.00211288056206089</v>
      </c>
      <c r="C18" s="14" t="n">
        <f aca="false">C11/1195600000</f>
        <v>0.00211288056206089</v>
      </c>
      <c r="D18" s="14" t="n">
        <f aca="false">D11/1195600000</f>
        <v>0.00211288056206089</v>
      </c>
      <c r="E18" s="14" t="n">
        <f aca="false">E11/1195600000</f>
        <v>0.00298822014051522</v>
      </c>
    </row>
    <row r="20" customFormat="false" ht="15" hidden="false" customHeight="false" outlineLevel="0" collapsed="false">
      <c r="A20" s="10" t="s">
        <v>139</v>
      </c>
      <c r="B20" s="2" t="s">
        <v>210</v>
      </c>
    </row>
    <row r="21" customFormat="false" ht="15" hidden="false" customHeight="false" outlineLevel="0" collapsed="false">
      <c r="A21" s="10" t="s">
        <v>141</v>
      </c>
      <c r="B21" s="2" t="s">
        <v>211</v>
      </c>
    </row>
    <row r="24" customFormat="false" ht="15" hidden="false" customHeight="false" outlineLevel="0" collapsed="false">
      <c r="A24" s="3" t="s">
        <v>212</v>
      </c>
      <c r="B24" s="4"/>
      <c r="C24" s="4"/>
      <c r="D24" s="4"/>
      <c r="E24" s="4"/>
    </row>
    <row r="25" customFormat="false" ht="15" hidden="false" customHeight="false" outlineLevel="0" collapsed="false">
      <c r="A25" s="2" t="s">
        <v>213</v>
      </c>
    </row>
    <row r="26" customFormat="false" ht="15" hidden="false" customHeight="false" outlineLevel="0" collapsed="false">
      <c r="A26" s="6" t="s">
        <v>130</v>
      </c>
      <c r="B26" s="6" t="s">
        <v>131</v>
      </c>
      <c r="C26" s="6" t="s">
        <v>132</v>
      </c>
      <c r="D26" s="6" t="s">
        <v>133</v>
      </c>
      <c r="E26" s="6" t="s">
        <v>134</v>
      </c>
    </row>
    <row r="27" customFormat="false" ht="15" hidden="false" customHeight="false" outlineLevel="0" collapsed="false">
      <c r="A27" s="7" t="s">
        <v>154</v>
      </c>
      <c r="B27" s="9" t="n">
        <f aca="false">IFERROR((SUMIFS(Chained!$P:$P,Chained!$C:$C,"MemoryStore-&gt;FileStore-&gt;CompressedStore",Chained!$E:$E,"",Chained!$F:$F,256))/(SUMIFS(Standalone!$P:$P,Standalone!$C:$C,"CompressedStore",Standalone!$E:$E,"",Standalone!$F:$F,256)),0)</f>
        <v>0.998121667474552</v>
      </c>
      <c r="C27" s="9" t="n">
        <f aca="false">IFERROR((SUMIFS(Chained!$P:$P,Chained!$C:$C,"MemoryStore-&gt;FileStore-&gt;CompressedStore",Chained!$E:$E,"",Chained!$F:$F,1024))/(SUMIFS(Standalone!$P:$P,Standalone!$C:$C,"CompressedStore",Standalone!$E:$E,"",Standalone!$F:$F,1024)),0)</f>
        <v>0.998607495307865</v>
      </c>
      <c r="D27" s="9" t="n">
        <f aca="false">IFERROR((SUMIFS(Chained!$P:$P,Chained!$C:$C,"MemoryStore-&gt;FileStore-&gt;CompressedStore",Chained!$E:$E,"",Chained!$F:$F,4096))/(SUMIFS(Standalone!$P:$P,Standalone!$C:$C,"CompressedStore",Standalone!$E:$E,"",Standalone!$F:$F,4096)),0)</f>
        <v>0.998607663902173</v>
      </c>
      <c r="E27" s="9" t="n">
        <f aca="false">IFERROR((SUMIFS(Chained!$P:$P,Chained!$C:$C,"MemoryStore-&gt;FileStore-&gt;CompressedStore",Chained!$E:$E,"",Chained!$F:$F,16384))/(SUMIFS(Standalone!$P:$P,Standalone!$C:$C,"CompressedStore",Standalone!$E:$E,"",Standalone!$F:$F,16384)),0)</f>
        <v>0.998002421307506</v>
      </c>
    </row>
    <row r="28" customFormat="false" ht="15" hidden="false" customHeight="false" outlineLevel="0" collapsed="false">
      <c r="A28" s="7" t="s">
        <v>155</v>
      </c>
      <c r="B28" s="9" t="n">
        <f aca="false">IFERROR((SUMIFS(Chained!$P:$P,Chained!$C:$C,"MemoryStore-&gt;FileStore-&gt;LossyStore",Chained!$E:$E,"",Chained!$F:$F,256))/(SUMIFS(Standalone!$P:$P,Standalone!$C:$C,"LossyStore",Standalone!$E:$E,"",Standalone!$F:$F,256)),0)</f>
        <v>0.998549712628243</v>
      </c>
      <c r="C28" s="9" t="n">
        <f aca="false">IFERROR((SUMIFS(Chained!$P:$P,Chained!$C:$C,"MemoryStore-&gt;FileStore-&gt;LossyStore",Chained!$E:$E,"",Chained!$F:$F,1024))/(SUMIFS(Standalone!$P:$P,Standalone!$C:$C,"LossyStore",Standalone!$E:$E,"",Standalone!$F:$F,1024)),0)</f>
        <v>0.998180553325841</v>
      </c>
      <c r="D28" s="9" t="n">
        <f aca="false">IFERROR((SUMIFS(Chained!$P:$P,Chained!$C:$C,"MemoryStore-&gt;FileStore-&gt;LossyStore",Chained!$E:$E,"",Chained!$F:$F,4096))/(SUMIFS(Standalone!$P:$P,Standalone!$C:$C,"LossyStore",Standalone!$E:$E,"",Standalone!$F:$F,4096)),0)</f>
        <v>1.00016210958608</v>
      </c>
      <c r="E28" s="9" t="n">
        <f aca="false">IFERROR((SUMIFS(Chained!$P:$P,Chained!$C:$C,"MemoryStore-&gt;FileStore-&gt;LossyStore",Chained!$E:$E,"",Chained!$F:$F,16384))/(SUMIFS(Standalone!$P:$P,Standalone!$C:$C,"LossyStore",Standalone!$E:$E,"",Standalone!$F:$F,16384)),0)</f>
        <v>0.998474114441417</v>
      </c>
    </row>
    <row r="29" customFormat="false" ht="15" hidden="false" customHeight="false" outlineLevel="0" collapsed="false">
      <c r="A29" s="7" t="s">
        <v>156</v>
      </c>
      <c r="B29" s="9" t="n">
        <f aca="false">IFERROR((SUMIFS(Chained!$P:$P,Chained!$C:$C,"MemoryStore-&gt;FileStore-&gt;LossyStore",Chained!$E:$E,0.1,Chained!$F:$F,256))/(SUMIFS(Standalone!$P:$P,Standalone!$C:$C,"LossyStore",Standalone!$E:$E,0.1,Standalone!$F:$F,256)),0)</f>
        <v>0.996106381574606</v>
      </c>
      <c r="C29" s="9" t="n">
        <f aca="false">IFERROR((SUMIFS(Chained!$P:$P,Chained!$C:$C,"MemoryStore-&gt;FileStore-&gt;LossyStore",Chained!$E:$E,0.1,Chained!$F:$F,1024))/(SUMIFS(Standalone!$P:$P,Standalone!$C:$C,"LossyStore",Standalone!$E:$E,0.1,Standalone!$F:$F,1024)),0)</f>
        <v>0.99589802698488</v>
      </c>
      <c r="D29" s="9" t="n">
        <f aca="false">IFERROR((SUMIFS(Chained!$P:$P,Chained!$C:$C,"MemoryStore-&gt;FileStore-&gt;LossyStore",Chained!$E:$E,0.1,Chained!$F:$F,4096))/(SUMIFS(Standalone!$P:$P,Standalone!$C:$C,"LossyStore",Standalone!$E:$E,0.1,Standalone!$F:$F,4096)),0)</f>
        <v>1.0010083449235</v>
      </c>
      <c r="E29" s="9" t="n">
        <f aca="false">IFERROR((SUMIFS(Chained!$P:$P,Chained!$C:$C,"MemoryStore-&gt;FileStore-&gt;LossyStore",Chained!$E:$E,0.1,Chained!$F:$F,16384))/(SUMIFS(Standalone!$P:$P,Standalone!$C:$C,"LossyStore",Standalone!$E:$E,0.1,Standalone!$F:$F,16384)),0)</f>
        <v>0.996959304175653</v>
      </c>
    </row>
    <row r="30" customFormat="false" ht="15" hidden="false" customHeight="false" outlineLevel="0" collapsed="false">
      <c r="A30" s="7" t="s">
        <v>157</v>
      </c>
      <c r="B30" s="9" t="n">
        <f aca="false">IFERROR((SUMIFS(Chained!$P:$P,Chained!$C:$C,"MemoryStore-&gt;FileStore-&gt;LossyStore",Chained!$E:$E,1,Chained!$F:$F,256))/(SUMIFS(Standalone!$P:$P,Standalone!$C:$C,"LossyStore",Standalone!$E:$E,1,Standalone!$F:$F,256)),0)</f>
        <v>0.99577874362903</v>
      </c>
      <c r="C30" s="9" t="n">
        <f aca="false">IFERROR((SUMIFS(Chained!$P:$P,Chained!$C:$C,"MemoryStore-&gt;FileStore-&gt;LossyStore",Chained!$E:$E,1,Chained!$F:$F,1024))/(SUMIFS(Standalone!$P:$P,Standalone!$C:$C,"LossyStore",Standalone!$E:$E,1,Standalone!$F:$F,1024)),0)</f>
        <v>0.995521041438422</v>
      </c>
      <c r="D30" s="9" t="n">
        <f aca="false">IFERROR((SUMIFS(Chained!$P:$P,Chained!$C:$C,"MemoryStore-&gt;FileStore-&gt;LossyStore",Chained!$E:$E,1,Chained!$F:$F,4096))/(SUMIFS(Standalone!$P:$P,Standalone!$C:$C,"LossyStore",Standalone!$E:$E,1,Standalone!$F:$F,4096)),0)</f>
        <v>1.00119359437684</v>
      </c>
      <c r="E30" s="9" t="n">
        <f aca="false">IFERROR((SUMIFS(Chained!$P:$P,Chained!$C:$C,"MemoryStore-&gt;FileStore-&gt;LossyStore",Chained!$E:$E,1,Chained!$F:$F,16384))/(SUMIFS(Standalone!$P:$P,Standalone!$C:$C,"LossyStore",Standalone!$E:$E,1,Standalone!$F:$F,16384)),0)</f>
        <v>0.996601843752103</v>
      </c>
    </row>
    <row r="31" customFormat="false" ht="15" hidden="false" customHeight="false" outlineLevel="0" collapsed="false">
      <c r="A31" s="7" t="s">
        <v>158</v>
      </c>
      <c r="B31" s="9" t="n">
        <f aca="false">IFERROR((SUMIFS(Chained!$P:$P,Chained!$C:$C,"MemoryStore-&gt;FileStore-&gt;LossyStore",Chained!$E:$E,5,Chained!$F:$F,256))/(SUMIFS(Standalone!$P:$P,Standalone!$C:$C,"LossyStore",Standalone!$E:$E,5,Standalone!$F:$F,256)),0)</f>
        <v>0.995591654337389</v>
      </c>
      <c r="C31" s="9" t="n">
        <f aca="false">IFERROR((SUMIFS(Chained!$P:$P,Chained!$C:$C,"MemoryStore-&gt;FileStore-&gt;LossyStore",Chained!$E:$E,5,Chained!$F:$F,1024))/(SUMIFS(Standalone!$P:$P,Standalone!$C:$C,"LossyStore",Standalone!$E:$E,5,Standalone!$F:$F,1024)),0)</f>
        <v>0.995356037151703</v>
      </c>
      <c r="D31" s="9" t="n">
        <f aca="false">IFERROR((SUMIFS(Chained!$P:$P,Chained!$C:$C,"MemoryStore-&gt;FileStore-&gt;LossyStore",Chained!$E:$E,5,Chained!$F:$F,4096))/(SUMIFS(Standalone!$P:$P,Standalone!$C:$C,"LossyStore",Standalone!$E:$E,5,Standalone!$F:$F,4096)),0)</f>
        <v>0.999873461769637</v>
      </c>
      <c r="E31" s="9" t="n">
        <f aca="false">IFERROR((SUMIFS(Chained!$P:$P,Chained!$C:$C,"MemoryStore-&gt;FileStore-&gt;LossyStore",Chained!$E:$E,5,Chained!$F:$F,16384))/(SUMIFS(Standalone!$P:$P,Standalone!$C:$C,"LossyStore",Standalone!$E:$E,5,Standalone!$F:$F,16384)),0)</f>
        <v>0.994744720833201</v>
      </c>
    </row>
    <row r="33" customFormat="false" ht="15" hidden="false" customHeight="false" outlineLevel="0" collapsed="false">
      <c r="A33" s="10" t="s">
        <v>139</v>
      </c>
      <c r="B33" s="2" t="s">
        <v>214</v>
      </c>
    </row>
    <row r="34" customFormat="false" ht="15" hidden="false" customHeight="false" outlineLevel="0" collapsed="false">
      <c r="A34" s="10" t="s">
        <v>141</v>
      </c>
      <c r="B34" s="2"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10" min="2" style="0" width="13"/>
  </cols>
  <sheetData>
    <row r="1" customFormat="false" ht="15" hidden="false" customHeight="false" outlineLevel="0" collapsed="false">
      <c r="A1" s="8" t="s">
        <v>216</v>
      </c>
    </row>
    <row r="2" customFormat="false" ht="15" hidden="false" customHeight="false" outlineLevel="0" collapsed="false">
      <c r="A2" s="2" t="s">
        <v>217</v>
      </c>
    </row>
    <row r="4" customFormat="false" ht="15" hidden="false" customHeight="false" outlineLevel="0" collapsed="false">
      <c r="A4" s="3" t="s">
        <v>218</v>
      </c>
      <c r="B4" s="4"/>
      <c r="C4" s="4"/>
      <c r="D4" s="4"/>
      <c r="E4" s="4"/>
    </row>
    <row r="5" customFormat="false" ht="15" hidden="false" customHeight="false" outlineLevel="0" collapsed="false">
      <c r="A5" s="6" t="s">
        <v>130</v>
      </c>
      <c r="B5" s="6" t="s">
        <v>131</v>
      </c>
      <c r="C5" s="6" t="s">
        <v>132</v>
      </c>
      <c r="D5" s="6" t="s">
        <v>133</v>
      </c>
      <c r="E5" s="6" t="s">
        <v>134</v>
      </c>
    </row>
    <row r="6" customFormat="false" ht="15" hidden="false" customHeight="false" outlineLevel="0" collapsed="false">
      <c r="A6" s="7" t="s">
        <v>135</v>
      </c>
      <c r="B6" s="9" t="n">
        <f aca="false">SUMIFS(Standalone!$P:$P,Standalone!$C:$C,"LossyStore",Standalone!$E:$E,"",Standalone!$F:$F,256)</f>
        <v>1.8617</v>
      </c>
      <c r="C6" s="9" t="n">
        <f aca="false">SUMIFS(Standalone!$P:$P,Standalone!$C:$C,"LossyStore",Standalone!$E:$E,"",Standalone!$F:$F,1024)</f>
        <v>1.8687</v>
      </c>
      <c r="D6" s="9" t="n">
        <f aca="false">SUMIFS(Standalone!$P:$P,Standalone!$C:$C,"LossyStore",Standalone!$E:$E,"",Standalone!$F:$F,4096)</f>
        <v>1.8506</v>
      </c>
      <c r="E6" s="9" t="n">
        <f aca="false">SUMIFS(Standalone!$P:$P,Standalone!$C:$C,"LossyStore",Standalone!$E:$E,"",Standalone!$F:$F,16384)</f>
        <v>1.835</v>
      </c>
    </row>
    <row r="7" customFormat="false" ht="15" hidden="false" customHeight="false" outlineLevel="0" collapsed="false">
      <c r="A7" s="7" t="s">
        <v>136</v>
      </c>
      <c r="B7" s="9" t="n">
        <f aca="false">SUMIFS(Standalone!$P:$P,Standalone!$C:$C,"LossyStore",Standalone!$E:$E,0.1,Standalone!$F:$F,256)</f>
        <v>3.0306</v>
      </c>
      <c r="C7" s="9" t="n">
        <f aca="false">SUMIFS(Standalone!$P:$P,Standalone!$C:$C,"LossyStore",Standalone!$E:$E,0.1,Standalone!$F:$F,1024)</f>
        <v>2.9498</v>
      </c>
      <c r="D7" s="9" t="n">
        <f aca="false">SUMIFS(Standalone!$P:$P,Standalone!$C:$C,"LossyStore",Standalone!$E:$E,0.1,Standalone!$F:$F,4096)</f>
        <v>2.876</v>
      </c>
      <c r="E7" s="9" t="n">
        <f aca="false">SUMIFS(Standalone!$P:$P,Standalone!$C:$C,"LossyStore",Standalone!$E:$E,0.1,Standalone!$F:$F,16384)</f>
        <v>2.8283</v>
      </c>
    </row>
    <row r="8" customFormat="false" ht="15" hidden="false" customHeight="false" outlineLevel="0" collapsed="false">
      <c r="A8" s="7" t="s">
        <v>137</v>
      </c>
      <c r="B8" s="9" t="n">
        <f aca="false">SUMIFS(Standalone!$P:$P,Standalone!$C:$C,"LossyStore",Standalone!$E:$E,1,Standalone!$F:$F,256)</f>
        <v>3.1981</v>
      </c>
      <c r="C8" s="9" t="n">
        <f aca="false">SUMIFS(Standalone!$P:$P,Standalone!$C:$C,"LossyStore",Standalone!$E:$E,1,Standalone!$F:$F,1024)</f>
        <v>3.1034</v>
      </c>
      <c r="D8" s="9" t="n">
        <f aca="false">SUMIFS(Standalone!$P:$P,Standalone!$C:$C,"LossyStore",Standalone!$E:$E,1,Standalone!$F:$F,4096)</f>
        <v>3.0161</v>
      </c>
      <c r="E8" s="9" t="n">
        <f aca="false">SUMIFS(Standalone!$P:$P,Standalone!$C:$C,"LossyStore",Standalone!$E:$E,1,Standalone!$F:$F,16384)</f>
        <v>2.9722</v>
      </c>
    </row>
    <row r="9" customFormat="false" ht="15" hidden="false" customHeight="false" outlineLevel="0" collapsed="false">
      <c r="A9" s="7" t="s">
        <v>138</v>
      </c>
      <c r="B9" s="9" t="n">
        <f aca="false">SUMIFS(Standalone!$P:$P,Standalone!$C:$C,"LossyStore",Standalone!$E:$E,5,Standalone!$F:$F,256)</f>
        <v>3.3119</v>
      </c>
      <c r="C9" s="9" t="n">
        <f aca="false">SUMIFS(Standalone!$P:$P,Standalone!$C:$C,"LossyStore",Standalone!$E:$E,5,Standalone!$F:$F,1024)</f>
        <v>3.23</v>
      </c>
      <c r="D9" s="9" t="n">
        <f aca="false">SUMIFS(Standalone!$P:$P,Standalone!$C:$C,"LossyStore",Standalone!$E:$E,5,Standalone!$F:$F,4096)</f>
        <v>3.1611</v>
      </c>
      <c r="E9" s="9" t="n">
        <f aca="false">SUMIFS(Standalone!$P:$P,Standalone!$C:$C,"LossyStore",Standalone!$E:$E,5,Standalone!$F:$F,16384)</f>
        <v>3.1397</v>
      </c>
    </row>
    <row r="11" customFormat="false" ht="15" hidden="false" customHeight="false" outlineLevel="0" collapsed="false">
      <c r="A11" s="10" t="s">
        <v>139</v>
      </c>
      <c r="B11" s="2" t="s">
        <v>219</v>
      </c>
    </row>
    <row r="12" customFormat="false" ht="15" hidden="false" customHeight="false" outlineLevel="0" collapsed="false">
      <c r="A12" s="10" t="s">
        <v>141</v>
      </c>
      <c r="B12" s="2" t="s">
        <v>220</v>
      </c>
    </row>
    <row r="14" customFormat="false" ht="15" hidden="false" customHeight="false" outlineLevel="0" collapsed="false">
      <c r="A14" s="3" t="s">
        <v>221</v>
      </c>
      <c r="B14" s="4"/>
      <c r="C14" s="4"/>
      <c r="D14" s="4"/>
      <c r="E14" s="4"/>
    </row>
    <row r="15" customFormat="false" ht="15" hidden="false" customHeight="false" outlineLevel="0" collapsed="false">
      <c r="A15" s="2" t="s">
        <v>222</v>
      </c>
    </row>
    <row r="16" customFormat="false" ht="15" hidden="false" customHeight="false" outlineLevel="0" collapsed="false">
      <c r="A16" s="6" t="s">
        <v>130</v>
      </c>
      <c r="B16" s="6" t="s">
        <v>131</v>
      </c>
      <c r="C16" s="6" t="s">
        <v>132</v>
      </c>
      <c r="D16" s="6" t="s">
        <v>133</v>
      </c>
      <c r="E16" s="6" t="s">
        <v>134</v>
      </c>
    </row>
    <row r="17" customFormat="false" ht="15" hidden="false" customHeight="false" outlineLevel="0" collapsed="false">
      <c r="A17" s="7" t="s">
        <v>136</v>
      </c>
      <c r="B17" s="9" t="n">
        <f aca="false">B7/B6</f>
        <v>1.62786700327658</v>
      </c>
      <c r="C17" s="9" t="n">
        <f aca="false">C7/C6</f>
        <v>1.57853052924493</v>
      </c>
      <c r="D17" s="9" t="n">
        <f aca="false">D7/D6</f>
        <v>1.55409056522209</v>
      </c>
      <c r="E17" s="9" t="n">
        <f aca="false">E7/E6</f>
        <v>1.54130790190736</v>
      </c>
    </row>
    <row r="18" customFormat="false" ht="15" hidden="false" customHeight="false" outlineLevel="0" collapsed="false">
      <c r="A18" s="7" t="s">
        <v>137</v>
      </c>
      <c r="B18" s="9" t="n">
        <f aca="false">B8/B6</f>
        <v>1.71783853467261</v>
      </c>
      <c r="C18" s="9" t="n">
        <f aca="false">C8/C6</f>
        <v>1.66072670840691</v>
      </c>
      <c r="D18" s="9" t="n">
        <f aca="false">D8/D6</f>
        <v>1.62979574192154</v>
      </c>
      <c r="E18" s="9" t="n">
        <f aca="false">E8/E6</f>
        <v>1.61972752043597</v>
      </c>
    </row>
    <row r="19" customFormat="false" ht="15" hidden="false" customHeight="false" outlineLevel="0" collapsed="false">
      <c r="A19" s="7" t="s">
        <v>138</v>
      </c>
      <c r="B19" s="9" t="n">
        <f aca="false">B9/B6</f>
        <v>1.77896546167481</v>
      </c>
      <c r="C19" s="9" t="n">
        <f aca="false">C9/C6</f>
        <v>1.72847434045058</v>
      </c>
      <c r="D19" s="9" t="n">
        <f aca="false">D9/D6</f>
        <v>1.70814870852696</v>
      </c>
      <c r="E19" s="9" t="n">
        <f aca="false">E9/E6</f>
        <v>1.71100817438692</v>
      </c>
    </row>
    <row r="22" customFormat="false" ht="15" hidden="false" customHeight="false" outlineLevel="0" collapsed="false">
      <c r="A22" s="10" t="s">
        <v>139</v>
      </c>
      <c r="B22" s="2" t="s">
        <v>223</v>
      </c>
    </row>
    <row r="23" customFormat="false" ht="15" hidden="false" customHeight="false" outlineLevel="0" collapsed="false">
      <c r="A23" s="10" t="s">
        <v>141</v>
      </c>
      <c r="B23" s="2" t="s">
        <v>224</v>
      </c>
    </row>
    <row r="26" customFormat="false" ht="15" hidden="false" customHeight="false" outlineLevel="0" collapsed="false">
      <c r="A26" s="3" t="s">
        <v>225</v>
      </c>
      <c r="B26" s="4"/>
      <c r="C26" s="4"/>
      <c r="D26" s="4"/>
      <c r="E26" s="4"/>
      <c r="F26" s="4"/>
      <c r="G26" s="4"/>
    </row>
    <row r="27" customFormat="false" ht="15" hidden="false" customHeight="false" outlineLevel="0" collapsed="false">
      <c r="A27" s="2" t="s">
        <v>226</v>
      </c>
    </row>
    <row r="28" customFormat="false" ht="15" hidden="false" customHeight="false" outlineLevel="0" collapsed="false">
      <c r="A28" s="6" t="s">
        <v>227</v>
      </c>
      <c r="B28" s="6" t="s">
        <v>90</v>
      </c>
      <c r="C28" s="6" t="s">
        <v>228</v>
      </c>
      <c r="D28" s="6" t="s">
        <v>229</v>
      </c>
      <c r="E28" s="6" t="s">
        <v>94</v>
      </c>
      <c r="F28" s="6" t="s">
        <v>230</v>
      </c>
      <c r="G28" s="6" t="s">
        <v>231</v>
      </c>
    </row>
    <row r="29" customFormat="false" ht="15" hidden="false" customHeight="false" outlineLevel="0" collapsed="false">
      <c r="A29" s="7" t="n">
        <v>0</v>
      </c>
      <c r="B29" s="13" t="n">
        <v>326573665</v>
      </c>
      <c r="C29" s="7" t="n">
        <v>7.6481</v>
      </c>
      <c r="D29" s="15" t="n">
        <f aca="false">IFERROR(B29/B29-1,0)</f>
        <v>0</v>
      </c>
      <c r="E29" s="7" t="s">
        <v>104</v>
      </c>
      <c r="F29" s="7" t="n">
        <v>0</v>
      </c>
      <c r="G29" s="16" t="n">
        <f aca="false">A29/100</f>
        <v>0</v>
      </c>
    </row>
    <row r="30" customFormat="false" ht="15" hidden="false" customHeight="false" outlineLevel="0" collapsed="false">
      <c r="A30" s="7" t="n">
        <v>0.01</v>
      </c>
      <c r="B30" s="13" t="n">
        <v>86385645</v>
      </c>
      <c r="C30" s="7" t="n">
        <v>2.0231</v>
      </c>
      <c r="D30" s="15" t="n">
        <f aca="false">IFERROR(B30/B29-1,0)</f>
        <v>-0.735478839054582</v>
      </c>
      <c r="E30" s="7" t="s">
        <v>107</v>
      </c>
      <c r="F30" s="7" t="n">
        <v>9.9999994E-005</v>
      </c>
      <c r="G30" s="16" t="n">
        <f aca="false">A30/100</f>
        <v>0.0001</v>
      </c>
    </row>
    <row r="31" customFormat="false" ht="15" hidden="false" customHeight="false" outlineLevel="0" collapsed="false">
      <c r="A31" s="7" t="n">
        <v>0.1</v>
      </c>
      <c r="B31" s="13" t="n">
        <v>71537477</v>
      </c>
      <c r="C31" s="7" t="n">
        <v>1.6754</v>
      </c>
      <c r="D31" s="15" t="n">
        <f aca="false">IFERROR(B31/B29-1,0)</f>
        <v>-0.780945358836574</v>
      </c>
      <c r="E31" s="7" t="s">
        <v>107</v>
      </c>
      <c r="F31" s="7" t="n">
        <v>0.000999999975</v>
      </c>
      <c r="G31" s="16" t="n">
        <f aca="false">A31/100</f>
        <v>0.001</v>
      </c>
    </row>
    <row r="32" customFormat="false" ht="15" hidden="false" customHeight="false" outlineLevel="0" collapsed="false">
      <c r="A32" s="7" t="n">
        <v>0.5</v>
      </c>
      <c r="B32" s="13" t="n">
        <v>58908943</v>
      </c>
      <c r="C32" s="7" t="n">
        <v>1.3796</v>
      </c>
      <c r="D32" s="15" t="n">
        <f aca="false">IFERROR(B32/B29-1,0)</f>
        <v>-0.819615145636437</v>
      </c>
      <c r="E32" s="7" t="s">
        <v>107</v>
      </c>
      <c r="F32" s="7" t="n">
        <v>0.00499999973</v>
      </c>
      <c r="G32" s="16" t="n">
        <f aca="false">A32/100</f>
        <v>0.005</v>
      </c>
    </row>
    <row r="33" customFormat="false" ht="15" hidden="false" customHeight="false" outlineLevel="0" collapsed="false">
      <c r="A33" s="7" t="n">
        <v>1</v>
      </c>
      <c r="B33" s="13" t="n">
        <v>53961312</v>
      </c>
      <c r="C33" s="7" t="n">
        <v>1.2637</v>
      </c>
      <c r="D33" s="15" t="n">
        <f aca="false">IFERROR(B33/B29-1,0)</f>
        <v>-0.834765268044501</v>
      </c>
      <c r="E33" s="7" t="s">
        <v>107</v>
      </c>
      <c r="F33" s="7" t="n">
        <v>0.00999999956</v>
      </c>
      <c r="G33" s="16" t="n">
        <f aca="false">A33/100</f>
        <v>0.01</v>
      </c>
    </row>
    <row r="34" customFormat="false" ht="15" hidden="false" customHeight="false" outlineLevel="0" collapsed="false">
      <c r="A34" s="7" t="n">
        <v>2</v>
      </c>
      <c r="B34" s="13" t="n">
        <v>41348630</v>
      </c>
      <c r="C34" s="7" t="n">
        <v>0.9684</v>
      </c>
      <c r="D34" s="15" t="n">
        <f aca="false">IFERROR(B34/B29-1,0)</f>
        <v>-0.873386514494364</v>
      </c>
      <c r="E34" s="7" t="s">
        <v>107</v>
      </c>
      <c r="F34" s="7" t="n">
        <v>0.0199999988</v>
      </c>
      <c r="G34" s="16" t="n">
        <f aca="false">A34/100</f>
        <v>0.02</v>
      </c>
    </row>
    <row r="35" customFormat="false" ht="15" hidden="false" customHeight="false" outlineLevel="0" collapsed="false">
      <c r="A35" s="17" t="n">
        <v>5</v>
      </c>
      <c r="B35" s="18" t="n">
        <v>42539407</v>
      </c>
      <c r="C35" s="17" t="n">
        <v>0.9962</v>
      </c>
      <c r="D35" s="19" t="n">
        <f aca="false">IFERROR(B35/B29-1,0)</f>
        <v>-0.869740240689647</v>
      </c>
      <c r="E35" s="17" t="s">
        <v>107</v>
      </c>
      <c r="F35" s="17" t="n">
        <v>0.0499999992</v>
      </c>
      <c r="G35" s="20" t="n">
        <f aca="false">A35/100</f>
        <v>0.05</v>
      </c>
    </row>
    <row r="36" customFormat="false" ht="15" hidden="false" customHeight="false" outlineLevel="0" collapsed="false">
      <c r="A36" s="7" t="n">
        <v>10</v>
      </c>
      <c r="B36" s="13" t="n">
        <v>33928095</v>
      </c>
      <c r="C36" s="7" t="n">
        <v>0.7946</v>
      </c>
      <c r="D36" s="15" t="n">
        <f aca="false">IFERROR(B36/B29-1,0)</f>
        <v>-0.896108907005713</v>
      </c>
      <c r="E36" s="7" t="s">
        <v>107</v>
      </c>
      <c r="F36" s="7" t="n">
        <v>0.0999999948</v>
      </c>
      <c r="G36" s="16" t="n">
        <f aca="false">A36/100</f>
        <v>0.1</v>
      </c>
    </row>
    <row r="37" customFormat="false" ht="15" hidden="false" customHeight="false" outlineLevel="0" collapsed="false">
      <c r="A37" s="7" t="n">
        <v>20</v>
      </c>
      <c r="B37" s="13" t="n">
        <v>30385718</v>
      </c>
      <c r="C37" s="7" t="n">
        <v>0.7116</v>
      </c>
      <c r="D37" s="15" t="n">
        <f aca="false">IFERROR(B37/B29-1,0)</f>
        <v>-0.906956006388329</v>
      </c>
      <c r="E37" s="7" t="s">
        <v>107</v>
      </c>
      <c r="F37" s="7" t="n">
        <v>0.199999992</v>
      </c>
      <c r="G37" s="16" t="n">
        <f aca="false">A37/100</f>
        <v>0.2</v>
      </c>
    </row>
    <row r="39" customFormat="false" ht="15" hidden="false" customHeight="false" outlineLevel="0" collapsed="false">
      <c r="A39" s="2" t="s">
        <v>232</v>
      </c>
    </row>
    <row r="40" customFormat="false" ht="15" hidden="false" customHeight="false" outlineLevel="0" collapsed="false">
      <c r="A40" s="2" t="s">
        <v>233</v>
      </c>
    </row>
    <row r="41" customFormat="false" ht="15" hidden="false" customHeight="false" outlineLevel="0" collapsed="false">
      <c r="A41" s="2" t="s">
        <v>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5" min="2" style="0" width="12"/>
  </cols>
  <sheetData>
    <row r="1" customFormat="false" ht="15" hidden="false" customHeight="false" outlineLevel="0" collapsed="false">
      <c r="A1" s="8" t="s">
        <v>235</v>
      </c>
    </row>
    <row r="3" customFormat="false" ht="15" hidden="false" customHeight="false" outlineLevel="0" collapsed="false">
      <c r="A3" s="3" t="s">
        <v>236</v>
      </c>
      <c r="B3" s="4"/>
      <c r="C3" s="4"/>
      <c r="D3" s="4"/>
      <c r="E3" s="4"/>
    </row>
    <row r="4" customFormat="false" ht="15" hidden="false" customHeight="false" outlineLevel="0" collapsed="false">
      <c r="A4" s="2" t="s">
        <v>237</v>
      </c>
    </row>
    <row r="5" customFormat="false" ht="15" hidden="false" customHeight="false" outlineLevel="0" collapsed="false">
      <c r="A5" s="6" t="s">
        <v>130</v>
      </c>
      <c r="B5" s="6" t="s">
        <v>131</v>
      </c>
      <c r="C5" s="6" t="s">
        <v>132</v>
      </c>
      <c r="D5" s="6" t="s">
        <v>133</v>
      </c>
      <c r="E5" s="6" t="s">
        <v>134</v>
      </c>
    </row>
    <row r="6" customFormat="false" ht="15" hidden="false" customHeight="false" outlineLevel="0" collapsed="false">
      <c r="A6" s="7" t="s">
        <v>82</v>
      </c>
      <c r="B6" s="21" t="n">
        <f aca="false">SUMIFS(Standalone!$O:$O,Standalone!$C:$C,"FileStore",Standalone!$E:$E,"",Standalone!$F:$F,256)</f>
        <v>0.000275</v>
      </c>
      <c r="C6" s="21" t="n">
        <f aca="false">SUMIFS(Standalone!$O:$O,Standalone!$C:$C,"FileStore",Standalone!$E:$E,"",Standalone!$F:$F,1024)</f>
        <v>6.9E-005</v>
      </c>
      <c r="D6" s="21" t="n">
        <f aca="false">SUMIFS(Standalone!$O:$O,Standalone!$C:$C,"FileStore",Standalone!$E:$E,"",Standalone!$F:$F,4096)</f>
        <v>1.8E-005</v>
      </c>
      <c r="E6" s="21" t="n">
        <f aca="false">SUMIFS(Standalone!$O:$O,Standalone!$C:$C,"FileStore",Standalone!$E:$E,"",Standalone!$F:$F,16384)</f>
        <v>5E-006</v>
      </c>
    </row>
    <row r="7" customFormat="false" ht="15" hidden="false" customHeight="false" outlineLevel="0" collapsed="false">
      <c r="A7" s="7" t="s">
        <v>79</v>
      </c>
      <c r="B7" s="21" t="n">
        <f aca="false">SUMIFS(Standalone!$O:$O,Standalone!$C:$C,"CompressedStore",Standalone!$E:$E,"",Standalone!$F:$F,256)</f>
        <v>0.000259</v>
      </c>
      <c r="C7" s="21" t="n">
        <f aca="false">SUMIFS(Standalone!$O:$O,Standalone!$C:$C,"CompressedStore",Standalone!$E:$E,"",Standalone!$F:$F,1024)</f>
        <v>6.5E-005</v>
      </c>
      <c r="D7" s="21" t="n">
        <f aca="false">SUMIFS(Standalone!$O:$O,Standalone!$C:$C,"CompressedStore",Standalone!$E:$E,"",Standalone!$F:$F,4096)</f>
        <v>1.7E-005</v>
      </c>
      <c r="E7" s="21" t="n">
        <f aca="false">SUMIFS(Standalone!$O:$O,Standalone!$C:$C,"CompressedStore",Standalone!$E:$E,"",Standalone!$F:$F,16384)</f>
        <v>5E-006</v>
      </c>
    </row>
    <row r="8" customFormat="false" ht="15" hidden="false" customHeight="false" outlineLevel="0" collapsed="false">
      <c r="A8" s="7" t="s">
        <v>135</v>
      </c>
      <c r="B8" s="21" t="n">
        <f aca="false">SUMIFS(Standalone!$O:$O,Standalone!$C:$C,"LossyStore",Standalone!$E:$E,"",Standalone!$F:$F,256)</f>
        <v>0.001674</v>
      </c>
      <c r="C8" s="21" t="n">
        <f aca="false">SUMIFS(Standalone!$O:$O,Standalone!$C:$C,"LossyStore",Standalone!$E:$E,"",Standalone!$F:$F,1024)</f>
        <v>0.000421</v>
      </c>
      <c r="D8" s="21" t="n">
        <f aca="false">SUMIFS(Standalone!$O:$O,Standalone!$C:$C,"LossyStore",Standalone!$E:$E,"",Standalone!$F:$F,4096)</f>
        <v>0.000105</v>
      </c>
      <c r="E8" s="21" t="n">
        <f aca="false">SUMIFS(Standalone!$O:$O,Standalone!$C:$C,"LossyStore",Standalone!$E:$E,"",Standalone!$F:$F,16384)</f>
        <v>2.7E-005</v>
      </c>
    </row>
    <row r="9" customFormat="false" ht="15" hidden="false" customHeight="false" outlineLevel="0" collapsed="false">
      <c r="A9" s="7" t="s">
        <v>136</v>
      </c>
      <c r="B9" s="21" t="n">
        <f aca="false">SUMIFS(Standalone!$O:$O,Standalone!$C:$C,"LossyStore",Standalone!$E:$E,0.1,Standalone!$F:$F,256)</f>
        <v>0.002722</v>
      </c>
      <c r="C9" s="21" t="n">
        <f aca="false">SUMIFS(Standalone!$O:$O,Standalone!$C:$C,"LossyStore",Standalone!$E:$E,0.1,Standalone!$F:$F,1024)</f>
        <v>0.000665</v>
      </c>
      <c r="D9" s="21" t="n">
        <f aca="false">SUMIFS(Standalone!$O:$O,Standalone!$C:$C,"LossyStore",Standalone!$E:$E,0.1,Standalone!$F:$F,4096)</f>
        <v>0.000163</v>
      </c>
      <c r="E9" s="21" t="n">
        <f aca="false">SUMIFS(Standalone!$O:$O,Standalone!$C:$C,"LossyStore",Standalone!$E:$E,0.1,Standalone!$F:$F,16384)</f>
        <v>4.1E-005</v>
      </c>
    </row>
    <row r="10" customFormat="false" ht="15" hidden="false" customHeight="false" outlineLevel="0" collapsed="false">
      <c r="A10" s="7" t="s">
        <v>137</v>
      </c>
      <c r="B10" s="21" t="n">
        <f aca="false">SUMIFS(Standalone!$O:$O,Standalone!$C:$C,"LossyStore",Standalone!$E:$E,1,Standalone!$F:$F,256)</f>
        <v>0.002872</v>
      </c>
      <c r="C10" s="21" t="n">
        <f aca="false">SUMIFS(Standalone!$O:$O,Standalone!$C:$C,"LossyStore",Standalone!$E:$E,1,Standalone!$F:$F,1024)</f>
        <v>0.000699</v>
      </c>
      <c r="D10" s="21" t="n">
        <f aca="false">SUMIFS(Standalone!$O:$O,Standalone!$C:$C,"LossyStore",Standalone!$E:$E,1,Standalone!$F:$F,4096)</f>
        <v>0.000171</v>
      </c>
      <c r="E10" s="21" t="n">
        <f aca="false">SUMIFS(Standalone!$O:$O,Standalone!$C:$C,"LossyStore",Standalone!$E:$E,1,Standalone!$F:$F,16384)</f>
        <v>4.3E-005</v>
      </c>
    </row>
    <row r="11" customFormat="false" ht="15" hidden="false" customHeight="false" outlineLevel="0" collapsed="false">
      <c r="A11" s="7" t="s">
        <v>138</v>
      </c>
      <c r="B11" s="21" t="n">
        <f aca="false">SUMIFS(Standalone!$O:$O,Standalone!$C:$C,"LossyStore",Standalone!$E:$E,5,Standalone!$F:$F,256)</f>
        <v>0.002974</v>
      </c>
      <c r="C11" s="21" t="n">
        <f aca="false">SUMIFS(Standalone!$O:$O,Standalone!$C:$C,"LossyStore",Standalone!$E:$E,5,Standalone!$F:$F,1024)</f>
        <v>0.000728</v>
      </c>
      <c r="D11" s="21" t="n">
        <f aca="false">SUMIFS(Standalone!$O:$O,Standalone!$C:$C,"LossyStore",Standalone!$E:$E,5,Standalone!$F:$F,4096)</f>
        <v>0.000179</v>
      </c>
      <c r="E11" s="21" t="n">
        <f aca="false">SUMIFS(Standalone!$O:$O,Standalone!$C:$C,"LossyStore",Standalone!$E:$E,5,Standalone!$F:$F,16384)</f>
        <v>4.6E-005</v>
      </c>
    </row>
    <row r="13" customFormat="false" ht="15" hidden="false" customHeight="false" outlineLevel="0" collapsed="false">
      <c r="A13" s="10" t="s">
        <v>139</v>
      </c>
      <c r="B13" s="2" t="s">
        <v>238</v>
      </c>
    </row>
    <row r="14" customFormat="false" ht="15" hidden="false" customHeight="false" outlineLevel="0" collapsed="false">
      <c r="A14" s="10" t="s">
        <v>141</v>
      </c>
      <c r="B14" s="2" t="s">
        <v>239</v>
      </c>
    </row>
    <row r="16" customFormat="false" ht="15" hidden="false" customHeight="false" outlineLevel="0" collapsed="false">
      <c r="A16" s="3" t="s">
        <v>240</v>
      </c>
      <c r="B16" s="4"/>
      <c r="C16" s="4"/>
      <c r="D16" s="4"/>
      <c r="E16" s="4"/>
    </row>
    <row r="17" customFormat="false" ht="15" hidden="false" customHeight="false" outlineLevel="0" collapsed="false">
      <c r="A17" s="6" t="s">
        <v>130</v>
      </c>
      <c r="B17" s="6" t="s">
        <v>131</v>
      </c>
      <c r="C17" s="6" t="s">
        <v>132</v>
      </c>
      <c r="D17" s="6" t="s">
        <v>133</v>
      </c>
      <c r="E17" s="6" t="s">
        <v>134</v>
      </c>
    </row>
    <row r="18" customFormat="false" ht="15" hidden="false" customHeight="false" outlineLevel="0" collapsed="false">
      <c r="A18" s="7" t="s">
        <v>82</v>
      </c>
      <c r="B18" s="12" t="n">
        <f aca="false">SUMIFS(Standalone!$R:$R,Standalone!$C:$C,"FileStore",Standalone!$E:$E,"",Standalone!$F:$F,256)</f>
        <v>4561</v>
      </c>
      <c r="C18" s="12" t="n">
        <f aca="false">SUMIFS(Standalone!$R:$R,Standalone!$C:$C,"FileStore",Standalone!$E:$E,"",Standalone!$F:$F,1024)</f>
        <v>1141</v>
      </c>
      <c r="D18" s="12" t="n">
        <f aca="false">SUMIFS(Standalone!$R:$R,Standalone!$C:$C,"FileStore",Standalone!$E:$E,"",Standalone!$F:$F,4096)</f>
        <v>286</v>
      </c>
      <c r="E18" s="12" t="n">
        <f aca="false">SUMIFS(Standalone!$R:$R,Standalone!$C:$C,"FileStore",Standalone!$E:$E,"",Standalone!$F:$F,16384)</f>
        <v>72</v>
      </c>
    </row>
    <row r="19" customFormat="false" ht="15" hidden="false" customHeight="false" outlineLevel="0" collapsed="false">
      <c r="A19" s="7" t="s">
        <v>79</v>
      </c>
      <c r="B19" s="12" t="n">
        <f aca="false">SUMIFS(Standalone!$R:$R,Standalone!$C:$C,"CompressedStore",Standalone!$E:$E,"",Standalone!$F:$F,256)</f>
        <v>4561</v>
      </c>
      <c r="C19" s="12" t="n">
        <f aca="false">SUMIFS(Standalone!$R:$R,Standalone!$C:$C,"CompressedStore",Standalone!$E:$E,"",Standalone!$F:$F,1024)</f>
        <v>1141</v>
      </c>
      <c r="D19" s="12" t="n">
        <f aca="false">SUMIFS(Standalone!$R:$R,Standalone!$C:$C,"CompressedStore",Standalone!$E:$E,"",Standalone!$F:$F,4096)</f>
        <v>286</v>
      </c>
      <c r="E19" s="12" t="n">
        <f aca="false">SUMIFS(Standalone!$R:$R,Standalone!$C:$C,"CompressedStore",Standalone!$E:$E,"",Standalone!$F:$F,16384)</f>
        <v>72</v>
      </c>
    </row>
    <row r="20" customFormat="false" ht="15" hidden="false" customHeight="false" outlineLevel="0" collapsed="false">
      <c r="A20" s="7" t="s">
        <v>135</v>
      </c>
      <c r="B20" s="12" t="n">
        <f aca="false">SUMIFS(Standalone!$R:$R,Standalone!$C:$C,"LossyStore",Standalone!$E:$E,"",Standalone!$F:$F,256)</f>
        <v>4561</v>
      </c>
      <c r="C20" s="12" t="n">
        <f aca="false">SUMIFS(Standalone!$R:$R,Standalone!$C:$C,"LossyStore",Standalone!$E:$E,"",Standalone!$F:$F,1024)</f>
        <v>1141</v>
      </c>
      <c r="D20" s="12" t="n">
        <f aca="false">SUMIFS(Standalone!$R:$R,Standalone!$C:$C,"LossyStore",Standalone!$E:$E,"",Standalone!$F:$F,4096)</f>
        <v>286</v>
      </c>
      <c r="E20" s="12" t="n">
        <f aca="false">SUMIFS(Standalone!$R:$R,Standalone!$C:$C,"LossyStore",Standalone!$E:$E,"",Standalone!$F:$F,16384)</f>
        <v>72</v>
      </c>
    </row>
    <row r="21" customFormat="false" ht="15" hidden="false" customHeight="false" outlineLevel="0" collapsed="false">
      <c r="A21" s="7" t="s">
        <v>136</v>
      </c>
      <c r="B21" s="12" t="n">
        <f aca="false">SUMIFS(Standalone!$R:$R,Standalone!$C:$C,"LossyStore",Standalone!$E:$E,0.1,Standalone!$F:$F,256)</f>
        <v>4561</v>
      </c>
      <c r="C21" s="12" t="n">
        <f aca="false">SUMIFS(Standalone!$R:$R,Standalone!$C:$C,"LossyStore",Standalone!$E:$E,0.1,Standalone!$F:$F,1024)</f>
        <v>1141</v>
      </c>
      <c r="D21" s="12" t="n">
        <f aca="false">SUMIFS(Standalone!$R:$R,Standalone!$C:$C,"LossyStore",Standalone!$E:$E,0.1,Standalone!$F:$F,4096)</f>
        <v>286</v>
      </c>
      <c r="E21" s="12" t="n">
        <f aca="false">SUMIFS(Standalone!$R:$R,Standalone!$C:$C,"LossyStore",Standalone!$E:$E,0.1,Standalone!$F:$F,16384)</f>
        <v>72</v>
      </c>
    </row>
    <row r="22" customFormat="false" ht="15" hidden="false" customHeight="false" outlineLevel="0" collapsed="false">
      <c r="A22" s="7" t="s">
        <v>137</v>
      </c>
      <c r="B22" s="12" t="n">
        <f aca="false">SUMIFS(Standalone!$R:$R,Standalone!$C:$C,"LossyStore",Standalone!$E:$E,1,Standalone!$F:$F,256)</f>
        <v>4561</v>
      </c>
      <c r="C22" s="12" t="n">
        <f aca="false">SUMIFS(Standalone!$R:$R,Standalone!$C:$C,"LossyStore",Standalone!$E:$E,1,Standalone!$F:$F,1024)</f>
        <v>1141</v>
      </c>
      <c r="D22" s="12" t="n">
        <f aca="false">SUMIFS(Standalone!$R:$R,Standalone!$C:$C,"LossyStore",Standalone!$E:$E,1,Standalone!$F:$F,4096)</f>
        <v>286</v>
      </c>
      <c r="E22" s="12" t="n">
        <f aca="false">SUMIFS(Standalone!$R:$R,Standalone!$C:$C,"LossyStore",Standalone!$E:$E,1,Standalone!$F:$F,16384)</f>
        <v>72</v>
      </c>
    </row>
    <row r="23" customFormat="false" ht="15" hidden="false" customHeight="false" outlineLevel="0" collapsed="false">
      <c r="A23" s="7" t="s">
        <v>138</v>
      </c>
      <c r="B23" s="12" t="n">
        <f aca="false">SUMIFS(Standalone!$R:$R,Standalone!$C:$C,"LossyStore",Standalone!$E:$E,5,Standalone!$F:$F,256)</f>
        <v>4561</v>
      </c>
      <c r="C23" s="12" t="n">
        <f aca="false">SUMIFS(Standalone!$R:$R,Standalone!$C:$C,"LossyStore",Standalone!$E:$E,5,Standalone!$F:$F,1024)</f>
        <v>1141</v>
      </c>
      <c r="D23" s="12" t="n">
        <f aca="false">SUMIFS(Standalone!$R:$R,Standalone!$C:$C,"LossyStore",Standalone!$E:$E,5,Standalone!$F:$F,4096)</f>
        <v>286</v>
      </c>
      <c r="E23" s="12" t="n">
        <f aca="false">SUMIFS(Standalone!$R:$R,Standalone!$C:$C,"LossyStore",Standalone!$E:$E,5,Standalone!$F:$F,16384)</f>
        <v>72</v>
      </c>
    </row>
    <row r="25" customFormat="false" ht="15" hidden="false" customHeight="false" outlineLevel="0" collapsed="false">
      <c r="A25" s="10" t="s">
        <v>139</v>
      </c>
      <c r="B25" s="2" t="s">
        <v>241</v>
      </c>
    </row>
    <row r="26" customFormat="false" ht="15" hidden="false" customHeight="false" outlineLevel="0" collapsed="false">
      <c r="A26" s="10" t="s">
        <v>141</v>
      </c>
      <c r="B26" s="2" t="s">
        <v>242</v>
      </c>
    </row>
    <row r="28" customFormat="false" ht="15" hidden="false" customHeight="false" outlineLevel="0" collapsed="false">
      <c r="A28" s="3" t="s">
        <v>243</v>
      </c>
      <c r="B28" s="4"/>
      <c r="C28" s="4"/>
      <c r="D28" s="4"/>
      <c r="E28" s="4"/>
    </row>
    <row r="29" customFormat="false" ht="15" hidden="false" customHeight="false" outlineLevel="0" collapsed="false">
      <c r="A29" s="6" t="s">
        <v>130</v>
      </c>
      <c r="B29" s="6" t="s">
        <v>131</v>
      </c>
      <c r="C29" s="6" t="s">
        <v>132</v>
      </c>
      <c r="D29" s="6" t="s">
        <v>133</v>
      </c>
      <c r="E29" s="6" t="s">
        <v>134</v>
      </c>
    </row>
    <row r="30" customFormat="false" ht="15" hidden="false" customHeight="false" outlineLevel="0" collapsed="false">
      <c r="A30" s="7" t="s">
        <v>82</v>
      </c>
      <c r="B30" s="22" t="n">
        <f aca="false">SUMIFS(Standalone!$J:$J,Standalone!$C:$C,"FileStore",Standalone!$E:$E,"",Standalone!$F:$F,256)</f>
        <v>146.488</v>
      </c>
      <c r="C30" s="22" t="n">
        <f aca="false">SUMIFS(Standalone!$J:$J,Standalone!$C:$C,"FileStore",Standalone!$E:$E,"",Standalone!$F:$F,1024)</f>
        <v>128.439</v>
      </c>
      <c r="D30" s="22" t="n">
        <f aca="false">SUMIFS(Standalone!$J:$J,Standalone!$C:$C,"FileStore",Standalone!$E:$E,"",Standalone!$F:$F,4096)</f>
        <v>128.535</v>
      </c>
      <c r="E30" s="22" t="n">
        <f aca="false">SUMIFS(Standalone!$J:$J,Standalone!$C:$C,"FileStore",Standalone!$E:$E,"",Standalone!$F:$F,16384)</f>
        <v>125.987</v>
      </c>
    </row>
    <row r="31" customFormat="false" ht="15" hidden="false" customHeight="false" outlineLevel="0" collapsed="false">
      <c r="A31" s="7" t="s">
        <v>79</v>
      </c>
      <c r="B31" s="22" t="n">
        <f aca="false">SUMIFS(Standalone!$J:$J,Standalone!$C:$C,"CompressedStore",Standalone!$E:$E,"",Standalone!$F:$F,256)</f>
        <v>156.819</v>
      </c>
      <c r="C31" s="22" t="n">
        <f aca="false">SUMIFS(Standalone!$J:$J,Standalone!$C:$C,"CompressedStore",Standalone!$E:$E,"",Standalone!$F:$F,1024)</f>
        <v>135.662</v>
      </c>
      <c r="D31" s="22" t="n">
        <f aca="false">SUMIFS(Standalone!$J:$J,Standalone!$C:$C,"CompressedStore",Standalone!$E:$E,"",Standalone!$F:$F,4096)</f>
        <v>135.817</v>
      </c>
      <c r="E31" s="22" t="n">
        <f aca="false">SUMIFS(Standalone!$J:$J,Standalone!$C:$C,"CompressedStore",Standalone!$E:$E,"",Standalone!$F:$F,16384)</f>
        <v>133.374</v>
      </c>
    </row>
    <row r="32" customFormat="false" ht="15" hidden="false" customHeight="false" outlineLevel="0" collapsed="false">
      <c r="A32" s="7" t="s">
        <v>135</v>
      </c>
      <c r="B32" s="22" t="n">
        <f aca="false">SUMIFS(Standalone!$J:$J,Standalone!$C:$C,"LossyStore",Standalone!$E:$E,"",Standalone!$F:$F,256)</f>
        <v>150.268</v>
      </c>
      <c r="C32" s="22" t="n">
        <f aca="false">SUMIFS(Standalone!$J:$J,Standalone!$C:$C,"LossyStore",Standalone!$E:$E,"",Standalone!$F:$F,1024)</f>
        <v>131.611</v>
      </c>
      <c r="D32" s="22" t="n">
        <f aca="false">SUMIFS(Standalone!$J:$J,Standalone!$C:$C,"LossyStore",Standalone!$E:$E,"",Standalone!$F:$F,4096)</f>
        <v>131.329</v>
      </c>
      <c r="E32" s="22" t="n">
        <f aca="false">SUMIFS(Standalone!$J:$J,Standalone!$C:$C,"LossyStore",Standalone!$E:$E,"",Standalone!$F:$F,16384)</f>
        <v>130.474</v>
      </c>
    </row>
    <row r="33" customFormat="false" ht="15" hidden="false" customHeight="false" outlineLevel="0" collapsed="false">
      <c r="A33" s="7" t="s">
        <v>136</v>
      </c>
      <c r="B33" s="22" t="n">
        <f aca="false">SUMIFS(Standalone!$J:$J,Standalone!$C:$C,"LossyStore",Standalone!$E:$E,0.1,Standalone!$F:$F,256)</f>
        <v>150.094</v>
      </c>
      <c r="C33" s="22" t="n">
        <f aca="false">SUMIFS(Standalone!$J:$J,Standalone!$C:$C,"LossyStore",Standalone!$E:$E,0.1,Standalone!$F:$F,1024)</f>
        <v>131.677</v>
      </c>
      <c r="D33" s="22" t="n">
        <f aca="false">SUMIFS(Standalone!$J:$J,Standalone!$C:$C,"LossyStore",Standalone!$E:$E,0.1,Standalone!$F:$F,4096)</f>
        <v>131.199</v>
      </c>
      <c r="E33" s="22" t="n">
        <f aca="false">SUMIFS(Standalone!$J:$J,Standalone!$C:$C,"LossyStore",Standalone!$E:$E,0.1,Standalone!$F:$F,16384)</f>
        <v>128.903</v>
      </c>
    </row>
    <row r="34" customFormat="false" ht="15" hidden="false" customHeight="false" outlineLevel="0" collapsed="false">
      <c r="A34" s="7" t="s">
        <v>137</v>
      </c>
      <c r="B34" s="22" t="n">
        <f aca="false">SUMIFS(Standalone!$J:$J,Standalone!$C:$C,"LossyStore",Standalone!$E:$E,1,Standalone!$F:$F,256)</f>
        <v>153.796</v>
      </c>
      <c r="C34" s="22" t="n">
        <f aca="false">SUMIFS(Standalone!$J:$J,Standalone!$C:$C,"LossyStore",Standalone!$E:$E,1,Standalone!$F:$F,1024)</f>
        <v>130.526</v>
      </c>
      <c r="D34" s="22" t="n">
        <f aca="false">SUMIFS(Standalone!$J:$J,Standalone!$C:$C,"LossyStore",Standalone!$E:$E,1,Standalone!$F:$F,4096)</f>
        <v>130.127</v>
      </c>
      <c r="E34" s="22" t="n">
        <f aca="false">SUMIFS(Standalone!$J:$J,Standalone!$C:$C,"LossyStore",Standalone!$E:$E,1,Standalone!$F:$F,16384)</f>
        <v>124.07</v>
      </c>
    </row>
    <row r="35" customFormat="false" ht="15" hidden="false" customHeight="false" outlineLevel="0" collapsed="false">
      <c r="A35" s="7" t="s">
        <v>138</v>
      </c>
      <c r="B35" s="22" t="n">
        <f aca="false">SUMIFS(Standalone!$J:$J,Standalone!$C:$C,"LossyStore",Standalone!$E:$E,5,Standalone!$F:$F,256)</f>
        <v>152.149</v>
      </c>
      <c r="C35" s="22" t="n">
        <f aca="false">SUMIFS(Standalone!$J:$J,Standalone!$C:$C,"LossyStore",Standalone!$E:$E,5,Standalone!$F:$F,1024)</f>
        <v>130.055</v>
      </c>
      <c r="D35" s="22" t="n">
        <f aca="false">SUMIFS(Standalone!$J:$J,Standalone!$C:$C,"LossyStore",Standalone!$E:$E,5,Standalone!$F:$F,4096)</f>
        <v>131.186</v>
      </c>
      <c r="E35" s="22" t="n">
        <f aca="false">SUMIFS(Standalone!$J:$J,Standalone!$C:$C,"LossyStore",Standalone!$E:$E,5,Standalone!$F:$F,16384)</f>
        <v>124.873</v>
      </c>
    </row>
    <row r="37" customFormat="false" ht="15" hidden="false" customHeight="false" outlineLevel="0" collapsed="false">
      <c r="A37" s="10" t="s">
        <v>139</v>
      </c>
      <c r="B37" s="2" t="s">
        <v>244</v>
      </c>
    </row>
    <row r="38" customFormat="false" ht="15" hidden="false" customHeight="false" outlineLevel="0" collapsed="false">
      <c r="A38" s="10" t="s">
        <v>141</v>
      </c>
      <c r="B38" s="2" t="s">
        <v>245</v>
      </c>
    </row>
    <row r="40" customFormat="false" ht="15" hidden="false" customHeight="false" outlineLevel="0" collapsed="false">
      <c r="A40" s="3" t="s">
        <v>246</v>
      </c>
      <c r="B40" s="4"/>
      <c r="C40" s="4"/>
      <c r="D40" s="4"/>
      <c r="E40" s="4"/>
    </row>
    <row r="41" customFormat="false" ht="15" hidden="false" customHeight="false" outlineLevel="0" collapsed="false">
      <c r="A41" s="6" t="s">
        <v>130</v>
      </c>
      <c r="B41" s="6" t="s">
        <v>131</v>
      </c>
      <c r="C41" s="6" t="s">
        <v>132</v>
      </c>
      <c r="D41" s="6" t="s">
        <v>133</v>
      </c>
      <c r="E41" s="6" t="s">
        <v>134</v>
      </c>
    </row>
    <row r="42" customFormat="false" ht="15" hidden="false" customHeight="false" outlineLevel="0" collapsed="false">
      <c r="A42" s="7" t="s">
        <v>82</v>
      </c>
      <c r="B42" s="22" t="n">
        <f aca="false">SUMIFS(Standalone!$K:$K,Standalone!$C:$C,"FileStore",Standalone!$E:$E,"",Standalone!$F:$F,256)</f>
        <v>88.0405</v>
      </c>
      <c r="C42" s="22" t="n">
        <f aca="false">SUMIFS(Standalone!$K:$K,Standalone!$C:$C,"FileStore",Standalone!$E:$E,"",Standalone!$F:$F,1024)</f>
        <v>93.4394</v>
      </c>
      <c r="D42" s="22" t="n">
        <f aca="false">SUMIFS(Standalone!$K:$K,Standalone!$C:$C,"FileStore",Standalone!$E:$E,"",Standalone!$F:$F,4096)</f>
        <v>92.8939</v>
      </c>
      <c r="E42" s="22" t="n">
        <f aca="false">SUMIFS(Standalone!$K:$K,Standalone!$C:$C,"FileStore",Standalone!$E:$E,"",Standalone!$F:$F,16384)</f>
        <v>113.633</v>
      </c>
    </row>
    <row r="43" customFormat="false" ht="15" hidden="false" customHeight="false" outlineLevel="0" collapsed="false">
      <c r="A43" s="7" t="s">
        <v>79</v>
      </c>
      <c r="B43" s="22" t="n">
        <f aca="false">SUMIFS(Standalone!$K:$K,Standalone!$C:$C,"CompressedStore",Standalone!$E:$E,"",Standalone!$F:$F,256)</f>
        <v>85.5277</v>
      </c>
      <c r="C43" s="22" t="n">
        <f aca="false">SUMIFS(Standalone!$K:$K,Standalone!$C:$C,"CompressedStore",Standalone!$E:$E,"",Standalone!$F:$F,1024)</f>
        <v>93.9734</v>
      </c>
      <c r="D43" s="22" t="n">
        <f aca="false">SUMIFS(Standalone!$K:$K,Standalone!$C:$C,"CompressedStore",Standalone!$E:$E,"",Standalone!$F:$F,4096)</f>
        <v>93.9317</v>
      </c>
      <c r="E43" s="22" t="n">
        <f aca="false">SUMIFS(Standalone!$K:$K,Standalone!$C:$C,"CompressedStore",Standalone!$E:$E,"",Standalone!$F:$F,16384)</f>
        <v>90.8952</v>
      </c>
    </row>
    <row r="44" customFormat="false" ht="15" hidden="false" customHeight="false" outlineLevel="0" collapsed="false">
      <c r="A44" s="7" t="s">
        <v>135</v>
      </c>
      <c r="B44" s="22" t="n">
        <f aca="false">SUMIFS(Standalone!$K:$K,Standalone!$C:$C,"LossyStore",Standalone!$E:$E,"",Standalone!$F:$F,256)</f>
        <v>85.794</v>
      </c>
      <c r="C44" s="22" t="n">
        <f aca="false">SUMIFS(Standalone!$K:$K,Standalone!$C:$C,"LossyStore",Standalone!$E:$E,"",Standalone!$F:$F,1024)</f>
        <v>93.6597</v>
      </c>
      <c r="D44" s="22" t="n">
        <f aca="false">SUMIFS(Standalone!$K:$K,Standalone!$C:$C,"LossyStore",Standalone!$E:$E,"",Standalone!$F:$F,4096)</f>
        <v>93.4674</v>
      </c>
      <c r="E44" s="22" t="n">
        <f aca="false">SUMIFS(Standalone!$K:$K,Standalone!$C:$C,"LossyStore",Standalone!$E:$E,"",Standalone!$F:$F,16384)</f>
        <v>90.354</v>
      </c>
    </row>
    <row r="45" customFormat="false" ht="15" hidden="false" customHeight="false" outlineLevel="0" collapsed="false">
      <c r="A45" s="7" t="s">
        <v>136</v>
      </c>
      <c r="B45" s="22" t="n">
        <f aca="false">SUMIFS(Standalone!$K:$K,Standalone!$C:$C,"LossyStore",Standalone!$E:$E,0.1,Standalone!$F:$F,256)</f>
        <v>88.5696</v>
      </c>
      <c r="C45" s="22" t="n">
        <f aca="false">SUMIFS(Standalone!$K:$K,Standalone!$C:$C,"LossyStore",Standalone!$E:$E,0.1,Standalone!$F:$F,1024)</f>
        <v>93.3639</v>
      </c>
      <c r="D45" s="22" t="n">
        <f aca="false">SUMIFS(Standalone!$K:$K,Standalone!$C:$C,"LossyStore",Standalone!$E:$E,0.1,Standalone!$F:$F,4096)</f>
        <v>93.7355</v>
      </c>
      <c r="E45" s="22" t="n">
        <f aca="false">SUMIFS(Standalone!$K:$K,Standalone!$C:$C,"LossyStore",Standalone!$E:$E,0.1,Standalone!$F:$F,16384)</f>
        <v>92.9823</v>
      </c>
    </row>
    <row r="46" customFormat="false" ht="15" hidden="false" customHeight="false" outlineLevel="0" collapsed="false">
      <c r="A46" s="7" t="s">
        <v>137</v>
      </c>
      <c r="B46" s="22" t="n">
        <f aca="false">SUMIFS(Standalone!$K:$K,Standalone!$C:$C,"LossyStore",Standalone!$E:$E,1,Standalone!$F:$F,256)</f>
        <v>87.651</v>
      </c>
      <c r="C46" s="22" t="n">
        <f aca="false">SUMIFS(Standalone!$K:$K,Standalone!$C:$C,"LossyStore",Standalone!$E:$E,1,Standalone!$F:$F,1024)</f>
        <v>93.9485</v>
      </c>
      <c r="D46" s="22" t="n">
        <f aca="false">SUMIFS(Standalone!$K:$K,Standalone!$C:$C,"LossyStore",Standalone!$E:$E,1,Standalone!$F:$F,4096)</f>
        <v>93.2298</v>
      </c>
      <c r="E46" s="22" t="n">
        <f aca="false">SUMIFS(Standalone!$K:$K,Standalone!$C:$C,"LossyStore",Standalone!$E:$E,1,Standalone!$F:$F,16384)</f>
        <v>90.1519</v>
      </c>
    </row>
    <row r="47" customFormat="false" ht="15" hidden="false" customHeight="false" outlineLevel="0" collapsed="false">
      <c r="A47" s="7" t="s">
        <v>138</v>
      </c>
      <c r="B47" s="22" t="n">
        <f aca="false">SUMIFS(Standalone!$K:$K,Standalone!$C:$C,"LossyStore",Standalone!$E:$E,5,Standalone!$F:$F,256)</f>
        <v>88.1404</v>
      </c>
      <c r="C47" s="22" t="n">
        <f aca="false">SUMIFS(Standalone!$K:$K,Standalone!$C:$C,"LossyStore",Standalone!$E:$E,5,Standalone!$F:$F,1024)</f>
        <v>95.1764</v>
      </c>
      <c r="D47" s="22" t="n">
        <f aca="false">SUMIFS(Standalone!$K:$K,Standalone!$C:$C,"LossyStore",Standalone!$E:$E,5,Standalone!$F:$F,4096)</f>
        <v>92.9201</v>
      </c>
      <c r="E47" s="22" t="n">
        <f aca="false">SUMIFS(Standalone!$K:$K,Standalone!$C:$C,"LossyStore",Standalone!$E:$E,5,Standalone!$F:$F,16384)</f>
        <v>88.5981</v>
      </c>
    </row>
    <row r="49" customFormat="false" ht="15" hidden="false" customHeight="false" outlineLevel="0" collapsed="false">
      <c r="A49" s="10" t="s">
        <v>139</v>
      </c>
      <c r="B49" s="2" t="s">
        <v>247</v>
      </c>
    </row>
    <row r="50" customFormat="false" ht="15" hidden="false" customHeight="false" outlineLevel="0" collapsed="false">
      <c r="A50" s="10" t="s">
        <v>141</v>
      </c>
      <c r="B50" s="2"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5"/>
  </cols>
  <sheetData>
    <row r="1" customFormat="false" ht="15" hidden="false" customHeight="false" outlineLevel="0" collapsed="false">
      <c r="A1" s="8" t="s">
        <v>249</v>
      </c>
    </row>
    <row r="2" customFormat="false" ht="15" hidden="false" customHeight="false" outlineLevel="0" collapsed="false">
      <c r="A2" s="2" t="s">
        <v>250</v>
      </c>
    </row>
    <row r="3" customFormat="false" ht="15" hidden="false" customHeight="false" outlineLevel="0" collapsed="false">
      <c r="A3" s="2" t="s">
        <v>251</v>
      </c>
    </row>
    <row r="5" customFormat="false" ht="15" hidden="false" customHeight="false" outlineLevel="0" collapsed="false">
      <c r="A5" s="3" t="s">
        <v>252</v>
      </c>
      <c r="B5" s="4"/>
      <c r="C5" s="4"/>
      <c r="D5" s="4"/>
      <c r="E5" s="4"/>
      <c r="F5" s="4"/>
      <c r="G5" s="4"/>
    </row>
    <row r="6" customFormat="false" ht="15" hidden="false" customHeight="false" outlineLevel="0" collapsed="false">
      <c r="A6" s="6" t="s">
        <v>227</v>
      </c>
      <c r="B6" s="6" t="s">
        <v>253</v>
      </c>
      <c r="C6" s="6" t="s">
        <v>254</v>
      </c>
      <c r="D6" s="6" t="s">
        <v>255</v>
      </c>
      <c r="E6" s="6" t="s">
        <v>256</v>
      </c>
      <c r="F6" s="6" t="s">
        <v>257</v>
      </c>
      <c r="G6" s="6" t="s">
        <v>258</v>
      </c>
    </row>
    <row r="7" customFormat="false" ht="15" hidden="false" customHeight="false" outlineLevel="0" collapsed="false">
      <c r="A7" s="7" t="n">
        <v>0</v>
      </c>
      <c r="B7" s="12" t="n">
        <f aca="false">SUMIFS('Float Column'!$G:$G,'Float Column'!$B:$B,"producedPower",'Float Column'!$E:$E,0)</f>
        <v>326573665</v>
      </c>
      <c r="C7" s="9" t="n">
        <f aca="false">B7*8/42700000</f>
        <v>61.1847615925059</v>
      </c>
      <c r="D7" s="9" t="n">
        <f aca="false">341600000/B7</f>
        <v>1.04601208428732</v>
      </c>
      <c r="E7" s="9" t="n">
        <f aca="false">$B$7/B7</f>
        <v>1</v>
      </c>
      <c r="G7" s="15" t="n">
        <f aca="false">B7/(SUMIFS('Float Column'!$G:$G,'Float Column'!$B:$B,"producedPower",'Float Column'!$E:$E,0)+SUMIFS('Float Column'!$G:$G,'Float Column'!$B:$B,"producerId",'Float Column'!$E:$E,0)+SUMIFS('Float Column'!$G:$G,'Float Column'!$B:$B,"groupId",'Float Column'!$E:$E,0)+SUMIFS('Float Column'!$G:$G,'Float Column'!$B:$B,"ts",'Float Column'!$E:$E,0))</f>
        <v>0.512923122430462</v>
      </c>
    </row>
    <row r="8" customFormat="false" ht="15" hidden="false" customHeight="false" outlineLevel="0" collapsed="false">
      <c r="A8" s="7" t="n">
        <v>0.01</v>
      </c>
      <c r="B8" s="12" t="n">
        <f aca="false">SUMIFS('Float Column'!$G:$G,'Float Column'!$B:$B,"producedPower",'Float Column'!$E:$E,0.01)</f>
        <v>86385645</v>
      </c>
      <c r="C8" s="9" t="n">
        <f aca="false">B8*8/42700000</f>
        <v>16.1846641686183</v>
      </c>
      <c r="D8" s="9" t="n">
        <f aca="false">341600000/B8</f>
        <v>3.95436070425821</v>
      </c>
      <c r="E8" s="9" t="n">
        <f aca="false">$B$7/B8</f>
        <v>3.78041588970019</v>
      </c>
      <c r="F8" s="23" t="n">
        <f aca="false">B8/B7-1</f>
        <v>-0.735478839054582</v>
      </c>
      <c r="G8" s="15" t="n">
        <f aca="false">B8/(SUMIFS('Float Column'!$G:$G,'Float Column'!$B:$B,"producedPower",'Float Column'!$E:$E,0.01)+SUMIFS('Float Column'!$G:$G,'Float Column'!$B:$B,"producerId",'Float Column'!$E:$E,0.01)+SUMIFS('Float Column'!$G:$G,'Float Column'!$B:$B,"groupId",'Float Column'!$E:$E,0.01)+SUMIFS('Float Column'!$G:$G,'Float Column'!$B:$B,"ts",'Float Column'!$E:$E,0.01))</f>
        <v>0.21786870327453</v>
      </c>
    </row>
    <row r="9" customFormat="false" ht="15" hidden="false" customHeight="false" outlineLevel="0" collapsed="false">
      <c r="A9" s="7" t="n">
        <v>0.1</v>
      </c>
      <c r="B9" s="12" t="n">
        <f aca="false">SUMIFS('Float Column'!$G:$G,'Float Column'!$B:$B,"producedPower",'Float Column'!$E:$E,0.1)</f>
        <v>71537477</v>
      </c>
      <c r="C9" s="9" t="n">
        <f aca="false">B9*8/42700000</f>
        <v>13.4028059953162</v>
      </c>
      <c r="D9" s="9" t="n">
        <f aca="false">341600000/B9</f>
        <v>4.77511948038089</v>
      </c>
      <c r="E9" s="9" t="n">
        <f aca="false">$B$7/B9</f>
        <v>4.5650710466068</v>
      </c>
      <c r="F9" s="23" t="n">
        <f aca="false">B9/B8-1</f>
        <v>-0.171882353833209</v>
      </c>
      <c r="G9" s="15" t="n">
        <f aca="false">B9/(SUMIFS('Float Column'!$G:$G,'Float Column'!$B:$B,"producedPower",'Float Column'!$E:$E,0.1)+SUMIFS('Float Column'!$G:$G,'Float Column'!$B:$B,"producerId",'Float Column'!$E:$E,0.1)+SUMIFS('Float Column'!$G:$G,'Float Column'!$B:$B,"groupId",'Float Column'!$E:$E,0.1)+SUMIFS('Float Column'!$G:$G,'Float Column'!$B:$B,"ts",'Float Column'!$E:$E,0.1))</f>
        <v>0.187440135734712</v>
      </c>
    </row>
    <row r="10" customFormat="false" ht="15" hidden="false" customHeight="false" outlineLevel="0" collapsed="false">
      <c r="A10" s="7" t="n">
        <v>0.5</v>
      </c>
      <c r="B10" s="12" t="n">
        <f aca="false">SUMIFS('Float Column'!$G:$G,'Float Column'!$B:$B,"producedPower",'Float Column'!$E:$E,0.5)</f>
        <v>58908943</v>
      </c>
      <c r="C10" s="9" t="n">
        <f aca="false">B10*8/42700000</f>
        <v>11.0368043091335</v>
      </c>
      <c r="D10" s="9" t="n">
        <f aca="false">341600000/B10</f>
        <v>5.79877999168989</v>
      </c>
      <c r="E10" s="9" t="n">
        <f aca="false">$B$7/B10</f>
        <v>5.54370267685842</v>
      </c>
      <c r="F10" s="23" t="n">
        <f aca="false">B10/B9-1</f>
        <v>-0.176530324098514</v>
      </c>
      <c r="G10" s="15" t="n">
        <f aca="false">B10/(SUMIFS('Float Column'!$G:$G,'Float Column'!$B:$B,"producedPower",'Float Column'!$E:$E,0.5)+SUMIFS('Float Column'!$G:$G,'Float Column'!$B:$B,"producerId",'Float Column'!$E:$E,0.5)+SUMIFS('Float Column'!$G:$G,'Float Column'!$B:$B,"groupId",'Float Column'!$E:$E,0.5)+SUMIFS('Float Column'!$G:$G,'Float Column'!$B:$B,"ts",'Float Column'!$E:$E,0.5))</f>
        <v>0.15963335481598</v>
      </c>
    </row>
    <row r="11" customFormat="false" ht="15" hidden="false" customHeight="false" outlineLevel="0" collapsed="false">
      <c r="A11" s="7" t="n">
        <v>1</v>
      </c>
      <c r="B11" s="12" t="n">
        <f aca="false">SUMIFS('Float Column'!$G:$G,'Float Column'!$B:$B,"producedPower",'Float Column'!$E:$E,1)</f>
        <v>53961312</v>
      </c>
      <c r="C11" s="9" t="n">
        <f aca="false">B11*8/42700000</f>
        <v>10.1098476814988</v>
      </c>
      <c r="D11" s="9" t="n">
        <f aca="false">341600000/B11</f>
        <v>6.33046134979075</v>
      </c>
      <c r="E11" s="9" t="n">
        <f aca="false">$B$7/B11</f>
        <v>6.05199638214875</v>
      </c>
      <c r="F11" s="23" t="n">
        <f aca="false">B11/B10-1</f>
        <v>-0.0839877741483156</v>
      </c>
      <c r="G11" s="15" t="n">
        <f aca="false">B11/(SUMIFS('Float Column'!$G:$G,'Float Column'!$B:$B,"producedPower",'Float Column'!$E:$E,1)+SUMIFS('Float Column'!$G:$G,'Float Column'!$B:$B,"producerId",'Float Column'!$E:$E,1)+SUMIFS('Float Column'!$G:$G,'Float Column'!$B:$B,"groupId",'Float Column'!$E:$E,1)+SUMIFS('Float Column'!$G:$G,'Float Column'!$B:$B,"ts",'Float Column'!$E:$E,1))</f>
        <v>0.14821323660397</v>
      </c>
    </row>
    <row r="12" customFormat="false" ht="15" hidden="false" customHeight="false" outlineLevel="0" collapsed="false">
      <c r="A12" s="7" t="n">
        <v>2</v>
      </c>
      <c r="B12" s="12" t="n">
        <f aca="false">SUMIFS('Float Column'!$G:$G,'Float Column'!$B:$B,"producedPower",'Float Column'!$E:$E,2)</f>
        <v>41348630</v>
      </c>
      <c r="C12" s="9" t="n">
        <f aca="false">B12*8/42700000</f>
        <v>7.74681592505855</v>
      </c>
      <c r="D12" s="9" t="n">
        <f aca="false">341600000/B12</f>
        <v>8.26145872305806</v>
      </c>
      <c r="E12" s="9" t="n">
        <f aca="false">$B$7/B12</f>
        <v>7.89805284963492</v>
      </c>
      <c r="F12" s="23" t="n">
        <f aca="false">B12/B11-1</f>
        <v>-0.233735643788646</v>
      </c>
      <c r="G12" s="15" t="n">
        <f aca="false">B12/(SUMIFS('Float Column'!$G:$G,'Float Column'!$B:$B,"producedPower",'Float Column'!$E:$E,2)+SUMIFS('Float Column'!$G:$G,'Float Column'!$B:$B,"producerId",'Float Column'!$E:$E,2)+SUMIFS('Float Column'!$G:$G,'Float Column'!$B:$B,"groupId",'Float Column'!$E:$E,2)+SUMIFS('Float Column'!$G:$G,'Float Column'!$B:$B,"ts",'Float Column'!$E:$E,2))</f>
        <v>0.117646100819983</v>
      </c>
    </row>
    <row r="13" customFormat="false" ht="15" hidden="false" customHeight="false" outlineLevel="0" collapsed="false">
      <c r="A13" s="17" t="n">
        <v>5</v>
      </c>
      <c r="B13" s="24" t="n">
        <f aca="false">SUMIFS('Float Column'!$G:$G,'Float Column'!$B:$B,"producedPower",'Float Column'!$E:$E,5)</f>
        <v>42539407</v>
      </c>
      <c r="C13" s="25" t="n">
        <f aca="false">B13*8/42700000</f>
        <v>7.96991231850117</v>
      </c>
      <c r="D13" s="25" t="n">
        <f aca="false">341600000/B13</f>
        <v>8.03020126726261</v>
      </c>
      <c r="E13" s="25" t="n">
        <f aca="false">$B$7/B13</f>
        <v>7.67696796995783</v>
      </c>
      <c r="F13" s="26" t="n">
        <f aca="false">B13/B12-1</f>
        <v>0.028798463213896</v>
      </c>
      <c r="G13" s="19" t="n">
        <f aca="false">B13/(SUMIFS('Float Column'!$G:$G,'Float Column'!$B:$B,"producedPower",'Float Column'!$E:$E,5)+SUMIFS('Float Column'!$G:$G,'Float Column'!$B:$B,"producerId",'Float Column'!$E:$E,5)+SUMIFS('Float Column'!$G:$G,'Float Column'!$B:$B,"groupId",'Float Column'!$E:$E,5)+SUMIFS('Float Column'!$G:$G,'Float Column'!$B:$B,"ts",'Float Column'!$E:$E,5))</f>
        <v>0.120625445471812</v>
      </c>
    </row>
    <row r="14" customFormat="false" ht="15" hidden="false" customHeight="false" outlineLevel="0" collapsed="false">
      <c r="A14" s="7" t="n">
        <v>10</v>
      </c>
      <c r="B14" s="12" t="n">
        <f aca="false">SUMIFS('Float Column'!$G:$G,'Float Column'!$B:$B,"producedPower",'Float Column'!$E:$E,10)</f>
        <v>33928095</v>
      </c>
      <c r="C14" s="9" t="n">
        <f aca="false">B14*8/42700000</f>
        <v>6.35655175644028</v>
      </c>
      <c r="D14" s="9" t="n">
        <f aca="false">341600000/B14</f>
        <v>10.0683519071731</v>
      </c>
      <c r="E14" s="9" t="n">
        <f aca="false">$B$7/B14</f>
        <v>9.62546423546621</v>
      </c>
      <c r="F14" s="23" t="n">
        <f aca="false">B14/B13-1</f>
        <v>-0.202431406718951</v>
      </c>
      <c r="G14" s="15" t="n">
        <f aca="false">B14/(SUMIFS('Float Column'!$G:$G,'Float Column'!$B:$B,"producedPower",'Float Column'!$E:$E,10)+SUMIFS('Float Column'!$G:$G,'Float Column'!$B:$B,"producerId",'Float Column'!$E:$E,10)+SUMIFS('Float Column'!$G:$G,'Float Column'!$B:$B,"groupId",'Float Column'!$E:$E,10)+SUMIFS('Float Column'!$G:$G,'Float Column'!$B:$B,"ts",'Float Column'!$E:$E,10))</f>
        <v>0.0986150873999343</v>
      </c>
    </row>
    <row r="15" customFormat="false" ht="15" hidden="false" customHeight="false" outlineLevel="0" collapsed="false">
      <c r="A15" s="7" t="n">
        <v>20</v>
      </c>
      <c r="B15" s="12" t="n">
        <f aca="false">SUMIFS('Float Column'!$G:$G,'Float Column'!$B:$B,"producedPower",'Float Column'!$E:$E,20)</f>
        <v>30385718</v>
      </c>
      <c r="C15" s="9" t="n">
        <f aca="false">B15*8/42700000</f>
        <v>5.69287456674473</v>
      </c>
      <c r="D15" s="9" t="n">
        <f aca="false">341600000/B15</f>
        <v>11.2421236845547</v>
      </c>
      <c r="E15" s="9" t="n">
        <f aca="false">$B$7/B15</f>
        <v>10.7476040223897</v>
      </c>
      <c r="F15" s="23" t="n">
        <f aca="false">B15/B14-1</f>
        <v>-0.104408367165914</v>
      </c>
      <c r="G15" s="15" t="n">
        <f aca="false">B15/(SUMIFS('Float Column'!$G:$G,'Float Column'!$B:$B,"producedPower",'Float Column'!$E:$E,20)+SUMIFS('Float Column'!$G:$G,'Float Column'!$B:$B,"producerId",'Float Column'!$E:$E,20)+SUMIFS('Float Column'!$G:$G,'Float Column'!$B:$B,"groupId",'Float Column'!$E:$E,20)+SUMIFS('Float Column'!$G:$G,'Float Column'!$B:$B,"ts",'Float Column'!$E:$E,20))</f>
        <v>0.0892376595287379</v>
      </c>
    </row>
    <row r="17" customFormat="false" ht="15" hidden="false" customHeight="false" outlineLevel="0" collapsed="false">
      <c r="A17" s="10" t="s">
        <v>139</v>
      </c>
      <c r="B17" s="2" t="s">
        <v>259</v>
      </c>
    </row>
    <row r="18" customFormat="false" ht="15" hidden="false" customHeight="false" outlineLevel="0" collapsed="false">
      <c r="A18" s="10" t="s">
        <v>141</v>
      </c>
      <c r="B18" s="2" t="s">
        <v>260</v>
      </c>
    </row>
    <row r="19" customFormat="false" ht="15" hidden="false" customHeight="false" outlineLevel="0" collapsed="false">
      <c r="A19" s="2" t="s">
        <v>261</v>
      </c>
    </row>
    <row r="20" customFormat="false" ht="15" hidden="false" customHeight="false" outlineLevel="0" collapsed="false">
      <c r="A20" s="2" t="s">
        <v>262</v>
      </c>
    </row>
    <row r="21" customFormat="false" ht="15" hidden="false" customHeight="false" outlineLevel="0" collapsed="false">
      <c r="A21" s="2" t="s">
        <v>263</v>
      </c>
    </row>
    <row r="22" customFormat="false" ht="15" hidden="false" customHeight="false" outlineLevel="0" collapsed="false">
      <c r="A22" s="2" t="s">
        <v>264</v>
      </c>
    </row>
    <row r="24" customFormat="false" ht="15" hidden="false" customHeight="false" outlineLevel="0" collapsed="false">
      <c r="A24" s="3" t="s">
        <v>265</v>
      </c>
      <c r="B24" s="4"/>
      <c r="C24" s="4"/>
      <c r="D24" s="4"/>
      <c r="E24" s="4"/>
    </row>
    <row r="25" customFormat="false" ht="15" hidden="false" customHeight="false" outlineLevel="0" collapsed="false">
      <c r="A25" s="6" t="s">
        <v>86</v>
      </c>
      <c r="B25" s="6" t="s">
        <v>266</v>
      </c>
      <c r="C25" s="6" t="s">
        <v>253</v>
      </c>
      <c r="D25" s="6" t="s">
        <v>254</v>
      </c>
      <c r="E25" s="6" t="s">
        <v>267</v>
      </c>
    </row>
    <row r="26" customFormat="false" ht="15" hidden="false" customHeight="false" outlineLevel="0" collapsed="false">
      <c r="A26" s="7" t="s">
        <v>101</v>
      </c>
      <c r="B26" s="7" t="s">
        <v>268</v>
      </c>
      <c r="C26" s="12" t="n">
        <f aca="false">SUMIFS('Float Column'!$G:$G,'Float Column'!$B:$B,"producedPower",'Float Column'!$E:$E,0)</f>
        <v>326573665</v>
      </c>
      <c r="D26" s="27" t="n">
        <f aca="false">C26*8/42700000</f>
        <v>61.1847615925059</v>
      </c>
      <c r="E26" s="9" t="n">
        <f aca="false">42700000*8/C26</f>
        <v>1.04601208428732</v>
      </c>
    </row>
    <row r="27" customFormat="false" ht="15" hidden="false" customHeight="false" outlineLevel="0" collapsed="false">
      <c r="A27" s="7" t="s">
        <v>96</v>
      </c>
      <c r="B27" s="7" t="s">
        <v>269</v>
      </c>
      <c r="C27" s="12" t="n">
        <f aca="false">SUMIFS('Float Column'!$G:$G,'Float Column'!$B:$B,"producerId",'Float Column'!$E:$E,0)</f>
        <v>144297189</v>
      </c>
      <c r="D27" s="27" t="n">
        <f aca="false">C27*8/42700000</f>
        <v>27.0346021545667</v>
      </c>
      <c r="E27" s="9" t="n">
        <f aca="false">42700000*4/C27</f>
        <v>1.18366824179784</v>
      </c>
    </row>
    <row r="28" customFormat="false" ht="15" hidden="false" customHeight="false" outlineLevel="0" collapsed="false">
      <c r="A28" s="7" t="s">
        <v>100</v>
      </c>
      <c r="B28" s="7" t="s">
        <v>269</v>
      </c>
      <c r="C28" s="12" t="n">
        <f aca="false">SUMIFS('Float Column'!$G:$G,'Float Column'!$B:$B,"groupId",'Float Column'!$E:$E,0)</f>
        <v>16197189</v>
      </c>
      <c r="D28" s="27" t="n">
        <f aca="false">C28*8/42700000</f>
        <v>3.03460215456674</v>
      </c>
      <c r="E28" s="9" t="n">
        <f aca="false">42700000*4/C28</f>
        <v>10.5450396361986</v>
      </c>
    </row>
    <row r="29" customFormat="false" ht="15" hidden="false" customHeight="false" outlineLevel="0" collapsed="false">
      <c r="A29" s="7" t="s">
        <v>105</v>
      </c>
      <c r="B29" s="7" t="s">
        <v>268</v>
      </c>
      <c r="C29" s="12" t="n">
        <f aca="false">SUMIFS('Float Column'!$G:$G,'Float Column'!$B:$B,"ts",'Float Column'!$E:$E,0)</f>
        <v>149623209</v>
      </c>
      <c r="D29" s="27" t="n">
        <f aca="false">C29*8/42700000</f>
        <v>28.0324513348946</v>
      </c>
      <c r="E29" s="9" t="n">
        <f aca="false">42700000*8/C29</f>
        <v>2.28306826382797</v>
      </c>
    </row>
    <row r="31" customFormat="false" ht="15" hidden="false" customHeight="false" outlineLevel="0" collapsed="false">
      <c r="A31" s="2" t="s">
        <v>270</v>
      </c>
    </row>
    <row r="32" customFormat="false" ht="15" hidden="false" customHeight="false" outlineLevel="0" collapsed="false">
      <c r="A32" s="2" t="s">
        <v>271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5"/>
  </cols>
  <sheetData>
    <row r="1" customFormat="false" ht="15" hidden="false" customHeight="false" outlineLevel="0" collapsed="false">
      <c r="A1" s="8" t="s">
        <v>272</v>
      </c>
    </row>
    <row r="2" customFormat="false" ht="15" hidden="false" customHeight="false" outlineLevel="0" collapsed="false">
      <c r="A2" s="2" t="s">
        <v>273</v>
      </c>
    </row>
    <row r="3" customFormat="false" ht="15" hidden="false" customHeight="false" outlineLevel="0" collapsed="false">
      <c r="A3" s="2" t="s">
        <v>274</v>
      </c>
    </row>
    <row r="5" customFormat="false" ht="15" hidden="false" customHeight="false" outlineLevel="0" collapsed="false">
      <c r="A5" s="3" t="s">
        <v>275</v>
      </c>
      <c r="B5" s="4"/>
      <c r="C5" s="4"/>
      <c r="D5" s="4"/>
      <c r="E5" s="4"/>
      <c r="F5" s="4"/>
      <c r="G5" s="4"/>
      <c r="H5" s="4"/>
    </row>
    <row r="6" customFormat="false" ht="15" hidden="false" customHeight="false" outlineLevel="0" collapsed="false">
      <c r="A6" s="6" t="s">
        <v>227</v>
      </c>
      <c r="B6" s="6" t="s">
        <v>276</v>
      </c>
      <c r="C6" s="6" t="s">
        <v>277</v>
      </c>
      <c r="D6" s="6" t="s">
        <v>278</v>
      </c>
      <c r="E6" s="6" t="s">
        <v>279</v>
      </c>
      <c r="F6" s="6" t="s">
        <v>280</v>
      </c>
      <c r="G6" s="6" t="s">
        <v>281</v>
      </c>
      <c r="H6" s="6" t="s">
        <v>282</v>
      </c>
    </row>
    <row r="7" customFormat="false" ht="15" hidden="false" customHeight="false" outlineLevel="0" collapsed="false">
      <c r="A7" s="7" t="n">
        <v>0</v>
      </c>
      <c r="B7" s="7" t="n">
        <v>64</v>
      </c>
      <c r="C7" s="28" t="n">
        <f aca="false">SUMIFS('Lossy Breakdown'!$M:$M,'Lossy Breakdown'!$C:$C,0)</f>
        <v>64</v>
      </c>
      <c r="D7" s="28" t="n">
        <f aca="false">SUMIFS('Lossy Breakdown'!$P:$P,'Lossy Breakdown'!$C:$C,0)</f>
        <v>60.1835</v>
      </c>
      <c r="E7" s="28" t="n">
        <f aca="false">SUMIFS('Lossy Breakdown'!$V:$V,'Lossy Breakdown'!$C:$C,0)</f>
        <v>1</v>
      </c>
      <c r="F7" s="28" t="n">
        <f aca="false">SUMIFS('Lossy Breakdown'!$W:$W,'Lossy Breakdown'!$C:$C,0)</f>
        <v>1.0634</v>
      </c>
      <c r="G7" s="28" t="n">
        <f aca="false">SUMIFS('Lossy Breakdown'!$Q:$Q,'Lossy Breakdown'!$C:$C,0)</f>
        <v>1.0634</v>
      </c>
      <c r="H7" s="15" t="n">
        <f aca="false">SUMIFS('Lossy Breakdown'!$U:$U,'Lossy Breakdown'!$C:$C,0)</f>
        <v>1</v>
      </c>
    </row>
    <row r="8" customFormat="false" ht="15" hidden="false" customHeight="false" outlineLevel="0" collapsed="false">
      <c r="A8" s="7" t="n">
        <v>0.01</v>
      </c>
      <c r="B8" s="7" t="n">
        <v>64</v>
      </c>
      <c r="C8" s="28" t="n">
        <f aca="false">SUMIFS('Lossy Breakdown'!$M:$M,'Lossy Breakdown'!$C:$C,0.01)</f>
        <v>16.0305</v>
      </c>
      <c r="D8" s="28" t="n">
        <f aca="false">SUMIFS('Lossy Breakdown'!$P:$P,'Lossy Breakdown'!$C:$C,0.01)</f>
        <v>15.1834</v>
      </c>
      <c r="E8" s="28" t="n">
        <f aca="false">SUMIFS('Lossy Breakdown'!$V:$V,'Lossy Breakdown'!$C:$C,0.01)</f>
        <v>3.9924</v>
      </c>
      <c r="F8" s="28" t="n">
        <f aca="false">SUMIFS('Lossy Breakdown'!$W:$W,'Lossy Breakdown'!$C:$C,0.01)</f>
        <v>1.0558</v>
      </c>
      <c r="G8" s="28" t="n">
        <f aca="false">SUMIFS('Lossy Breakdown'!$Q:$Q,'Lossy Breakdown'!$C:$C,0.01)</f>
        <v>4.2151</v>
      </c>
      <c r="H8" s="15" t="n">
        <f aca="false">SUMIFS('Lossy Breakdown'!$U:$U,'Lossy Breakdown'!$C:$C,0.01)</f>
        <v>0.9603</v>
      </c>
    </row>
    <row r="9" customFormat="false" ht="15" hidden="false" customHeight="false" outlineLevel="0" collapsed="false">
      <c r="A9" s="7" t="n">
        <v>0.1</v>
      </c>
      <c r="B9" s="7" t="n">
        <v>64</v>
      </c>
      <c r="C9" s="28" t="n">
        <f aca="false">SUMIFS('Lossy Breakdown'!$M:$M,'Lossy Breakdown'!$C:$C,0.1)</f>
        <v>12.5383</v>
      </c>
      <c r="D9" s="28" t="n">
        <f aca="false">SUMIFS('Lossy Breakdown'!$P:$P,'Lossy Breakdown'!$C:$C,0.1)</f>
        <v>12.4015</v>
      </c>
      <c r="E9" s="28" t="n">
        <f aca="false">SUMIFS('Lossy Breakdown'!$V:$V,'Lossy Breakdown'!$C:$C,0.1)</f>
        <v>5.1043</v>
      </c>
      <c r="F9" s="28" t="n">
        <f aca="false">SUMIFS('Lossy Breakdown'!$W:$W,'Lossy Breakdown'!$C:$C,0.1)</f>
        <v>1.011</v>
      </c>
      <c r="G9" s="28" t="n">
        <f aca="false">SUMIFS('Lossy Breakdown'!$Q:$Q,'Lossy Breakdown'!$C:$C,0.1)</f>
        <v>5.1607</v>
      </c>
      <c r="H9" s="15" t="n">
        <f aca="false">SUMIFS('Lossy Breakdown'!$U:$U,'Lossy Breakdown'!$C:$C,0.1)</f>
        <v>0.5248</v>
      </c>
    </row>
    <row r="10" customFormat="false" ht="15" hidden="false" customHeight="false" outlineLevel="0" collapsed="false">
      <c r="A10" s="7" t="n">
        <v>0.5</v>
      </c>
      <c r="B10" s="7" t="n">
        <v>64</v>
      </c>
      <c r="C10" s="28" t="n">
        <f aca="false">SUMIFS('Lossy Breakdown'!$M:$M,'Lossy Breakdown'!$C:$C,0.5)</f>
        <v>10.1465</v>
      </c>
      <c r="D10" s="28" t="n">
        <f aca="false">SUMIFS('Lossy Breakdown'!$P:$P,'Lossy Breakdown'!$C:$C,0.5)</f>
        <v>10.0355</v>
      </c>
      <c r="E10" s="28" t="n">
        <f aca="false">SUMIFS('Lossy Breakdown'!$V:$V,'Lossy Breakdown'!$C:$C,0.5)</f>
        <v>6.3076</v>
      </c>
      <c r="F10" s="28" t="n">
        <f aca="false">SUMIFS('Lossy Breakdown'!$W:$W,'Lossy Breakdown'!$C:$C,0.5)</f>
        <v>1.0111</v>
      </c>
      <c r="G10" s="28" t="n">
        <f aca="false">SUMIFS('Lossy Breakdown'!$Q:$Q,'Lossy Breakdown'!$C:$C,0.5)</f>
        <v>6.3773</v>
      </c>
      <c r="H10" s="15" t="n">
        <f aca="false">SUMIFS('Lossy Breakdown'!$U:$U,'Lossy Breakdown'!$C:$C,0.5)</f>
        <v>0.4473</v>
      </c>
    </row>
    <row r="11" customFormat="false" ht="15" hidden="false" customHeight="false" outlineLevel="0" collapsed="false">
      <c r="A11" s="7" t="n">
        <v>1</v>
      </c>
      <c r="B11" s="7" t="n">
        <v>64</v>
      </c>
      <c r="C11" s="28" t="n">
        <f aca="false">SUMIFS('Lossy Breakdown'!$M:$M,'Lossy Breakdown'!$C:$C,1)</f>
        <v>9.1483</v>
      </c>
      <c r="D11" s="28" t="n">
        <f aca="false">SUMIFS('Lossy Breakdown'!$P:$P,'Lossy Breakdown'!$C:$C,1)</f>
        <v>9.1086</v>
      </c>
      <c r="E11" s="28" t="n">
        <f aca="false">SUMIFS('Lossy Breakdown'!$V:$V,'Lossy Breakdown'!$C:$C,1)</f>
        <v>6.9958</v>
      </c>
      <c r="F11" s="28" t="n">
        <f aca="false">SUMIFS('Lossy Breakdown'!$W:$W,'Lossy Breakdown'!$C:$C,1)</f>
        <v>1.0044</v>
      </c>
      <c r="G11" s="28" t="n">
        <f aca="false">SUMIFS('Lossy Breakdown'!$Q:$Q,'Lossy Breakdown'!$C:$C,1)</f>
        <v>7.0264</v>
      </c>
      <c r="H11" s="15" t="n">
        <f aca="false">SUMIFS('Lossy Breakdown'!$U:$U,'Lossy Breakdown'!$C:$C,1)</f>
        <v>0.1282</v>
      </c>
    </row>
    <row r="12" customFormat="false" ht="15" hidden="false" customHeight="false" outlineLevel="0" collapsed="false">
      <c r="A12" s="17" t="n">
        <v>2</v>
      </c>
      <c r="B12" s="17" t="n">
        <v>64</v>
      </c>
      <c r="C12" s="29" t="n">
        <f aca="false">SUMIFS('Lossy Breakdown'!$M:$M,'Lossy Breakdown'!$C:$C,2)</f>
        <v>8.152</v>
      </c>
      <c r="D12" s="29" t="n">
        <f aca="false">SUMIFS('Lossy Breakdown'!$P:$P,'Lossy Breakdown'!$C:$C,2)</f>
        <v>6.7455</v>
      </c>
      <c r="E12" s="29" t="n">
        <f aca="false">SUMIFS('Lossy Breakdown'!$V:$V,'Lossy Breakdown'!$C:$C,2)</f>
        <v>7.8509</v>
      </c>
      <c r="F12" s="29" t="n">
        <f aca="false">SUMIFS('Lossy Breakdown'!$W:$W,'Lossy Breakdown'!$C:$C,2)</f>
        <v>1.2085</v>
      </c>
      <c r="G12" s="29" t="n">
        <f aca="false">SUMIFS('Lossy Breakdown'!$Q:$Q,'Lossy Breakdown'!$C:$C,2)</f>
        <v>9.4878</v>
      </c>
      <c r="H12" s="19" t="n">
        <f aca="false">SUMIFS('Lossy Breakdown'!$U:$U,'Lossy Breakdown'!$C:$C,2)</f>
        <v>0.913</v>
      </c>
    </row>
    <row r="13" customFormat="false" ht="15" hidden="false" customHeight="false" outlineLevel="0" collapsed="false">
      <c r="A13" s="17" t="n">
        <v>5</v>
      </c>
      <c r="B13" s="17" t="n">
        <v>64</v>
      </c>
      <c r="C13" s="29" t="n">
        <f aca="false">SUMIFS('Lossy Breakdown'!$M:$M,'Lossy Breakdown'!$C:$C,5)</f>
        <v>7.0644</v>
      </c>
      <c r="D13" s="29" t="n">
        <f aca="false">SUMIFS('Lossy Breakdown'!$P:$P,'Lossy Breakdown'!$C:$C,5)</f>
        <v>6.9686</v>
      </c>
      <c r="E13" s="29" t="n">
        <f aca="false">SUMIFS('Lossy Breakdown'!$V:$V,'Lossy Breakdown'!$C:$C,5)</f>
        <v>9.0595</v>
      </c>
      <c r="F13" s="29" t="n">
        <f aca="false">SUMIFS('Lossy Breakdown'!$W:$W,'Lossy Breakdown'!$C:$C,5)</f>
        <v>1.0137</v>
      </c>
      <c r="G13" s="29" t="n">
        <f aca="false">SUMIFS('Lossy Breakdown'!$Q:$Q,'Lossy Breakdown'!$C:$C,5)</f>
        <v>9.184</v>
      </c>
      <c r="H13" s="19" t="n">
        <f aca="false">SUMIFS('Lossy Breakdown'!$U:$U,'Lossy Breakdown'!$C:$C,5)</f>
        <v>0.3915</v>
      </c>
    </row>
    <row r="14" customFormat="false" ht="15" hidden="false" customHeight="false" outlineLevel="0" collapsed="false">
      <c r="A14" s="7" t="n">
        <v>10</v>
      </c>
      <c r="B14" s="7" t="n">
        <v>64</v>
      </c>
      <c r="C14" s="28" t="n">
        <f aca="false">SUMIFS('Lossy Breakdown'!$M:$M,'Lossy Breakdown'!$C:$C,10)</f>
        <v>6.0719</v>
      </c>
      <c r="D14" s="28" t="n">
        <f aca="false">SUMIFS('Lossy Breakdown'!$P:$P,'Lossy Breakdown'!$C:$C,10)</f>
        <v>5.3553</v>
      </c>
      <c r="E14" s="28" t="n">
        <f aca="false">SUMIFS('Lossy Breakdown'!$V:$V,'Lossy Breakdown'!$C:$C,10)</f>
        <v>10.5403</v>
      </c>
      <c r="F14" s="28" t="n">
        <f aca="false">SUMIFS('Lossy Breakdown'!$W:$W,'Lossy Breakdown'!$C:$C,10)</f>
        <v>1.1338</v>
      </c>
      <c r="G14" s="28" t="n">
        <f aca="false">SUMIFS('Lossy Breakdown'!$Q:$Q,'Lossy Breakdown'!$C:$C,10)</f>
        <v>11.9508</v>
      </c>
      <c r="H14" s="15" t="n">
        <f aca="false">SUMIFS('Lossy Breakdown'!$U:$U,'Lossy Breakdown'!$C:$C,10)</f>
        <v>0.9999</v>
      </c>
    </row>
    <row r="15" customFormat="false" ht="15" hidden="false" customHeight="false" outlineLevel="0" collapsed="false">
      <c r="A15" s="7" t="n">
        <v>20</v>
      </c>
      <c r="B15" s="7" t="n">
        <v>64</v>
      </c>
      <c r="C15" s="28" t="n">
        <f aca="false">SUMIFS('Lossy Breakdown'!$M:$M,'Lossy Breakdown'!$C:$C,20)</f>
        <v>5.0879</v>
      </c>
      <c r="D15" s="28" t="n">
        <f aca="false">SUMIFS('Lossy Breakdown'!$P:$P,'Lossy Breakdown'!$C:$C,20)</f>
        <v>4.6916</v>
      </c>
      <c r="E15" s="28" t="n">
        <f aca="false">SUMIFS('Lossy Breakdown'!$V:$V,'Lossy Breakdown'!$C:$C,20)</f>
        <v>12.579</v>
      </c>
      <c r="F15" s="28" t="n">
        <f aca="false">SUMIFS('Lossy Breakdown'!$W:$W,'Lossy Breakdown'!$C:$C,20)</f>
        <v>1.0845</v>
      </c>
      <c r="G15" s="28" t="n">
        <f aca="false">SUMIFS('Lossy Breakdown'!$Q:$Q,'Lossy Breakdown'!$C:$C,20)</f>
        <v>13.6414</v>
      </c>
      <c r="H15" s="15" t="n">
        <f aca="false">SUMIFS('Lossy Breakdown'!$U:$U,'Lossy Breakdown'!$C:$C,20)</f>
        <v>0.9999</v>
      </c>
    </row>
    <row r="17" customFormat="false" ht="15" hidden="false" customHeight="false" outlineLevel="0" collapsed="false">
      <c r="A17" s="10" t="s">
        <v>139</v>
      </c>
      <c r="B17" s="2" t="s">
        <v>283</v>
      </c>
    </row>
    <row r="18" customFormat="false" ht="15" hidden="false" customHeight="false" outlineLevel="0" collapsed="false">
      <c r="A18" s="10" t="s">
        <v>141</v>
      </c>
      <c r="B18" s="2" t="s">
        <v>284</v>
      </c>
    </row>
    <row r="19" customFormat="false" ht="15" hidden="false" customHeight="false" outlineLevel="0" collapsed="false">
      <c r="A19" s="2" t="s">
        <v>285</v>
      </c>
    </row>
    <row r="20" customFormat="false" ht="15" hidden="false" customHeight="false" outlineLevel="0" collapsed="false">
      <c r="A20" s="2" t="s">
        <v>286</v>
      </c>
    </row>
    <row r="21" customFormat="false" ht="15" hidden="false" customHeight="false" outlineLevel="0" collapsed="false">
      <c r="A21" s="2" t="s">
        <v>287</v>
      </c>
    </row>
    <row r="22" customFormat="false" ht="15" hidden="false" customHeight="false" outlineLevel="0" collapsed="false">
      <c r="A22" s="2" t="s">
        <v>288</v>
      </c>
    </row>
    <row r="24" customFormat="false" ht="15" hidden="false" customHeight="false" outlineLevel="0" collapsed="false">
      <c r="A24" s="3" t="s">
        <v>289</v>
      </c>
      <c r="B24" s="4"/>
      <c r="C24" s="4"/>
      <c r="D24" s="4"/>
    </row>
    <row r="25" customFormat="false" ht="15" hidden="false" customHeight="false" outlineLevel="0" collapsed="false">
      <c r="A25" s="2" t="s">
        <v>290</v>
      </c>
    </row>
    <row r="26" customFormat="false" ht="15" hidden="false" customHeight="false" outlineLevel="0" collapsed="false">
      <c r="A26" s="6" t="s">
        <v>227</v>
      </c>
      <c r="B26" s="6" t="s">
        <v>291</v>
      </c>
      <c r="C26" s="6" t="s">
        <v>292</v>
      </c>
      <c r="D26" s="6" t="s">
        <v>293</v>
      </c>
    </row>
    <row r="27" customFormat="false" ht="15" hidden="false" customHeight="false" outlineLevel="0" collapsed="false">
      <c r="A27" s="30" t="n">
        <v>2</v>
      </c>
      <c r="B27" s="7" t="s">
        <v>294</v>
      </c>
      <c r="C27" s="31" t="n">
        <v>8.1507</v>
      </c>
      <c r="D27" s="31" t="n">
        <v>8.152</v>
      </c>
    </row>
    <row r="28" customFormat="false" ht="15" hidden="false" customHeight="false" outlineLevel="0" collapsed="false">
      <c r="A28" s="30" t="n">
        <v>2</v>
      </c>
      <c r="B28" s="7" t="s">
        <v>280</v>
      </c>
      <c r="C28" s="31" t="n">
        <v>1.2086</v>
      </c>
      <c r="D28" s="31" t="n">
        <v>1.2085</v>
      </c>
    </row>
    <row r="29" customFormat="false" ht="15" hidden="false" customHeight="false" outlineLevel="0" collapsed="false">
      <c r="A29" s="30" t="n">
        <v>2</v>
      </c>
      <c r="B29" s="7" t="s">
        <v>281</v>
      </c>
      <c r="C29" s="31" t="n">
        <v>9.4899</v>
      </c>
      <c r="D29" s="31" t="n">
        <v>9.4878</v>
      </c>
    </row>
    <row r="30" customFormat="false" ht="15" hidden="false" customHeight="false" outlineLevel="0" collapsed="false">
      <c r="A30" s="30" t="n">
        <v>5</v>
      </c>
      <c r="B30" s="7" t="s">
        <v>294</v>
      </c>
      <c r="C30" s="31" t="n">
        <v>7.0704</v>
      </c>
      <c r="D30" s="31" t="n">
        <v>7.0644</v>
      </c>
    </row>
    <row r="31" customFormat="false" ht="15" hidden="false" customHeight="false" outlineLevel="0" collapsed="false">
      <c r="A31" s="30" t="n">
        <v>5</v>
      </c>
      <c r="B31" s="7" t="s">
        <v>280</v>
      </c>
      <c r="C31" s="31" t="n">
        <v>1.0171</v>
      </c>
      <c r="D31" s="31" t="n">
        <v>1.0137</v>
      </c>
    </row>
    <row r="32" customFormat="false" ht="15" hidden="false" customHeight="false" outlineLevel="0" collapsed="false">
      <c r="A32" s="30" t="n">
        <v>5</v>
      </c>
      <c r="B32" s="7" t="s">
        <v>281</v>
      </c>
      <c r="C32" s="31" t="n">
        <v>9.2063</v>
      </c>
      <c r="D32" s="31" t="n">
        <v>9.184</v>
      </c>
    </row>
    <row r="34" customFormat="false" ht="15" hidden="false" customHeight="false" outlineLevel="0" collapsed="false">
      <c r="A34" s="2" t="s">
        <v>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120"/>
  </cols>
  <sheetData>
    <row r="1" customFormat="false" ht="15" hidden="false" customHeight="false" outlineLevel="0" collapsed="false">
      <c r="A1" s="8" t="s">
        <v>296</v>
      </c>
    </row>
    <row r="2" customFormat="false" ht="15" hidden="false" customHeight="false" outlineLevel="0" collapsed="false">
      <c r="A2" s="2" t="s">
        <v>297</v>
      </c>
    </row>
    <row r="4" customFormat="false" ht="15" hidden="false" customHeight="false" outlineLevel="0" collapsed="false">
      <c r="A4" s="3" t="s">
        <v>298</v>
      </c>
      <c r="B4" s="4"/>
    </row>
    <row r="5" customFormat="false" ht="15" hidden="false" customHeight="false" outlineLevel="0" collapsed="false">
      <c r="A5" s="10" t="s">
        <v>299</v>
      </c>
      <c r="B5" s="32" t="s">
        <v>300</v>
      </c>
    </row>
    <row r="6" customFormat="false" ht="15" hidden="false" customHeight="false" outlineLevel="0" collapsed="false">
      <c r="A6" s="10" t="s">
        <v>301</v>
      </c>
      <c r="B6" s="2" t="s">
        <v>302</v>
      </c>
    </row>
    <row r="7" customFormat="false" ht="15" hidden="false" customHeight="false" outlineLevel="0" collapsed="false">
      <c r="A7" s="10" t="s">
        <v>303</v>
      </c>
      <c r="B7" s="2" t="s">
        <v>304</v>
      </c>
    </row>
    <row r="8" customFormat="false" ht="15" hidden="false" customHeight="false" outlineLevel="0" collapsed="false">
      <c r="A8" s="10" t="s">
        <v>305</v>
      </c>
      <c r="B8" s="2" t="s">
        <v>306</v>
      </c>
    </row>
    <row r="9" customFormat="false" ht="15" hidden="false" customHeight="false" outlineLevel="0" collapsed="false">
      <c r="A9" s="10" t="s">
        <v>307</v>
      </c>
      <c r="B9" s="2" t="s">
        <v>308</v>
      </c>
    </row>
    <row r="10" customFormat="false" ht="15" hidden="false" customHeight="false" outlineLevel="0" collapsed="false">
      <c r="A10" s="10" t="s">
        <v>309</v>
      </c>
      <c r="B10" s="2" t="s">
        <v>310</v>
      </c>
    </row>
    <row r="12" customFormat="false" ht="15" hidden="false" customHeight="false" outlineLevel="0" collapsed="false">
      <c r="A12" s="3" t="s">
        <v>311</v>
      </c>
      <c r="B12" s="4"/>
    </row>
    <row r="13" customFormat="false" ht="15" hidden="false" customHeight="false" outlineLevel="0" collapsed="false">
      <c r="A13" s="10" t="s">
        <v>299</v>
      </c>
      <c r="B13" s="32" t="s">
        <v>312</v>
      </c>
    </row>
    <row r="14" customFormat="false" ht="15" hidden="false" customHeight="false" outlineLevel="0" collapsed="false">
      <c r="A14" s="10" t="s">
        <v>301</v>
      </c>
      <c r="B14" s="2" t="s">
        <v>313</v>
      </c>
    </row>
    <row r="15" customFormat="false" ht="15" hidden="false" customHeight="false" outlineLevel="0" collapsed="false">
      <c r="A15" s="10" t="s">
        <v>303</v>
      </c>
      <c r="B15" s="2" t="s">
        <v>314</v>
      </c>
    </row>
    <row r="16" customFormat="false" ht="15" hidden="false" customHeight="false" outlineLevel="0" collapsed="false">
      <c r="A16" s="10" t="s">
        <v>305</v>
      </c>
      <c r="B16" s="2" t="s">
        <v>315</v>
      </c>
    </row>
    <row r="17" customFormat="false" ht="15" hidden="false" customHeight="false" outlineLevel="0" collapsed="false">
      <c r="A17" s="10" t="s">
        <v>307</v>
      </c>
      <c r="B17" s="2" t="s">
        <v>316</v>
      </c>
    </row>
    <row r="18" customFormat="false" ht="15" hidden="false" customHeight="false" outlineLevel="0" collapsed="false">
      <c r="A18" s="10" t="s">
        <v>309</v>
      </c>
      <c r="B18" s="2" t="s">
        <v>317</v>
      </c>
    </row>
    <row r="20" customFormat="false" ht="15" hidden="false" customHeight="false" outlineLevel="0" collapsed="false">
      <c r="A20" s="3" t="s">
        <v>318</v>
      </c>
      <c r="B20" s="4"/>
    </row>
    <row r="21" customFormat="false" ht="15" hidden="false" customHeight="false" outlineLevel="0" collapsed="false">
      <c r="A21" s="10" t="s">
        <v>299</v>
      </c>
      <c r="B21" s="32" t="s">
        <v>319</v>
      </c>
    </row>
    <row r="22" customFormat="false" ht="15" hidden="false" customHeight="false" outlineLevel="0" collapsed="false">
      <c r="A22" s="10" t="s">
        <v>301</v>
      </c>
      <c r="B22" s="2" t="s">
        <v>320</v>
      </c>
    </row>
    <row r="23" customFormat="false" ht="15" hidden="false" customHeight="false" outlineLevel="0" collapsed="false">
      <c r="A23" s="10" t="s">
        <v>303</v>
      </c>
      <c r="B23" s="2" t="s">
        <v>321</v>
      </c>
    </row>
    <row r="24" customFormat="false" ht="15" hidden="false" customHeight="false" outlineLevel="0" collapsed="false">
      <c r="A24" s="10" t="s">
        <v>305</v>
      </c>
      <c r="B24" s="2" t="s">
        <v>322</v>
      </c>
    </row>
    <row r="25" customFormat="false" ht="15" hidden="false" customHeight="false" outlineLevel="0" collapsed="false">
      <c r="A25" s="10" t="s">
        <v>307</v>
      </c>
      <c r="B25" s="2" t="s">
        <v>323</v>
      </c>
    </row>
    <row r="26" customFormat="false" ht="15" hidden="false" customHeight="false" outlineLevel="0" collapsed="false">
      <c r="A26" s="10" t="s">
        <v>309</v>
      </c>
      <c r="B26" s="2" t="s">
        <v>324</v>
      </c>
    </row>
    <row r="28" customFormat="false" ht="15" hidden="false" customHeight="false" outlineLevel="0" collapsed="false">
      <c r="A28" s="3" t="s">
        <v>325</v>
      </c>
      <c r="B28" s="4"/>
    </row>
    <row r="29" customFormat="false" ht="15" hidden="false" customHeight="false" outlineLevel="0" collapsed="false">
      <c r="A29" s="10" t="s">
        <v>299</v>
      </c>
      <c r="B29" s="32" t="s">
        <v>326</v>
      </c>
    </row>
    <row r="30" customFormat="false" ht="15" hidden="false" customHeight="false" outlineLevel="0" collapsed="false">
      <c r="A30" s="10" t="s">
        <v>301</v>
      </c>
      <c r="B30" s="2" t="s">
        <v>327</v>
      </c>
    </row>
    <row r="31" customFormat="false" ht="15" hidden="false" customHeight="false" outlineLevel="0" collapsed="false">
      <c r="A31" s="10" t="s">
        <v>303</v>
      </c>
      <c r="B31" s="2" t="s">
        <v>328</v>
      </c>
    </row>
    <row r="32" customFormat="false" ht="15" hidden="false" customHeight="false" outlineLevel="0" collapsed="false">
      <c r="A32" s="10" t="s">
        <v>305</v>
      </c>
      <c r="B32" s="2" t="s">
        <v>329</v>
      </c>
    </row>
    <row r="33" customFormat="false" ht="15" hidden="false" customHeight="false" outlineLevel="0" collapsed="false">
      <c r="A33" s="10" t="s">
        <v>307</v>
      </c>
      <c r="B33" s="2" t="s">
        <v>330</v>
      </c>
    </row>
    <row r="34" customFormat="false" ht="15" hidden="false" customHeight="false" outlineLevel="0" collapsed="false">
      <c r="A34" s="10" t="s">
        <v>309</v>
      </c>
      <c r="B34" s="2" t="s">
        <v>331</v>
      </c>
    </row>
    <row r="36" customFormat="false" ht="15" hidden="false" customHeight="false" outlineLevel="0" collapsed="false">
      <c r="A36" s="3" t="s">
        <v>332</v>
      </c>
      <c r="B36" s="4"/>
    </row>
    <row r="37" customFormat="false" ht="15" hidden="false" customHeight="false" outlineLevel="0" collapsed="false">
      <c r="A37" s="5" t="s">
        <v>333</v>
      </c>
      <c r="B37" s="2" t="s">
        <v>334</v>
      </c>
    </row>
    <row r="38" customFormat="false" ht="15" hidden="false" customHeight="false" outlineLevel="0" collapsed="false">
      <c r="A38" s="5" t="s">
        <v>335</v>
      </c>
      <c r="B38" s="2" t="s">
        <v>336</v>
      </c>
    </row>
    <row r="39" customFormat="false" ht="15" hidden="false" customHeight="false" outlineLevel="0" collapsed="false">
      <c r="A39" s="5" t="s">
        <v>337</v>
      </c>
      <c r="B39" s="2" t="s">
        <v>338</v>
      </c>
    </row>
    <row r="40" customFormat="false" ht="15" hidden="false" customHeight="false" outlineLevel="0" collapsed="false">
      <c r="A40" s="5" t="s">
        <v>339</v>
      </c>
      <c r="B40" s="2" t="s">
        <v>340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2026-10-01T10:07:10Z</dcterms:created>
  <dc:creator>openpyxl</dc:creator>
  <dc:description/>
  <dc:language>en-US</dc:language>
  <cp:lastModifiedBy/>
  <dcterms:modified xsi:type="dcterms:W3CDTF">2026-10-01T10:07:11Z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