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_rels/sheet16.xml.rels" ContentType="application/vnd.openxmlformats-package.relationships+xml"/>
  <Override PartName="/xl/worksheets/_rels/sheet13.xml.rels" ContentType="application/vnd.openxmlformats-package.relationships+xml"/>
  <Override PartName="/xl/worksheets/_rels/sheet6.xml.rels" ContentType="application/vnd.openxmlformats-package.relationships+xml"/>
  <Override PartName="/xl/worksheets/_rels/sheet9.xml.rels" ContentType="application/vnd.openxmlformats-package.relationships+xml"/>
  <Override PartName="/xl/worksheets/_rels/sheet14.xml.rels" ContentType="application/vnd.openxmlformats-package.relationships+xml"/>
  <Override PartName="/xl/worksheets/_rels/sheet11.xml.rels" ContentType="application/vnd.openxmlformats-package.relationships+xml"/>
  <Override PartName="/xl/worksheets/_rels/sheet10.xml.rels" ContentType="application/vnd.openxmlformats-package.relationships+xml"/>
  <Override PartName="/xl/worksheets/_rels/sheet12.xml.rels" ContentType="application/vnd.openxmlformats-package.relationships+xml"/>
  <Override PartName="/xl/worksheets/_rels/sheet8.xml.rels" ContentType="application/vnd.openxmlformats-package.relationships+xml"/>
  <Override PartName="/xl/worksheets/sheet9.xml" ContentType="application/vnd.openxmlformats-officedocument.spreadsheetml.worksheet+xml"/>
  <Override PartName="/xl/worksheets/sheet8.xml" ContentType="application/vnd.openxmlformats-officedocument.spreadsheetml.worksheet+xml"/>
  <Override PartName="/xl/worksheets/sheet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6.xml" ContentType="application/vnd.openxmlformats-officedocument.spreadsheetml.worksheet+xml"/>
  <Override PartName="/xl/worksheets/sheet14.xml" ContentType="application/vnd.openxmlformats-officedocument.spreadsheetml.worksheet+xml"/>
  <Override PartName="/xl/worksheets/sheet5.xml" ContentType="application/vnd.openxmlformats-officedocument.spreadsheetml.worksheet+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11.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13.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charts/chart22.xml" ContentType="application/vnd.openxmlformats-officedocument.drawingml.chart+xml"/>
  <Override PartName="/xl/charts/chart21.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18.xml" ContentType="application/vnd.openxmlformats-officedocument.drawingml.chart+xml"/>
  <Override PartName="/xl/charts/chart17.xml" ContentType="application/vnd.openxmlformats-officedocument.drawingml.chart+xml"/>
  <Override PartName="/xl/charts/chart29.xml" ContentType="application/vnd.openxmlformats-officedocument.drawingml.chart+xml"/>
  <Override PartName="/xl/charts/chart7.xml" ContentType="application/vnd.openxmlformats-officedocument.drawingml.chart+xml"/>
  <Override PartName="/xl/charts/chart31.xml" ContentType="application/vnd.openxmlformats-officedocument.drawingml.chart+xml"/>
  <Override PartName="/xl/charts/chart12.xml" ContentType="application/vnd.openxmlformats-officedocument.drawingml.chart+xml"/>
  <Override PartName="/xl/charts/chart30.xml" ContentType="application/vnd.openxmlformats-officedocument.drawingml.chart+xml"/>
  <Override PartName="/xl/charts/chart6.xml" ContentType="application/vnd.openxmlformats-officedocument.drawingml.chart+xml"/>
  <Override PartName="/xl/charts/chart28.xml" ContentType="application/vnd.openxmlformats-officedocument.drawingml.chart+xml"/>
  <Override PartName="/xl/charts/chart8.xml" ContentType="application/vnd.openxmlformats-officedocument.drawingml.chart+xml"/>
  <Override PartName="/xl/charts/chart32.xml" ContentType="application/vnd.openxmlformats-officedocument.drawingml.chart+xml"/>
  <Override PartName="/xl/charts/chart9.xml" ContentType="application/vnd.openxmlformats-officedocument.drawingml.chart+xml"/>
  <Override PartName="/xl/charts/chart33.xml" ContentType="application/vnd.openxmlformats-officedocument.drawingml.chart+xml"/>
  <Override PartName="/xl/charts/chart10.xml" ContentType="application/vnd.openxmlformats-officedocument.drawingml.chart+xml"/>
  <Override PartName="/xl/charts/chart34.xml" ContentType="application/vnd.openxmlformats-officedocument.drawingml.chart+xml"/>
  <Override PartName="/xl/charts/chart11.xml" ContentType="application/vnd.openxmlformats-officedocument.drawingml.chart+xml"/>
  <Override PartName="/xl/charts/chart35.xml" ContentType="application/vnd.openxmlformats-officedocument.drawingml.chart+xml"/>
  <Override PartName="/xl/charts/chart5.xml" ContentType="application/vnd.openxmlformats-officedocument.drawingml.chart+xml"/>
  <Override PartName="/xl/charts/chart27.xml" ContentType="application/vnd.openxmlformats-officedocument.drawingml.chart+xml"/>
  <Override PartName="/xl/charts/chart4.xml" ContentType="application/vnd.openxmlformats-officedocument.drawingml.chart+xml"/>
  <Override PartName="/xl/charts/chart26.xml" ContentType="application/vnd.openxmlformats-officedocument.drawingml.chart+xml"/>
  <Override PartName="/xl/charts/chart3.xml" ContentType="application/vnd.openxmlformats-officedocument.drawingml.chart+xml"/>
  <Override PartName="/xl/charts/chart25.xml" ContentType="application/vnd.openxmlformats-officedocument.drawingml.chart+xml"/>
  <Override PartName="/xl/charts/chart2.xml" ContentType="application/vnd.openxmlformats-officedocument.drawingml.chart+xml"/>
  <Override PartName="/xl/charts/chart24.xml" ContentType="application/vnd.openxmlformats-officedocument.drawingml.chart+xml"/>
  <Override PartName="/xl/charts/chart13.xml" ContentType="application/vnd.openxmlformats-officedocument.drawingml.chart+xml"/>
  <Override PartName="/xl/charts/chart1.xml" ContentType="application/vnd.openxmlformats-officedocument.drawingml.chart+xml"/>
  <Override PartName="/xl/charts/chart2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drawings/_rels/drawing9.xml.rels" ContentType="application/vnd.openxmlformats-package.relationships+xml"/>
  <Override PartName="/xl/drawings/_rels/drawing3.xml.rels" ContentType="application/vnd.openxmlformats-package.relationships+xml"/>
  <Override PartName="/xl/drawings/_rels/drawing8.xml.rels" ContentType="application/vnd.openxmlformats-package.relationships+xml"/>
  <Override PartName="/xl/drawings/_rels/drawing7.xml.rels" ContentType="application/vnd.openxmlformats-package.relationships+xml"/>
  <Override PartName="/xl/drawings/_rels/drawing6.xml.rels" ContentType="application/vnd.openxmlformats-package.relationships+xml"/>
  <Override PartName="/xl/drawings/_rels/drawing5.xml.rels" ContentType="application/vnd.openxmlformats-package.relationships+xml"/>
  <Override PartName="/xl/drawings/_rels/drawing2.xml.rels" ContentType="application/vnd.openxmlformats-package.relationships+xml"/>
  <Override PartName="/xl/drawings/_rels/drawing4.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Read Me" sheetId="1" state="visible" r:id="rId2"/>
    <sheet name="Standalone" sheetId="2" state="visible" r:id="rId3"/>
    <sheet name="Chained" sheetId="3" state="visible" r:id="rId4"/>
    <sheet name="Float Column" sheetId="4" state="visible" r:id="rId5"/>
    <sheet name="Lossy Breakdown" sheetId="5" state="visible" r:id="rId6"/>
    <sheet name="A1 Ratio by Unit" sheetId="6" state="visible" r:id="rId7"/>
    <sheet name="Dataset" sheetId="7" state="visible" r:id="rId8"/>
    <sheet name="A2 Chaining Cost" sheetId="8" state="visible" r:id="rId9"/>
    <sheet name="A3 Accuracy and Float" sheetId="9" state="visible" r:id="rId10"/>
    <sheet name="A4 Overhead and Timing" sheetId="10" state="visible" r:id="rId11"/>
    <sheet name="A5 Float Column Detail" sheetId="11" state="visible" r:id="rId12"/>
    <sheet name="A6 Lossy Stage Breakdown" sheetId="12" state="visible" r:id="rId13"/>
    <sheet name="A7 Bytes by Unit" sheetId="13" state="visible" r:id="rId14"/>
    <sheet name="A8 Timing" sheetId="14" state="visible" r:id="rId15"/>
    <sheet name="Anomalies" sheetId="15" state="visible" r:id="rId16"/>
    <sheet name="Summary" sheetId="16" state="visible" r:id="rId1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<sst xmlns="http://schemas.openxmlformats.org/spreadsheetml/2006/main" count="1290" uniqueCount="398">
  <si>
    <t xml:space="preserve">Solar panel readings — replay store compression, full scale</t>
  </si>
  <si>
    <t xml:space="preserve">Measured through the real SQL query path, not by calling the codecs directly. One run per configuration (N=1).</t>
  </si>
  <si>
    <t xml:space="preserve">WHAT WAS MEASURED</t>
  </si>
  <si>
    <t xml:space="preserve">Input</t>
  </si>
  <si>
    <t xml:space="preserve">200,001 rows x 28 B = 5,600,028 B (1.11 GiB) of DEBS solar panel readings</t>
  </si>
  <si>
    <t xml:space="preserve">Unit sizes</t>
  </si>
  <si>
    <t xml:space="preserve">256, 1024, 4096, 16384 KB. 16 and 64 KB were dropped: at this volume they are granule bookkeeping, not a codec measurement.</t>
  </si>
  <si>
    <t xml:space="preserve">Standalone</t>
  </si>
  <si>
    <t xml:space="preserve">6 configurations. NO MemoryStore -- standing alone it holds ~8 MB and would have wrapped ~150 times, measuring an evicting store.</t>
  </si>
  <si>
    <t xml:space="preserve">Chained</t>
  </si>
  <si>
    <t xml:space="preserve">5 configurations, MemoryStore -&gt; FileStore -&gt; tail.</t>
  </si>
  <si>
    <t xml:space="preserve">Float column</t>
  </si>
  <si>
    <t xml:space="preserve">9 accuracy bounds from lossless to 20%, write-only, at default unit sizes.</t>
  </si>
  <si>
    <t xml:space="preserve">Repeats</t>
  </si>
  <si>
    <t xml:space="preserve">N=1. Byte counts are deterministic and exact; TIMINGS are single samples and should not be read to better than a few percent.</t>
  </si>
  <si>
    <t xml:space="preserve">HEADLINE FINDINGS</t>
  </si>
  <si>
    <t xml:space="preserve">Solar is hard</t>
  </si>
  <si>
    <t xml:space="preserve">Best ratio 3.31 (LossyStore, 5%, 256 KB) against wind's 8.33. Predicted by the data: producerId is a shuffled permutation of 0..42.7M so nothing can compress it, and the timestamp has no repeating delta.</t>
  </si>
  <si>
    <t xml:space="preserve">Smaller is better</t>
  </si>
  <si>
    <t xml:space="preserve">Every BOUNDED configuration compresses BETTER at smaller units, monotonically. This is the opposite of the usual expectation. See Anomalies.</t>
  </si>
  <si>
    <t xml:space="preserve">zstd does not care</t>
  </si>
  <si>
    <t xml:space="preserve">CompressedStore is 1.650 -&gt; 1.652 across a 64x change in unit size. Flat.</t>
  </si>
  <si>
    <t xml:space="preserve">Chaining is free here</t>
  </si>
  <si>
    <t xml:space="preserve">Chained ratios are within 0.5% of standalone. FileStore keeps only 0.35-0.93% of the stream raw, because its 4 MB flush threshold is tiny relative to 1.2 GB.</t>
  </si>
  <si>
    <t xml:space="preserve">The bound buys a lot</t>
  </si>
  <si>
    <t xml:space="preserve">The float column is 51% of a lossless store and stored RAW. The very first bound, 0.01%, removes 73.6% of it.</t>
  </si>
  <si>
    <t xml:space="preserve">Decode is now flat</t>
  </si>
  <si>
    <t xml:space="preserve">85-95 s at every unit size. Before the per-cursor decode buffer was added, a 16384 KB unit would have cost 64x a 256 KB one.</t>
  </si>
  <si>
    <t xml:space="preserve">HOW TO READ THIS WORKBOOK</t>
  </si>
  <si>
    <t xml:space="preserve">Green figures</t>
  </si>
  <si>
    <t xml:space="preserve">Formulas computed by the sheet. Black figures are measurements.</t>
  </si>
  <si>
    <t xml:space="preserve">Data sheets</t>
  </si>
  <si>
    <t xml:space="preserve">Standalone, Chained and Float Column hold the CSVs verbatim. Everything else is derived from them by formula, so correcting a measurement moves the analysis.</t>
  </si>
  <si>
    <t xml:space="preserve">ratio_on_data</t>
  </si>
  <si>
    <t xml:space="preserve">bytes_in / data_out -- framing excluded. Compares codecs.</t>
  </si>
  <si>
    <t xml:space="preserve">ratio_on_disk</t>
  </si>
  <si>
    <t xml:space="preserve">bytes_in / disk_bytes -- framing included. What it costs to keep.</t>
  </si>
  <si>
    <t xml:space="preserve">ratio_on_tail</t>
  </si>
  <si>
    <t xml:space="preserve">Chained only. Excludes the bytes FileStore is still holding raw, so it is what the tail codec achieved on what it was actually handed.</t>
  </si>
  <si>
    <t xml:space="preserve">Anomalies sheet</t>
  </si>
  <si>
    <t xml:space="preserve">Read it before quoting any single number. Four results here are not what a reader would predict and one is unexplained.</t>
  </si>
  <si>
    <t xml:space="preserve">dataset</t>
  </si>
  <si>
    <t xml:space="preserve">configuration</t>
  </si>
  <si>
    <t xml:space="preserve">store_order</t>
  </si>
  <si>
    <t xml:space="preserve">tail_tier</t>
  </si>
  <si>
    <t xml:space="preserve">bound_pct</t>
  </si>
  <si>
    <t xml:space="preserve">unit_kb</t>
  </si>
  <si>
    <t xml:space="preserve">rows</t>
  </si>
  <si>
    <t xml:space="preserve">row_width_bytes</t>
  </si>
  <si>
    <t xml:space="preserve">bytes_in</t>
  </si>
  <si>
    <t xml:space="preserve">encode_s</t>
  </si>
  <si>
    <t xml:space="preserve">decode_s</t>
  </si>
  <si>
    <t xml:space="preserve">data_out</t>
  </si>
  <si>
    <t xml:space="preserve">disk_bytes</t>
  </si>
  <si>
    <t xml:space="preserve">framing_bytes</t>
  </si>
  <si>
    <t xml:space="preserve">framing_ratio</t>
  </si>
  <si>
    <t xml:space="preserve">units</t>
  </si>
  <si>
    <t xml:space="preserve">runs</t>
  </si>
  <si>
    <t xml:space="preserve">filestore_segment_kb</t>
  </si>
  <si>
    <t xml:space="preserve">filestore_total_mb</t>
  </si>
  <si>
    <t xml:space="preserve">filestore_files_at_capacity</t>
  </si>
  <si>
    <t xml:space="preserve">filestore_flush_threshold_kb</t>
  </si>
  <si>
    <t xml:space="preserve">lossystore_group_kb</t>
  </si>
  <si>
    <t xml:space="preserve">compressedstore_segment_kb</t>
  </si>
  <si>
    <t xml:space="preserve">compressedstore_level</t>
  </si>
  <si>
    <t xml:space="preserve">memorystore_max_buffer_count</t>
  </si>
  <si>
    <t xml:space="preserve">pool_buffer_bytes</t>
  </si>
  <si>
    <t xml:space="preserve">flush_threshold</t>
  </si>
  <si>
    <t xml:space="preserve">merge_factor</t>
  </si>
  <si>
    <t xml:space="preserve">MemoryStore_data</t>
  </si>
  <si>
    <t xml:space="preserve">MemoryStore_disk</t>
  </si>
  <si>
    <t xml:space="preserve">FileStore_data</t>
  </si>
  <si>
    <t xml:space="preserve">FileStore_disk</t>
  </si>
  <si>
    <t xml:space="preserve">CompressedStore_data</t>
  </si>
  <si>
    <t xml:space="preserve">CompressedStore_disk</t>
  </si>
  <si>
    <t xml:space="preserve">LossyStore_data</t>
  </si>
  <si>
    <t xml:space="preserve">LossyStore_disk</t>
  </si>
  <si>
    <t xml:space="preserve">debs_wind_turbines</t>
  </si>
  <si>
    <t xml:space="preserve">standalone</t>
  </si>
  <si>
    <t xml:space="preserve">CompressedStore</t>
  </si>
  <si>
    <t xml:space="preserve">1MB</t>
  </si>
  <si>
    <t xml:space="preserve">LossyStore</t>
  </si>
  <si>
    <t xml:space="preserve">MemoryStore</t>
  </si>
  <si>
    <t xml:space="preserve">FileStore</t>
  </si>
  <si>
    <t xml:space="preserve">chained</t>
  </si>
  <si>
    <t xml:space="preserve">MemoryStore-&gt;FileStore-&gt;CompressedStore</t>
  </si>
  <si>
    <t xml:space="preserve">MemoryStore-&gt;FileStore-&gt;LossyStore</t>
  </si>
  <si>
    <t xml:space="preserve">column</t>
  </si>
  <si>
    <t xml:space="preserve">type</t>
  </si>
  <si>
    <t xml:space="preserve">is_quantisable</t>
  </si>
  <si>
    <t xml:space="preserve">groups</t>
  </si>
  <si>
    <t xml:space="preserve">bytes</t>
  </si>
  <si>
    <t xml:space="preserve">bytes_per_row</t>
  </si>
  <si>
    <t xml:space="preserve">vs_lossless_bytes</t>
  </si>
  <si>
    <t xml:space="preserve">vs_lossless_pct</t>
  </si>
  <si>
    <t xml:space="preserve">codec</t>
  </si>
  <si>
    <t xml:space="preserve">worst_recorded_error</t>
  </si>
  <si>
    <t xml:space="preserve">producerId</t>
  </si>
  <si>
    <t xml:space="preserve">INT32</t>
  </si>
  <si>
    <t xml:space="preserve">no</t>
  </si>
  <si>
    <t xml:space="preserve">ForBitpack</t>
  </si>
  <si>
    <t xml:space="preserve">groupId</t>
  </si>
  <si>
    <t xml:space="preserve">producedPower</t>
  </si>
  <si>
    <t xml:space="preserve">FLOAT64</t>
  </si>
  <si>
    <t xml:space="preserve">yes</t>
  </si>
  <si>
    <t xml:space="preserve">Raw</t>
  </si>
  <si>
    <t xml:space="preserve">ts</t>
  </si>
  <si>
    <t xml:space="preserve">UINT64</t>
  </si>
  <si>
    <t xml:space="preserve">Quantized</t>
  </si>
  <si>
    <t xml:space="preserve">raw_bytes</t>
  </si>
  <si>
    <t xml:space="preserve">raw_bits_per_value</t>
  </si>
  <si>
    <t xml:space="preserve">quantised_code_bytes</t>
  </si>
  <si>
    <t xml:space="preserve">quantised_bits_per_value</t>
  </si>
  <si>
    <t xml:space="preserve">quantise_ratio</t>
  </si>
  <si>
    <t xml:space="preserve">header_bytes</t>
  </si>
  <si>
    <t xml:space="preserve">bitpacked_bytes</t>
  </si>
  <si>
    <t xml:space="preserve">bitpacked_bits_per_value</t>
  </si>
  <si>
    <t xml:space="preserve">bitpack_ratio</t>
  </si>
  <si>
    <t xml:space="preserve">zstd_bytes</t>
  </si>
  <si>
    <t xml:space="preserve">zstd_bits_per_value</t>
  </si>
  <si>
    <t xml:space="preserve">final_ratio</t>
  </si>
  <si>
    <t xml:space="preserve">zstd_saved_bytes</t>
  </si>
  <si>
    <t xml:space="preserve">zstd_saved_pct</t>
  </si>
  <si>
    <t xml:space="preserve">zstd_kept_groups</t>
  </si>
  <si>
    <t xml:space="preserve">zstd_kept_share</t>
  </si>
  <si>
    <t xml:space="preserve">x_from_quantise_bitpack</t>
  </si>
  <si>
    <t xml:space="preserve">x_from_zstd</t>
  </si>
  <si>
    <t xml:space="preserve">What the unit size buys</t>
  </si>
  <si>
    <t xml:space="preserve">The unit is the granule a tier seals on: FileStore's segment, LossyStore's group, CompressedStore's segment. All three move together in this sweep.</t>
  </si>
  <si>
    <t xml:space="preserve">STANDALONE  -  ratio_on_data (bytes_in / data_out)</t>
  </si>
  <si>
    <t xml:space="preserve">One store, no tiering. Higher is better.</t>
  </si>
  <si>
    <t xml:space="preserve">Configuration</t>
  </si>
  <si>
    <t xml:space="preserve">16 KB</t>
  </si>
  <si>
    <t xml:space="preserve">64 KB</t>
  </si>
  <si>
    <t xml:space="preserve">256 KB</t>
  </si>
  <si>
    <t xml:space="preserve">1024 KB</t>
  </si>
  <si>
    <t xml:space="preserve">4096 KB</t>
  </si>
  <si>
    <t xml:space="preserve">LossyStore lossless</t>
  </si>
  <si>
    <t xml:space="preserve">LossyStore 0.1%</t>
  </si>
  <si>
    <t xml:space="preserve">LossyStore 1%</t>
  </si>
  <si>
    <t xml:space="preserve">LossyStore 5%</t>
  </si>
  <si>
    <t xml:space="preserve">WHAT THIS SHOWS</t>
  </si>
  <si>
    <t xml:space="preserve">Each line is one store configuration; the x axis is the granule it seals on, 64x from left to right.</t>
  </si>
  <si>
    <t xml:space="preserve">WHAT TO LOOK FOR</t>
  </si>
  <si>
    <t xml:space="preserve">The three BOUNDED lossy lines all slope DOWN -- smaller units compress better. That is backwards from the usual intuition and is Anomaly 1. CompressedStore is a flat line at 1.65: zstd does not care about the block size here. FileStore is flat at 1.0 by definition, it is the baseline.</t>
  </si>
  <si>
    <t xml:space="preserve">STANDALONE  -  ratio_on_disk (framing included)</t>
  </si>
  <si>
    <t xml:space="preserve">Same, but counting file headers, preallocated tables and per-unit descriptors. FIVE decimals on purpose -- see the note below.</t>
  </si>
  <si>
    <t xml:space="preserve">What the data actually costs to keep, as opposed to what the codec produced.</t>
  </si>
  <si>
    <t xml:space="preserve">It sits almost exactly on top of the previous chart. On WIND these two diverged by up to 10.8% at a 16 KB unit; here the gap is under 0.3% everywhere, because 1.2 GB is far too much data for per-unit framing to matter.</t>
  </si>
  <si>
    <t xml:space="preserve">WHY FILESTORE LOOKS LIKE EXACTLY 1: it is not. Its framing is 328,436 B at 256 KB falling to 5,876 B at 16384 KB, so the ratio is 0.99973 .. 0.99999. At three decimal places that rounds to 1.000 and the framing disappears. This table therefore shows five. A ratio is the wrong instrument for an overhead this small against 1.2 GB -- the byte table below is the honest one.</t>
  </si>
  <si>
    <t xml:space="preserve">FRAMING IN BYTES  -  disk_bytes minus data_out</t>
  </si>
  <si>
    <t xml:space="preserve">The same overhead stated absolutely, where nothing is lost to rounding.</t>
  </si>
  <si>
    <t xml:space="preserve">Actual bytes of bookkeeping per configuration, on a log axis because the range is 1000x.</t>
  </si>
  <si>
    <t xml:space="preserve">Every line falls ~4x per step, tracking the unit count exactly -- framing is per-unit, so four times fewer units means four times less of it. LossyStore pays the most (236 B per group: a 36 B group header plus 50 B per column), FileStore the least. Even LossyStore's worst case here, about 1.1 MB, is 0.09% of the file.</t>
  </si>
  <si>
    <t xml:space="preserve">CHAINED  -  ratio_on_data (the whole chain)</t>
  </si>
  <si>
    <t xml:space="preserve">MemoryStore -&gt; FileStore -&gt; tail. Counts whatever FileStore is still holding raw.</t>
  </si>
  <si>
    <t xml:space="preserve">-&gt; CompressedStore</t>
  </si>
  <si>
    <t xml:space="preserve">-&gt; LossyStore lossless</t>
  </si>
  <si>
    <t xml:space="preserve">-&gt; LossyStore 0.1%</t>
  </si>
  <si>
    <t xml:space="preserve">-&gt; LossyStore 1%</t>
  </si>
  <si>
    <t xml:space="preserve">-&gt; LossyStore 5%</t>
  </si>
  <si>
    <t xml:space="preserve">The same sweep, but through the full three-tier chain instead of a single store.</t>
  </si>
  <si>
    <t xml:space="preserve">It should look almost identical to the standalone chart, and it does. Everything the chain costs is in the next sheet; the short version is 0.4%.</t>
  </si>
  <si>
    <t xml:space="preserve">What the solar data looks like</t>
  </si>
  <si>
    <t xml:space="preserve">From dataset_analysis.py over the whole 1.49 GB CSV: exact distinct counts via a disk-backed sort, extents and decimal places in one streaming pass.</t>
  </si>
  <si>
    <t xml:space="preserve">FACTS</t>
  </si>
  <si>
    <t xml:space="preserve">source_file</t>
  </si>
  <si>
    <t xml:space="preserve">large/debs/WIND_TURBINES_TOPIC_5M.csv</t>
  </si>
  <si>
    <t xml:space="preserve">csv_bytes</t>
  </si>
  <si>
    <t xml:space="preserve">columns</t>
  </si>
  <si>
    <t xml:space="preserve">stored_row_width_bytes</t>
  </si>
  <si>
    <t xml:space="preserve">stored_bytes_total</t>
  </si>
  <si>
    <t xml:space="preserve">truncated</t>
  </si>
  <si>
    <t xml:space="preserve">no - the whole shipped file</t>
  </si>
  <si>
    <t xml:space="preserve">timestamp_sorted</t>
  </si>
  <si>
    <t xml:space="preserve">True</t>
  </si>
  <si>
    <t xml:space="preserve">timestamp_distinct_deltas</t>
  </si>
  <si>
    <t xml:space="preserve">timestamp_delta_pattern</t>
  </si>
  <si>
    <t xml:space="preserve">0x133334; 60000x66666</t>
  </si>
  <si>
    <t xml:space="preserve">timestamp_delta_min</t>
  </si>
  <si>
    <t xml:space="preserve">timestamp_delta_max</t>
  </si>
  <si>
    <t xml:space="preserve">timestamp_delta_mean</t>
  </si>
  <si>
    <t xml:space="preserve">19999.8</t>
  </si>
  <si>
    <t xml:space="preserve">timestamp_range</t>
  </si>
  <si>
    <t xml:space="preserve">1000000000000 .. 1003999960000</t>
  </si>
  <si>
    <t xml:space="preserve">PER COLUMN</t>
  </si>
  <si>
    <t xml:space="preserve">sql_type</t>
  </si>
  <si>
    <t xml:space="preserve">payload_bytes</t>
  </si>
  <si>
    <t xml:space="preserve">null_indicator_bytes</t>
  </si>
  <si>
    <t xml:space="preserve">stored_bytes_per_value</t>
  </si>
  <si>
    <t xml:space="preserve">distinct_values</t>
  </si>
  <si>
    <t xml:space="preserve">distinct_pct</t>
  </si>
  <si>
    <t xml:space="preserve">min</t>
  </si>
  <si>
    <t xml:space="preserve">max</t>
  </si>
  <si>
    <t xml:space="preserve">decimal_places</t>
  </si>
  <si>
    <t xml:space="preserve">quantisable_by_accuracy_bound</t>
  </si>
  <si>
    <t xml:space="preserve">example</t>
  </si>
  <si>
    <t xml:space="preserve">1:19865/2:180136</t>
  </si>
  <si>
    <t xml:space="preserve">timestamp</t>
  </si>
  <si>
    <t xml:space="preserve">WHY THIS MATTERS FOR COMPRESSION</t>
  </si>
  <si>
    <t xml:space="preserve">42,700,000 distinct over exactly 0..42,699,999 -- a shuffled permutation of the row numbers. No dictionary, no run length, and delta-of-delta is worse than useless on a shuffled sequence. Bitpacking alone: 32 bits -&gt; 26.</t>
  </si>
  <si>
    <t xml:space="preserve">4 distinct. Two bits of real information, and the one column that compresses freely.</t>
  </si>
  <si>
    <t xml:space="preserve">97.90% distinct at six decimal places. The ONLY quantisable column, so every byte an accuracy bound saves comes out of this one.</t>
  </si>
  <si>
    <t xml:space="preserve">Monotonic, so deltas are positive -- but over 4096 distinct deltas with no cycle, mean 40,342 and max 743,465. Delta plus bitpack takes 64 bits to about 20.</t>
  </si>
  <si>
    <t xml:space="preserve">Against wind</t>
  </si>
  <si>
    <t xml:space="preserve">Wind had 26 distinct producerIds and exactly TWO distinct timestamp deltas. That is why its ratios are 2-2.5x these, and why it shows a zigzag that solar does not.</t>
  </si>
  <si>
    <t xml:space="preserve">What the tier chain costs</t>
  </si>
  <si>
    <t xml:space="preserve">FileStore migrates to the tail once it has accumulated its flush threshold, and keeps the remainder UNCOMPRESSED. That remainder is what a chain costs.</t>
  </si>
  <si>
    <t xml:space="preserve">BYTES FILESTORE IS STILL HOLDING, RAW</t>
  </si>
  <si>
    <t xml:space="preserve">Read straight off the store files.</t>
  </si>
  <si>
    <t xml:space="preserve">As a share of the whole stream:</t>
  </si>
  <si>
    <t xml:space="preserve">The fraction of the 1.2 GB that never reached a compressing tier.</t>
  </si>
  <si>
    <t xml:space="preserve">Everything is between 0.35% and 0.93%, so the chain compresses essentially all of it. The bars step up at 16384 KB because the leftover is one SEGMENT and the segment got bigger -- not because the chain behaved differently.</t>
  </si>
  <si>
    <t xml:space="preserve">CHAINED RATIO / STANDALONE RATIO</t>
  </si>
  <si>
    <t xml:space="preserve">1.000 would mean the chain gave up nothing at all against a single store.</t>
  </si>
  <si>
    <t xml:space="preserve">How much of a single store's compression the three-tier chain keeps.</t>
  </si>
  <si>
    <t xml:space="preserve">Everything is 0.995 to 1.001, so chaining is free at this scale. On WIND the same figure was 0.67 to 0.87 -- the chain gave up 13-33%. The difference is NOT the code: the flush threshold is a fixed 4 MB, which is 6.6% of wind's 5.6 MB but 0.2% of solar's 1.2 GB. Three cells read slightly ABOVE 1.000, which should be impossible; see Anomaly 3.</t>
  </si>
  <si>
    <t xml:space="preserve">What the accuracy bound buys</t>
  </si>
  <si>
    <t xml:space="preserve">The bound reaches floating point columns and nothing else. Here that is exactly one column of four, producedPower.</t>
  </si>
  <si>
    <t xml:space="preserve">STANDALONE LOSSYSTORE  -  ratio by bound</t>
  </si>
  <si>
    <t xml:space="preserve">Four lines: lossless, then 0.1%, 1% and 5% error allowances, each across the unit-size sweep.</t>
  </si>
  <si>
    <t xml:space="preserve">The gap between the lossless line and the others is what quantisation buys -- roughly 1.6x to 1.8x. The lines do not cross, so a wider bound always beats a tighter one at whole-store level. That is NOT true column by column: see the float table below and Anomaly 2.</t>
  </si>
  <si>
    <t xml:space="preserve">GAIN OVER LOSSLESS AT THE SAME UNIT SIZE</t>
  </si>
  <si>
    <t xml:space="preserve">Bounded ratio divided by the lossless ratio. 1.00 would mean the bound bought nothing.</t>
  </si>
  <si>
    <t xml:space="preserve">How much better each bound is than storing the same data losslessly.</t>
  </si>
  <si>
    <t xml:space="preserve">The gain SHRINKS as the unit grows -- 1.78x at 256 KB down to 1.71x at 16384 KB for the 5% bound, and the same direction at 0.1% and 1%. Both the lossless and the bounded ratios fall with unit size, but the bounded ones fall faster (-5.2% against -1.4% over the sweep), so quantisation is worth relatively LESS at coarse granularity. That points the same way as Anomaly 1: on this data, small units and tight bounds.</t>
  </si>
  <si>
    <t xml:space="preserve">THE FLOAT COLUMN ALONE  -  producedPower, all 9 bounds</t>
  </si>
  <si>
    <t xml:space="preserve">Measured at the DEFAULT unit size, write-only. The three other columns are the control: if a bound moved them, something would be wrong.</t>
  </si>
  <si>
    <t xml:space="preserve">bound %</t>
  </si>
  <si>
    <t xml:space="preserve">bytes/row</t>
  </si>
  <si>
    <t xml:space="preserve">vs lossless</t>
  </si>
  <si>
    <t xml:space="preserve">worst error</t>
  </si>
  <si>
    <t xml:space="preserve">error ceiling</t>
  </si>
  <si>
    <t xml:space="preserve">HIGHLIGHTED ROW: the 5% bound produces a LARGER column than the 2% bound, +2.88%. A looser error allowance should never cost more bytes. See Anomaly 2.</t>
  </si>
  <si>
    <t xml:space="preserve">Losslessly this column is stored Raw at 7.65 B/row for an 8-byte value and is 326 MB -- about 51% of the whole lossless store. That is why the very first bound, 0.01%, removes 73.6% of it.</t>
  </si>
  <si>
    <t xml:space="preserve">'worst error' is the encoder's own accounting, not an independent check against the source rows. It tracks the ceiling closely at every bound, which is reassuring but not proof.</t>
  </si>
  <si>
    <t xml:space="preserve">Framing, unit counts and time</t>
  </si>
  <si>
    <t xml:space="preserve">FRAMING AS A SHARE OF THE FILE</t>
  </si>
  <si>
    <t xml:space="preserve">File header, preallocated table and per-unit descriptors, over disk_bytes.</t>
  </si>
  <si>
    <t xml:space="preserve">How much of each file is bookkeeping rather than data.</t>
  </si>
  <si>
    <t xml:space="preserve">Under 0.3% everywhere, and falling with unit size as you would expect. On WIND this reached 10.8% at a 16 KB unit and drove the choice of unit size; at 1.2 GB it is irrelevant. This is the clearest way in which conclusions from the small dataset do not transfer.</t>
  </si>
  <si>
    <t xml:space="preserve">UNITS WRITTEN</t>
  </si>
  <si>
    <t xml:space="preserve">How many granules each unit size produces. 4,561 at 256 KB down to 72 at 16384 KB.</t>
  </si>
  <si>
    <t xml:space="preserve">A clean 4x step each time, which confirms the sweep actually changed what it claimed to. Framing tracks this line exactly.</t>
  </si>
  <si>
    <t xml:space="preserve">ENCODE SECONDS</t>
  </si>
  <si>
    <t xml:space="preserve">Wall time of the write query. N=1, so read these to a few percent at best.</t>
  </si>
  <si>
    <t xml:space="preserve">The 256 KB column is 12-19% slower than everything to its right, consistently across all six configurations -- that is 4,561 seal operations against 72. Beyond 1024 KB it is flat.</t>
  </si>
  <si>
    <t xml:space="preserve">DECODE SECONDS</t>
  </si>
  <si>
    <t xml:space="preserve">Wall time of the read-back query.</t>
  </si>
  <si>
    <t xml:space="preserve">FLAT at 85-95 s across a 64x change in unit size. This is the headline result for the decode cache added before this run: previously a tier re-decoded its whole unit on every 4 KB output buffer, so a 16384 KB unit cost 64x a 256 KB one. One cell stands out -- FileStore at 16384 KB, 113.6 s -- see Anomaly 4.</t>
  </si>
  <si>
    <t xml:space="preserve">producedPower — what the bound actually achieves on the one column it touches</t>
  </si>
  <si>
    <t xml:space="preserve">A FLOAT64 costs 8 bytes, so 200,001 rows of it are 1,600,008 B unencoded. Every ratio here is against that, which is the number a whole-store ratio cannot show you.</t>
  </si>
  <si>
    <t xml:space="preserve">Measured at the DEFAULT unit size, write-only, so these do not vary with the unit sweep on the other sheets.</t>
  </si>
  <si>
    <t xml:space="preserve">PER BOUND</t>
  </si>
  <si>
    <t xml:space="preserve">stored bytes</t>
  </si>
  <si>
    <t xml:space="preserve">bits per value</t>
  </si>
  <si>
    <t xml:space="preserve">x vs FLOAT64</t>
  </si>
  <si>
    <t xml:space="preserve">x vs lossless stored</t>
  </si>
  <si>
    <t xml:space="preserve">marginal step</t>
  </si>
  <si>
    <t xml:space="preserve">share of whole store</t>
  </si>
  <si>
    <t xml:space="preserve">Three views of the same nine measurements: the ratio achieved, the bits each value ends up costing, and how much of the store this column still accounts for.</t>
  </si>
  <si>
    <t xml:space="preserve">LOSSLESS IS THE STORY: 61.185 bits per value, a ratio of 1.046. Storing these floats without loss saves 4.6% and nothing more -- 97.9% of them are distinct at six decimal places, so there is almost no redundancy to find. The codec recorded for that row is literally 'Raw'.</t>
  </si>
  <si>
    <t xml:space="preserve">THE FIRST BOUND IS WORTH MORE THAN ALL THE OTHERS COMBINED. Going from lossless to 0.01% takes 61.2 bits to 16.2 and removes 240 MB -- a 3.95x ratio from a bound so tight it permits an absolute error of 0.0001. Every later widening, all the way out to 20%, only takes it from 3.95x to 11.24x.</t>
  </si>
  <si>
    <t xml:space="preserve">THE STEPS ARE LUMPY, not a smooth curve: -73.6%, -17.2%, -17.7%, -8.4%, -23.4%, +2.9%, -20.2%, -10.4%. A smooth rate-distortion curve would not look like this, because the quantiser picks INTEGER bit widths and the bound only bites when it crosses a width boundary.</t>
  </si>
  <si>
    <t xml:space="preserve">CAUTION -- 'bits per value' here is measured from the STORED bytes, so it mixes two stages: the quantiser's bit width AND a zstd pass over the packed codes. They can move in opposite directions. At 2% the quantiser uses 9 bits and zstd recovers 17.3%; at 5% it uses 7 bits and zstd recovers 1.7%. That is the whole of Anomaly 2, and it means this column cannot be read as a measure of the quantiser alone.</t>
  </si>
  <si>
    <t xml:space="preserve">THE COLUMN STOPS BEING THE PROBLEM. At lossless it is 51.3% of the store; by 20% it is 8.9%. Past about 1% the bound is no longer where the bytes are -- producerId and ts are, and neither can be quantised. That is the ceiling on what accuracy can buy for this dataset.</t>
  </si>
  <si>
    <t xml:space="preserve">ALL FOUR COLUMNS, LOSSLESS — why the other three cannot be helped</t>
  </si>
  <si>
    <t xml:space="preserve">unencoded width</t>
  </si>
  <si>
    <t xml:space="preserve">x vs raw</t>
  </si>
  <si>
    <t xml:space="preserve">8 B</t>
  </si>
  <si>
    <t xml:space="preserve">4 B</t>
  </si>
  <si>
    <t xml:space="preserve">producerId gets 1.18x: it is a shuffled permutation of 0..42,699,999, so the only thing available is bitpacking 32 bits down to the 27 the range needs. groupId gets 10.5x because it holds four distinct values in 3 bits. ts gets 2.28x -- 28 bits, which is roughly the span of one group, so it is bitpacking against the group range rather than exploiting a delta pattern, because solar has none.</t>
  </si>
  <si>
    <t xml:space="preserve">None of those three is a FLOAT, so no accuracy bound can touch them. They are the control that proves the bound only moved what it should, and they are also the hard floor: 310 MB of the store is columns that quantisation cannot reach.</t>
  </si>
  <si>
    <t xml:space="preserve">LossyStore, stage by stage — where the bytes actually go</t>
  </si>
  <si>
    <t xml:space="preserve">LossyStore.cpp:309-315 encodes a quantisable column in three steps: quantizeColumn turns doubles into integer grid codes and picks a bitWidth; bitPack writes bitWidth bits per code behind an 18 B header; then zstd runs over the result and is KEPT ONLY IF SMALLER.</t>
  </si>
  <si>
    <t xml:space="preserve">QUANTISATION ON ITS OWN SAVES NOTHING. It produces uint64 codes -- still eight bytes each, in memory. What it earns is a small bitWidth, and that only becomes bytes when bitPack runs. The two are therefore reported as ONE multiplier; splitting them would invent a saving that does not exist.</t>
  </si>
  <si>
    <t xml:space="preserve">BITS PER VALUE AT EACH STAGE, AND WHAT EACH STAGE MULTIPLIED</t>
  </si>
  <si>
    <t xml:space="preserve">raw</t>
  </si>
  <si>
    <t xml:space="preserve">after quantise+bitpack</t>
  </si>
  <si>
    <t xml:space="preserve">after zstd</t>
  </si>
  <si>
    <t xml:space="preserve">bits zstd removed</t>
  </si>
  <si>
    <t xml:space="preserve">x from quantise+bitpack</t>
  </si>
  <si>
    <t xml:space="preserve">x from zstd</t>
  </si>
  <si>
    <t xml:space="preserve">final x</t>
  </si>
  <si>
    <t xml:space="preserve">zstd kept</t>
  </si>
  <si>
    <t xml:space="preserve">The nine bounds seen four ways: bits per value after each stage, how many bits the zstd pass removed, the multiplier each stage contributed, and how often zstd was worth keeping.</t>
  </si>
  <si>
    <t xml:space="preserve">WHICH LINE BUMPS MATTERS. 'after quantise+bitpack' falls 16.03, 12.54, 10.15, 9.15, 8.15, 7.06, 6.07, 5.09 -- no reversal anywhere. The bump at 2%-&gt;5% is on 'AFTER ZSTD', which goes 6.7455 then back up to 6.9686. The lossy stage is not what misbehaves.</t>
  </si>
  <si>
    <t xml:space="preserve">THE LOSSLESS POINT IS LEFT OFF THE FIRST TWO CHARTS. It sits at 64 bits while everything else is between 4.7 and 16, so including it squeezes the whole interesting range into the bottom of the axis, puts the two lines almost on top of each other, and makes a 0.22-bit step impossible to see. It is still in the table above, at 64.0000 packed and 60.1835 stored.</t>
  </si>
  <si>
    <t xml:space="preserve">THE SECOND CHART IS THE CLEAREST VIEW OF ANOMALY 2. Bits removed by zstd: 0.85, 0.14, 0.11, 0.04, then a spike to 1.41 at 2%, then a collapse to 0.10 at 5%, then 0.72 and 0.40. A single bar twelve times taller than its neighbour, and the whole inversion lives in it.</t>
  </si>
  <si>
    <t xml:space="preserve">ZSTD IS THE ERRATIC STAGE: x1.063, 1.056, 1.011, 1.011, 1.004, 1.209, 1.014, 1.134, 1.085. It swings between contributing nothing and contributing 21%, with no trend in the bound at all.</t>
  </si>
  <si>
    <t xml:space="preserve">ANOMALY 2, IN ONE LINE (highlighted rows). At 2% the packed form is 8.1520 bits and zstd takes it to 6.7455 -- x1.2085, kept in 91% of groups. At 5% the packed form is BETTER at 7.0644 bits, but zstd only reaches 6.9686 -- x1.0137, kept in 39%. The quantiser did its job; zstd handed the advantage back, and 5% ends up larger.</t>
  </si>
  <si>
    <t xml:space="preserve">WHY: at 9 bits the packing is loose relative to the codes' entropy, so zstd finds slack. At 7 bits it is already near-entropy and there is nothing left. Tighter bitpacking starves the general-purpose compressor. The 'zstd kept' bars track this exactly -- 91% and 100% where zstd pays, 13% to 45% where it does not.</t>
  </si>
  <si>
    <t xml:space="preserve">THE FIX IS VISIBLE FROM HERE: LossyStore.cpp:314 keeps whichever of packed or zstd(packed) is smaller, but the BIT WIDTH was already fixed before that comparison. A width that packs tightly and compresses badly is never compared against a looser one that compresses well.</t>
  </si>
  <si>
    <t xml:space="preserve">REPRODUCED AT TWO SCALES</t>
  </si>
  <si>
    <t xml:space="preserve">The same measurement on 1,000,000 rows and on 42,700,000 -- 42.7x the data.</t>
  </si>
  <si>
    <t xml:space="preserve">quantity</t>
  </si>
  <si>
    <t xml:space="preserve">1,000,000 rows</t>
  </si>
  <si>
    <t xml:space="preserve">42,700,000 rows</t>
  </si>
  <si>
    <t xml:space="preserve">bits after pack</t>
  </si>
  <si>
    <t xml:space="preserve">Agreement to four decimal places at 42.7x the input. This is not sampling noise, and the 1M input is therefore enough to chase the cause on.</t>
  </si>
  <si>
    <t xml:space="preserve">What each configuration actually costs, in bytes</t>
  </si>
  <si>
    <t xml:space="preserve">Input is 5,600,028 B. Tables are MiB, because a ratio does not tell you how much disk you need.</t>
  </si>
  <si>
    <t xml:space="preserve">STANDALONE  -  data_out, the encoded data alone (MiB)</t>
  </si>
  <si>
    <t xml:space="preserve">Framing excluded. What the codec produced.</t>
  </si>
  <si>
    <t xml:space="preserve">Bytes on disk for each configuration at each unit size, framing excluded.</t>
  </si>
  <si>
    <t xml:space="preserve">The whole span is 5.3 MiB for FileStore down to 0.64 MiB for LossyStore at 5% and a 16 KB unit. Small in absolute terms, which is the point: on a 5.6 MB input the RATIO is the interesting figure and the byte difference is not a capacity decision.</t>
  </si>
  <si>
    <t xml:space="preserve">STANDALONE  -  disk_bytes, the file as written (MiB)</t>
  </si>
  <si>
    <t xml:space="preserve">Framing included: header, preallocated table, per-unit descriptors.</t>
  </si>
  <si>
    <t xml:space="preserve">The same configurations counting everything the store writes.</t>
  </si>
  <si>
    <t xml:space="preserve">Here the two charts genuinely differ, unlike on solar. At a 16 KB unit LossyStore pays 10.76% of the file in framing, so the on-disk ordering is not the same as the encoded-size ordering. This is the dataset where framing changes an answer.</t>
  </si>
  <si>
    <t xml:space="preserve">CHAINED  -  total across all tiers (MiB)</t>
  </si>
  <si>
    <t xml:space="preserve">CHAINED  -  what FileStore still holds, uncompressed (MiB)</t>
  </si>
  <si>
    <t xml:space="preserve">The two halves of a chained store: everything it wrote, and the part that never reached a compressing tier.</t>
  </si>
  <si>
    <t xml:space="preserve">FileStore holds 367 KB, a flat 6.6% of the stream at every unit size, because its flush threshold is a fixed 4 MB against 5.6 MB of data. That is the whole of what chaining costs here, and on this input it is a lot.</t>
  </si>
  <si>
    <t xml:space="preserve">Time, and what it buys</t>
  </si>
  <si>
    <t xml:space="preserve">N=3. Byte counts elsewhere are deterministic and exact; these are wall time from the systest runner and cover the whole query path, not just the codec.</t>
  </si>
  <si>
    <t xml:space="preserve">STANDALONE  -  encode seconds</t>
  </si>
  <si>
    <t xml:space="preserve">Wall time to write the whole input through each configuration.</t>
  </si>
  <si>
    <t xml:space="preserve">Flat across the sweep and nearly identical across configurations. At 200k rows the write is dominated by CSV parsing and the query engine, not by compressing.</t>
  </si>
  <si>
    <t xml:space="preserve">STANDALONE  -  decode seconds</t>
  </si>
  <si>
    <t xml:space="preserve">Wall time to read it all back.</t>
  </si>
  <si>
    <t xml:space="preserve">Flat at 0.38-0.45 s across a 256x change in unit size. It was NOT flat before the decoded-unit buffer was added to the read cursor: at 4096 KB LossyStore took 11.34 s, so this is a 25x improvement at the largest unit and 1.0x at the smallest, tracking the re-decode factor exactly.</t>
  </si>
  <si>
    <t xml:space="preserve">THROUGHPUT  -  MiB per second, standalone</t>
  </si>
  <si>
    <t xml:space="preserve">5,600,028 B over the times above.</t>
  </si>
  <si>
    <t xml:space="preserve">encode:</t>
  </si>
  <si>
    <t xml:space="preserve">decode:</t>
  </si>
  <si>
    <t xml:space="preserve">The same two measurements as a rate.</t>
  </si>
  <si>
    <t xml:space="preserve">Around 12-14 MiB/s either way, which is the query engine's per-buffer cost on a debug build rather than anything about storage. Every store lands in the same band because the codec is roughly 2% of the time.</t>
  </si>
  <si>
    <t xml:space="preserve">CHAINED  -  encode seconds</t>
  </si>
  <si>
    <t xml:space="preserve">CHAINED  -  decode seconds</t>
  </si>
  <si>
    <t xml:space="preserve">The same two through the full three-tier chain.</t>
  </si>
  <si>
    <t xml:space="preserve">Within noise of the standalone figures. Passing data through MemoryStore and FileStore on the way to the tail costs no measurable time, even though on this dataset it costs a great many bytes.</t>
  </si>
  <si>
    <t xml:space="preserve">Four things that are not what a reader would predict</t>
  </si>
  <si>
    <t xml:space="preserve">Read this before quoting any single number. Anomaly 2 is unexplained and could be a defect; the others are understood or benign.</t>
  </si>
  <si>
    <t xml:space="preserve">ANOMALY 1   —   LossyStore's ratio zigzags with unit size instead of trending</t>
  </si>
  <si>
    <t xml:space="preserve">STATUS</t>
  </si>
  <si>
    <t xml:space="preserve">Explained, and absent on solar</t>
  </si>
  <si>
    <t xml:space="preserve">WHAT</t>
  </si>
  <si>
    <t xml:space="preserve">Lossless goes 4.641, 3.736, 4.101, 3.588, 4.496 across 16 to 4096 KB. Swings of 15-25% with no direction. All four bounded lines do the same.</t>
  </si>
  <si>
    <t xml:space="preserve">WHY IT IS ODD</t>
  </si>
  <si>
    <t xml:space="preserve">A ratio should move smoothly with the granule, as CompressedStore's does (3.166 to 3.270, flat).</t>
  </si>
  <si>
    <t xml:space="preserve">BEST GUESS</t>
  </si>
  <si>
    <t xml:space="preserve">The timestamp column uses ForBitpack and its bit width tracks the group's span. This data has a period-3 delta pattern, so the span lands on a byte boundary only at certain group sizes. An artifact of wind's regularity: solar has no repeating delta and its curves fall monotonically instead.</t>
  </si>
  <si>
    <t xml:space="preserve">HOW TO SETTLE IT</t>
  </si>
  <si>
    <t xml:space="preserve">Log the chosen bit width per group against group size, as for the solar anomaly. The prediction is that it steps rather than climbs.</t>
  </si>
  <si>
    <t xml:space="preserve">WHY IT MATTERS</t>
  </si>
  <si>
    <t xml:space="preserve">16 KB winning here is not a recommendation. It is the dataset, and the advice inverts on solar.</t>
  </si>
  <si>
    <t xml:space="preserve">ANOMALY 2   —   The 5% bound stores MORE than the 2% bound</t>
  </si>
  <si>
    <t xml:space="preserve">EXPLAINED, and identical on solar</t>
  </si>
  <si>
    <t xml:space="preserve">zstd multiplies by 1.2148 at 2% and only 1.0125 at 5%, kept in 93.0% of groups against 43.0%. Solar gives 1.2085 and 1.0137, kept 91.3% and 39.1%.</t>
  </si>
  <si>
    <t xml:space="preserve">A wider error allowance can always fall back on the tighter encoding, so it should never cost more.</t>
  </si>
  <si>
    <t xml:space="preserve">Confirmed. The quantiser is correct -- at 5% it picks a 7-bit width against 2%'s 9 and packs smaller. The zstd pass afterwards gives it back: at 9 bits the packing is loose relative to the codes' entropy and zstd finds slack; at 7 bits it is near-entropy and finds none.</t>
  </si>
  <si>
    <t xml:space="preserve">Settled. That two datasets with nothing in common agree to three decimal places makes it a property of the quantiser-to-zstd handoff, not of any data.</t>
  </si>
  <si>
    <t xml:space="preserve">LossyStore.cpp:314 keeps whichever of packed or zstd(packed) is smaller, but the bit width is fixed before that comparison. Trying both widths and keeping the smaller result would fix it, and it would help both datasets.</t>
  </si>
  <si>
    <t xml:space="preserve">THINGS THAT ARE NOT ANOMALIES, CHECKED</t>
  </si>
  <si>
    <t xml:space="preserve">No eviction</t>
  </si>
  <si>
    <t xml:space="preserve">FileStore's data_out is exactly 1,195,600,000 B at all four unit sizes -- byte for byte the input. The capacity was raised to 4096 MB over 4 files for the standalone run precisely so this would hold.</t>
  </si>
  <si>
    <t xml:space="preserve">Bound touches one column</t>
  </si>
  <si>
    <t xml:space="preserve">producerId, groupId and ts each have exactly ONE byte count across all nine bounds, all on ForBitpack. The accuracy bound moved the float and nothing else.</t>
  </si>
  <si>
    <t xml:space="preserve">Unit sweep really swept</t>
  </si>
  <si>
    <t xml:space="preserve">Unit counts step cleanly 4,561 / 1,141 / 286 / 72 -- a clean 4x each time. The headers were genuinely patched at each point.</t>
  </si>
  <si>
    <t xml:space="preserve">LossyStore lossless dips</t>
  </si>
  <si>
    <t xml:space="preserve">1.862 / 1.869 / 1.851 / 1.835 -- peaks at 1024 KB rather than falling monotonically like the bounded lines. The swing is 1.8%, far smaller than wind's 40-49%, and it is the lossless path so no quantiser is involved. Noted, not pursued.</t>
  </si>
  <si>
    <t xml:space="preserve">What this workbook found</t>
  </si>
  <si>
    <t xml:space="preserve">Six charts, each drawn from a table on one of the analysis sheets -- no number here is retyped. Then the findings and what is worth doing.</t>
  </si>
  <si>
    <t xml:space="preserve">1.  WHAT THE UNIT SIZE BUYS</t>
  </si>
  <si>
    <t xml:space="preserve">Q</t>
  </si>
  <si>
    <t xml:space="preserve">Does a bigger granule compress better?</t>
  </si>
  <si>
    <t xml:space="preserve">A</t>
  </si>
  <si>
    <t xml:space="preserve">Not reliably -- LossyStore ZIGZAGS: 4.641, 3.736, 4.101, 3.588, 4.496 as the unit grows. The swings are 15-25% and 16 KB happens to win. The timestamp column uses ForBitpack, its bit width tracks the group's span, and this data's period-3 delta pattern aligns to a byte boundary only at some widths. It is an artifact of wind's regularity and does NOT appear on solar, where the same curves fall monotonically. Do not read 16 KB as a recommendation.</t>
  </si>
  <si>
    <t xml:space="preserve">2.  WHAT IT COSTS IN BYTES</t>
  </si>
  <si>
    <t xml:space="preserve">Is the ratio difference worth anything in absolute terms?</t>
  </si>
  <si>
    <t xml:space="preserve">Barely, on this input. The whole span is 5.3 MiB down to 0.64 MiB. That is why wind is the wrong dataset for a capacity argument and the right one for a codec comparison -- 200k rows is small enough that per-unit framing still shows, which is the next chart.</t>
  </si>
  <si>
    <t xml:space="preserve">3.  WHERE THE SAVING COMES FROM</t>
  </si>
  <si>
    <t xml:space="preserve">Why have a lossy tier?</t>
  </si>
  <si>
    <t xml:space="preserve">producedPower is 40% distinct and the single largest thing in a lossless store. The bound reaches it and nothing else -- the two INT32 keys and the UINT64 timestamp are encoded losslessly whatever it says -- so every byte the bound saves comes out of one column.</t>
  </si>
  <si>
    <t xml:space="preserve">4.  THE ONE ANOMALY</t>
  </si>
  <si>
    <t xml:space="preserve">The 5% bound stores MORE than the 2% bound. Is the quantiser broken?</t>
  </si>
  <si>
    <t xml:space="preserve">No, and this is the interesting part: the SAME inversion appears on solar, to three decimal places. Wind zstd x1.2148 at 2% and x1.0125 at 5%; solar x1.2085 and x1.0137. Two datasets with nothing in common. At 9 bits the packing is loose relative to the codes' entropy so zstd finds slack; at 7 bits it is near-entropy and finds none. The width is chosen BEFORE zstd is considered, at LossyStore.cpp:314. That makes it a property of the pipeline, not of either dataset.</t>
  </si>
  <si>
    <t xml:space="preserve">5.  WHAT THE UNIT SIZE COSTS IN TIME</t>
  </si>
  <si>
    <t xml:space="preserve">If small units sometimes win on size, do they cost more to read?</t>
  </si>
  <si>
    <t xml:space="preserve">No -- decode is flat at 0.38-0.45 s across the sweep. It was not: before the decoded-unit buffer, LossyStore at 4096 KB took 11.34 s against 0.45 s now, a 25x difference, while the 16 KB point did not move at all. The speedup tracks the re-decode factor, which is the evidence the mechanism was understood and not just made faster.</t>
  </si>
  <si>
    <t xml:space="preserve">6.  WHAT THE TIERING COSTS</t>
  </si>
  <si>
    <t xml:space="preserve">A chain keeps some data uncompressed. How much does that give away?</t>
  </si>
  <si>
    <t xml:space="preserve">A great deal here: chained ratios are 0.87 of standalone for CompressedStore and 0.68-0.77 for LossyStore, so 13-32%. FileStore holds a flat 6.6%. On SOLAR the identical code gives 0.995-1.001. The flush threshold is a fixed 4 MB, so the leftover is ~2.5 MB either way -- 6.6% of wind's 5.6 MB and 0.2% of solar's 1.2 GB. The cost of tiering is the threshold relative to the dataset, not a property of chaining.</t>
  </si>
  <si>
    <t xml:space="preserve">EVERYTHING ELSE WORTH KNOWING</t>
  </si>
  <si>
    <t xml:space="preserve">1.  Wind is an easy target  —  26 distinct producer IDs and exactly two distinct timestamp deltas. Best ratio 8.33 against solar's 3.31 on identical code. Quote it as a best case.</t>
  </si>
  <si>
    <t xml:space="preserve">2.  Framing is real at this size  —  LossyStore pays 10.76% of the file at a 16 KB unit, against at most 0.30% anywhere on solar. This is the dataset where the unit size has to be argued on disk cost and not only on ratio.</t>
  </si>
  <si>
    <t xml:space="preserve">3.  CompressedStore is flat  —  3.166 to 3.270 across the sweep. zstd does not care about the block size on either dataset.</t>
  </si>
  <si>
    <t xml:space="preserve">4.  MemoryStore is in this set and not in solar's  —  2048 buffers hold 8 MB, enough for 5.6 MB. On solar the same ring would have wrapped about 150 times.</t>
  </si>
  <si>
    <t xml:space="preserve">WORTH DOING NEXT</t>
  </si>
  <si>
    <t xml:space="preserve">1.  Choose the bit width with zstd in the loop  —  LossyStore.cpp:314 keeps whichever of packed or zstd(packed) is smaller, but the width is fixed before that comparison. Now known to affect both datasets identically, so it is not a one-dataset patch.</t>
  </si>
  <si>
    <t xml:space="preserve">2.  Pin the write checksums again  —  The three bounded-lossy read-backs use Void sinks because their checksum moves with the group size. The writes and the lossless read-backs are stable and still pinned.</t>
  </si>
  <si>
    <t xml:space="preserve">3.  Make bench.py check systest's exit status  —  It only parses timings, which is how three failing queries went unnoticed across four grid points.</t>
  </si>
  <si>
    <t xml:space="preserve">WHAT THESE NUMBERS ARE NOT</t>
  </si>
  <si>
    <t xml:space="preserve">Timings are N=3 medians here. Byte counts are deterministic and exact.</t>
  </si>
  <si>
    <t xml:space="preserve">Encode and decode are wall time from the systest runner on a DEBUG build, covering the whole query path. Useful for comparing configurations against each other, not as store throughput.</t>
  </si>
  <si>
    <t xml:space="preserve">The achieved error is the encoder's own accounting, not an independent check against the source rows. It tracks the ceiling at every bound, which is reassuring but not proof.</t>
  </si>
</sst>
</file>

<file path=xl/styles.xml><?xml version="1.0" encoding="utf-8"?>
<styleSheet xmlns="http://schemas.openxmlformats.org/spreadsheetml/2006/main">
  <numFmts count="13">
    <numFmt numFmtId="164" formatCode="General"/>
    <numFmt numFmtId="165" formatCode="0.000"/>
    <numFmt numFmtId="166" formatCode="0.00000"/>
    <numFmt numFmtId="167" formatCode="#,##0"/>
    <numFmt numFmtId="168" formatCode="0.00%"/>
    <numFmt numFmtId="169" formatCode="0.0%"/>
    <numFmt numFmtId="170" formatCode="0.000000"/>
    <numFmt numFmtId="171" formatCode="0.0000%"/>
    <numFmt numFmtId="172" formatCode="0.0"/>
    <numFmt numFmtId="173" formatCode="\+0.00%;\-0.00%"/>
    <numFmt numFmtId="174" formatCode="0.00"/>
    <numFmt numFmtId="175" formatCode="0.0000"/>
    <numFmt numFmtId="176" formatCode="#,##0.0"/>
  </numFmts>
  <fonts count="17">
    <font>
      <sz val="11"/>
      <color rgb="FF000000"/>
      <name val="Calibri"/>
      <family val="2"/>
      <charset val="1"/>
    </font>
    <font>
      <sz val="10"/>
      <name val="Arial"/>
      <family val="0"/>
    </font>
    <font>
      <sz val="10"/>
      <name val="Arial"/>
      <family val="0"/>
    </font>
    <font>
      <sz val="10"/>
      <name val="Arial"/>
      <family val="0"/>
    </font>
    <font>
      <b val="true"/>
      <sz val="16"/>
      <name val="Arial"/>
      <family val="0"/>
      <charset val="1"/>
    </font>
    <font>
      <i val="true"/>
      <sz val="11"/>
      <color rgb="FF555555"/>
      <name val="Arial"/>
      <family val="0"/>
      <charset val="1"/>
    </font>
    <font>
      <b val="true"/>
      <sz val="11"/>
      <name val="Arial"/>
      <family val="0"/>
      <charset val="1"/>
    </font>
    <font>
      <b val="true"/>
      <sz val="11"/>
      <color rgb="FFFFFFFF"/>
      <name val="Arial"/>
      <family val="0"/>
      <charset val="1"/>
    </font>
    <font>
      <sz val="11"/>
      <name val="Arial"/>
      <family val="0"/>
      <charset val="1"/>
    </font>
    <font>
      <b val="true"/>
      <sz val="14"/>
      <name val="Arial"/>
      <family val="0"/>
      <charset val="1"/>
    </font>
    <font>
      <sz val="11"/>
      <color rgb="FF1F6F3D"/>
      <name val="Arial"/>
      <family val="0"/>
      <charset val="1"/>
    </font>
    <font>
      <b val="true"/>
      <sz val="9"/>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9"/>
      <color rgb="FF555555"/>
      <name val="Arial"/>
      <family val="0"/>
      <charset val="1"/>
    </font>
    <font>
      <b val="true"/>
      <sz val="9"/>
      <color rgb="FF1F6F3D"/>
      <name val="Arial"/>
      <family val="0"/>
      <charset val="1"/>
    </font>
  </fonts>
  <fills count="5">
    <fill>
      <patternFill patternType="none"/>
    </fill>
    <fill>
      <patternFill patternType="gray125"/>
    </fill>
    <fill>
      <patternFill patternType="solid">
        <fgColor rgb="FFD9E2F3"/>
        <bgColor rgb="FFD9D9D9"/>
      </patternFill>
    </fill>
    <fill>
      <patternFill patternType="solid">
        <fgColor rgb="FF2F5496"/>
        <bgColor rgb="FF426FA6"/>
      </patternFill>
    </fill>
    <fill>
      <patternFill patternType="solid">
        <fgColor rgb="FFFFF2CC"/>
        <bgColor rgb="FFFFFF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3" borderId="0" xfId="0" applyFont="true" applyBorder="false" applyAlignment="true" applyProtection="false">
      <alignment horizontal="center" vertical="bottom"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xf numFmtId="169" fontId="10" fillId="0" borderId="0" xfId="0" applyFont="true" applyBorder="false" applyAlignment="false" applyProtection="false">
      <alignment horizontal="general" vertical="bottom" textRotation="0" wrapText="false" indent="0" shrinkToFit="false"/>
      <protection locked="true" hidden="false"/>
    </xf>
    <xf numFmtId="170" fontId="10" fillId="0" borderId="0" xfId="0" applyFont="true" applyBorder="false" applyAlignment="false" applyProtection="false">
      <alignment horizontal="general" vertical="bottom" textRotation="0" wrapText="false" indent="0" shrinkToFit="false"/>
      <protection locked="true" hidden="false"/>
    </xf>
    <xf numFmtId="164" fontId="8" fillId="4" borderId="0" xfId="0" applyFont="true" applyBorder="false" applyAlignment="false" applyProtection="false">
      <alignment horizontal="general" vertical="bottom" textRotation="0" wrapText="false" indent="0" shrinkToFit="false"/>
      <protection locked="true" hidden="false"/>
    </xf>
    <xf numFmtId="167" fontId="8" fillId="4" borderId="0" xfId="0" applyFont="true" applyBorder="false" applyAlignment="false" applyProtection="false">
      <alignment horizontal="general" vertical="bottom" textRotation="0" wrapText="false" indent="0" shrinkToFit="false"/>
      <protection locked="true" hidden="false"/>
    </xf>
    <xf numFmtId="169" fontId="10" fillId="4" borderId="0" xfId="0" applyFont="true" applyBorder="false" applyAlignment="false" applyProtection="false">
      <alignment horizontal="general" vertical="bottom" textRotation="0" wrapText="false" indent="0" shrinkToFit="false"/>
      <protection locked="true" hidden="false"/>
    </xf>
    <xf numFmtId="170" fontId="10" fillId="4" borderId="0" xfId="0" applyFont="true" applyBorder="false" applyAlignment="false" applyProtection="false">
      <alignment horizontal="general" vertical="bottom" textRotation="0" wrapText="false" indent="0" shrinkToFit="false"/>
      <protection locked="true" hidden="false"/>
    </xf>
    <xf numFmtId="171" fontId="10" fillId="0" borderId="0" xfId="0" applyFont="true" applyBorder="false" applyAlignment="false" applyProtection="false">
      <alignment horizontal="general" vertical="bottom" textRotation="0" wrapText="false" indent="0" shrinkToFit="false"/>
      <protection locked="true" hidden="false"/>
    </xf>
    <xf numFmtId="172" fontId="10" fillId="0" borderId="0" xfId="0" applyFont="true" applyBorder="false" applyAlignment="false" applyProtection="false">
      <alignment horizontal="general" vertical="bottom" textRotation="0" wrapText="false" indent="0" shrinkToFit="false"/>
      <protection locked="true" hidden="false"/>
    </xf>
    <xf numFmtId="173" fontId="10" fillId="0" borderId="0" xfId="0" applyFont="true" applyBorder="false" applyAlignment="false" applyProtection="false">
      <alignment horizontal="general" vertical="bottom" textRotation="0" wrapText="false" indent="0" shrinkToFit="false"/>
      <protection locked="true" hidden="false"/>
    </xf>
    <xf numFmtId="167" fontId="10" fillId="4" borderId="0" xfId="0" applyFont="true" applyBorder="false" applyAlignment="false" applyProtection="false">
      <alignment horizontal="general" vertical="bottom" textRotation="0" wrapText="false" indent="0" shrinkToFit="false"/>
      <protection locked="true" hidden="false"/>
    </xf>
    <xf numFmtId="165" fontId="10" fillId="4" borderId="0" xfId="0" applyFont="true" applyBorder="false" applyAlignment="false" applyProtection="false">
      <alignment horizontal="general" vertical="bottom" textRotation="0" wrapText="false" indent="0" shrinkToFit="false"/>
      <protection locked="true" hidden="false"/>
    </xf>
    <xf numFmtId="173" fontId="10" fillId="4" borderId="0" xfId="0" applyFont="true" applyBorder="false" applyAlignment="false" applyProtection="false">
      <alignment horizontal="general" vertical="bottom" textRotation="0" wrapText="false" indent="0" shrinkToFit="false"/>
      <protection locked="true" hidden="false"/>
    </xf>
    <xf numFmtId="174" fontId="10" fillId="0" borderId="0" xfId="0" applyFont="true" applyBorder="false" applyAlignment="false" applyProtection="false">
      <alignment horizontal="general" vertical="bottom" textRotation="0" wrapText="false" indent="0" shrinkToFit="false"/>
      <protection locked="true" hidden="false"/>
    </xf>
    <xf numFmtId="175" fontId="10" fillId="0" borderId="0" xfId="0" applyFont="true" applyBorder="false" applyAlignment="false" applyProtection="false">
      <alignment horizontal="general" vertical="bottom" textRotation="0" wrapText="false" indent="0" shrinkToFit="false"/>
      <protection locked="true" hidden="false"/>
    </xf>
    <xf numFmtId="175" fontId="10" fillId="4" borderId="0" xfId="0" applyFont="true" applyBorder="false" applyAlignment="false" applyProtection="false">
      <alignment horizontal="general" vertical="bottom" textRotation="0" wrapText="false" indent="0" shrinkToFit="false"/>
      <protection locked="true" hidden="false"/>
    </xf>
    <xf numFmtId="172" fontId="8" fillId="0" borderId="0" xfId="0" applyFont="true" applyBorder="false" applyAlignment="false" applyProtection="false">
      <alignment horizontal="general" vertical="bottom" textRotation="0" wrapText="false" indent="0" shrinkToFit="false"/>
      <protection locked="true" hidden="false"/>
    </xf>
    <xf numFmtId="175" fontId="8" fillId="0" borderId="0" xfId="0" applyFont="true" applyBorder="false" applyAlignment="false" applyProtection="false">
      <alignment horizontal="general" vertical="bottom" textRotation="0" wrapText="false" indent="0" shrinkToFit="false"/>
      <protection locked="true" hidden="false"/>
    </xf>
    <xf numFmtId="176" fontId="10" fillId="0" borderId="0" xfId="0" applyFont="true" applyBorder="false" applyAlignment="false" applyProtection="false">
      <alignment horizontal="general" vertical="bottom" textRotation="0" wrapText="false" indent="0" shrinkToFit="false"/>
      <protection locked="true" hidden="false"/>
    </xf>
    <xf numFmtId="164" fontId="6" fillId="4"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1F6F3D"/>
      <rgbColor rgb="FF000080"/>
      <rgbColor rgb="FF87A44B"/>
      <rgbColor rgb="FF7D5FA0"/>
      <rgbColor rgb="FF4299B0"/>
      <rgbColor rgb="FF9BBB59"/>
      <rgbColor rgb="FF878787"/>
      <rgbColor rgb="FF93A9CE"/>
      <rgbColor rgb="FFAA433F"/>
      <rgbColor rgb="FFFFF2CC"/>
      <rgbColor rgb="FFD9E2F3"/>
      <rgbColor rgb="FF660066"/>
      <rgbColor rgb="FFDC853E"/>
      <rgbColor rgb="FF4672A8"/>
      <rgbColor rgb="FFD9D9D9"/>
      <rgbColor rgb="FF000080"/>
      <rgbColor rgb="FFFF00FF"/>
      <rgbColor rgb="FFFFFF00"/>
      <rgbColor rgb="FF00FFFF"/>
      <rgbColor rgb="FF800080"/>
      <rgbColor rgb="FF800000"/>
      <rgbColor rgb="FF4A7EBB"/>
      <rgbColor rgb="FF0000FF"/>
      <rgbColor rgb="FF46AAC4"/>
      <rgbColor rgb="FFCCFFFF"/>
      <rgbColor rgb="FFCCFFCC"/>
      <rgbColor rgb="FFFFFF99"/>
      <rgbColor rgb="FF8AA64F"/>
      <rgbColor rgb="FFFF99CC"/>
      <rgbColor rgb="FF8064A2"/>
      <rgbColor rgb="FFFFCC99"/>
      <rgbColor rgb="FF426FA6"/>
      <rgbColor rgb="FF4BACC6"/>
      <rgbColor rgb="FF98B855"/>
      <rgbColor rgb="FFFFCC00"/>
      <rgbColor rgb="FFDB8238"/>
      <rgbColor rgb="FFC0504D"/>
      <rgbColor rgb="FF725990"/>
      <rgbColor rgb="FF8EA5CA"/>
      <rgbColor rgb="FF4F81BD"/>
      <rgbColor rgb="FF3D97AF"/>
      <rgbColor rgb="FF003300"/>
      <rgbColor rgb="FF6F568D"/>
      <rgbColor rgb="FFBE4B48"/>
      <rgbColor rgb="FFAB4744"/>
      <rgbColor rgb="FF2F5496"/>
      <rgbColor rgb="FF555555"/>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worksheet" Target="worksheets/sheet13.xml"/><Relationship Id="rId15" Type="http://schemas.openxmlformats.org/officeDocument/2006/relationships/worksheet" Target="worksheets/sheet14.xml"/><Relationship Id="rId16" Type="http://schemas.openxmlformats.org/officeDocument/2006/relationships/worksheet" Target="worksheets/sheet15.xml"/><Relationship Id="rId17" Type="http://schemas.openxmlformats.org/officeDocument/2006/relationships/worksheet" Target="worksheets/sheet16.xml"/><Relationship Id="rId1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Standalone: compression ratio by unit size</a:t>
            </a:r>
          </a:p>
        </c:rich>
      </c:tx>
      <c:overlay val="0"/>
      <c:spPr>
        <a:noFill/>
        <a:ln w="0">
          <a:noFill/>
        </a:ln>
      </c:spPr>
    </c:title>
    <c:autoTitleDeleted val="0"/>
    <c:plotArea>
      <c:lineChart>
        <c:grouping val="standard"/>
        <c:varyColors val="0"/>
        <c:ser>
          <c:idx val="0"/>
          <c:order val="0"/>
          <c:tx>
            <c:strRef>
              <c:f>'A1 Ratio by Unit'!A7</c:f>
              <c:strCache>
                <c:ptCount val="1"/>
                <c:pt idx="0">
                  <c:v>MemoryStore</c:v>
                </c:pt>
              </c:strCache>
            </c:strRef>
          </c:tx>
          <c:spPr>
            <a:solidFill>
              <a:srgbClr val="426fa6"/>
            </a:solidFill>
            <a:ln w="28440">
              <a:solidFill>
                <a:srgbClr val="426fa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'A1 Ratio by Unit'!$B$6:$F$6</c:f>
              <c:strCache>
                <c:ptCount val="5"/>
                <c:pt idx="0">
                  <c:v>16 KB</c:v>
                </c:pt>
                <c:pt idx="1">
                  <c:v>64 KB</c:v>
                </c:pt>
                <c:pt idx="2">
                  <c:v>256 KB</c:v>
                </c:pt>
                <c:pt idx="3">
                  <c:v>1024 KB</c:v>
                </c:pt>
                <c:pt idx="4">
                  <c:v>4096 KB</c:v>
                </c:pt>
              </c:strCache>
            </c:strRef>
          </c:cat>
          <c:val>
            <c:numRef>
              <c:f>'A1 Ratio by Unit'!$B$7:$F$7</c:f>
              <c:numCache>
                <c:formatCode>General</c:formatCode>
                <c:ptCount val="5"/>
                <c:pt idx="0">
                  <c:v>1</c:v>
                </c:pt>
                <c:pt idx="1">
                  <c:v>1</c:v>
                </c:pt>
                <c:pt idx="2">
                  <c:v>1</c:v>
                </c:pt>
                <c:pt idx="3">
                  <c:v>1</c:v>
                </c:pt>
                <c:pt idx="4">
                  <c:v>1</c:v>
                </c:pt>
              </c:numCache>
            </c:numRef>
          </c:val>
          <c:smooth val="1"/>
        </c:ser>
        <c:ser>
          <c:idx val="1"/>
          <c:order val="1"/>
          <c:tx>
            <c:strRef>
              <c:f>'A1 Ratio by Unit'!A8</c:f>
              <c:strCache>
                <c:ptCount val="1"/>
                <c:pt idx="0">
                  <c:v>FileStore</c:v>
                </c:pt>
              </c:strCache>
            </c:strRef>
          </c:tx>
          <c:spPr>
            <a:solidFill>
              <a:srgbClr val="aa433f"/>
            </a:solidFill>
            <a:ln w="28440">
              <a:solidFill>
                <a:srgbClr val="aa433f"/>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'A1 Ratio by Unit'!$B$6:$F$6</c:f>
              <c:strCache>
                <c:ptCount val="5"/>
                <c:pt idx="0">
                  <c:v>16 KB</c:v>
                </c:pt>
                <c:pt idx="1">
                  <c:v>64 KB</c:v>
                </c:pt>
                <c:pt idx="2">
                  <c:v>256 KB</c:v>
                </c:pt>
                <c:pt idx="3">
                  <c:v>1024 KB</c:v>
                </c:pt>
                <c:pt idx="4">
                  <c:v>4096 KB</c:v>
                </c:pt>
              </c:strCache>
            </c:strRef>
          </c:cat>
          <c:val>
            <c:numRef>
              <c:f>'A1 Ratio by Unit'!$B$8:$F$8</c:f>
              <c:numCache>
                <c:formatCode>General</c:formatCode>
                <c:ptCount val="5"/>
                <c:pt idx="0">
                  <c:v>1</c:v>
                </c:pt>
                <c:pt idx="1">
                  <c:v>1</c:v>
                </c:pt>
                <c:pt idx="2">
                  <c:v>1</c:v>
                </c:pt>
                <c:pt idx="3">
                  <c:v>1</c:v>
                </c:pt>
                <c:pt idx="4">
                  <c:v>1</c:v>
                </c:pt>
              </c:numCache>
            </c:numRef>
          </c:val>
          <c:smooth val="1"/>
        </c:ser>
        <c:ser>
          <c:idx val="2"/>
          <c:order val="2"/>
          <c:tx>
            <c:strRef>
              <c:f>'A1 Ratio by Unit'!A9</c:f>
              <c:strCache>
                <c:ptCount val="1"/>
                <c:pt idx="0">
                  <c:v>CompressedStore</c:v>
                </c:pt>
              </c:strCache>
            </c:strRef>
          </c:tx>
          <c:spPr>
            <a:solidFill>
              <a:srgbClr val="87a44b"/>
            </a:solidFill>
            <a:ln w="28440">
              <a:solidFill>
                <a:srgbClr val="87a44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'A1 Ratio by Unit'!$B$6:$F$6</c:f>
              <c:strCache>
                <c:ptCount val="5"/>
                <c:pt idx="0">
                  <c:v>16 KB</c:v>
                </c:pt>
                <c:pt idx="1">
                  <c:v>64 KB</c:v>
                </c:pt>
                <c:pt idx="2">
                  <c:v>256 KB</c:v>
                </c:pt>
                <c:pt idx="3">
                  <c:v>1024 KB</c:v>
                </c:pt>
                <c:pt idx="4">
                  <c:v>4096 KB</c:v>
                </c:pt>
              </c:strCache>
            </c:strRef>
          </c:cat>
          <c:val>
            <c:numRef>
              <c:f>'A1 Ratio by Unit'!$B$9:$F$9</c:f>
              <c:numCache>
                <c:formatCode>General</c:formatCode>
                <c:ptCount val="5"/>
                <c:pt idx="0">
                  <c:v>3.1662</c:v>
                </c:pt>
                <c:pt idx="1">
                  <c:v>3.2567</c:v>
                </c:pt>
                <c:pt idx="2">
                  <c:v>3.2682</c:v>
                </c:pt>
                <c:pt idx="3">
                  <c:v>3.2661</c:v>
                </c:pt>
                <c:pt idx="4">
                  <c:v>3.27</c:v>
                </c:pt>
              </c:numCache>
            </c:numRef>
          </c:val>
          <c:smooth val="1"/>
        </c:ser>
        <c:ser>
          <c:idx val="3"/>
          <c:order val="3"/>
          <c:tx>
            <c:strRef>
              <c:f>'A1 Ratio by Unit'!A10</c:f>
              <c:strCache>
                <c:ptCount val="1"/>
                <c:pt idx="0">
                  <c:v>LossyStore lossless</c:v>
                </c:pt>
              </c:strCache>
            </c:strRef>
          </c:tx>
          <c:spPr>
            <a:solidFill>
              <a:srgbClr val="6f568d"/>
            </a:solidFill>
            <a:ln w="28440">
              <a:solidFill>
                <a:srgbClr val="6f568d"/>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'A1 Ratio by Unit'!$B$6:$F$6</c:f>
              <c:strCache>
                <c:ptCount val="5"/>
                <c:pt idx="0">
                  <c:v>16 KB</c:v>
                </c:pt>
                <c:pt idx="1">
                  <c:v>64 KB</c:v>
                </c:pt>
                <c:pt idx="2">
                  <c:v>256 KB</c:v>
                </c:pt>
                <c:pt idx="3">
                  <c:v>1024 KB</c:v>
                </c:pt>
                <c:pt idx="4">
                  <c:v>4096 KB</c:v>
                </c:pt>
              </c:strCache>
            </c:strRef>
          </c:cat>
          <c:val>
            <c:numRef>
              <c:f>'A1 Ratio by Unit'!$B$10:$F$10</c:f>
              <c:numCache>
                <c:formatCode>General</c:formatCode>
                <c:ptCount val="5"/>
                <c:pt idx="0">
                  <c:v>4.6408</c:v>
                </c:pt>
                <c:pt idx="1">
                  <c:v>3.7358</c:v>
                </c:pt>
                <c:pt idx="2">
                  <c:v>4.1013</c:v>
                </c:pt>
                <c:pt idx="3">
                  <c:v>3.5885</c:v>
                </c:pt>
                <c:pt idx="4">
                  <c:v>4.4958</c:v>
                </c:pt>
              </c:numCache>
            </c:numRef>
          </c:val>
          <c:smooth val="1"/>
        </c:ser>
        <c:ser>
          <c:idx val="4"/>
          <c:order val="4"/>
          <c:tx>
            <c:strRef>
              <c:f>'A1 Ratio by Unit'!A11</c:f>
              <c:strCache>
                <c:ptCount val="1"/>
                <c:pt idx="0">
                  <c:v>LossyStore 0.1%</c:v>
                </c:pt>
              </c:strCache>
            </c:strRef>
          </c:tx>
          <c:spPr>
            <a:solidFill>
              <a:srgbClr val="3d97af"/>
            </a:solidFill>
            <a:ln w="28440">
              <a:solidFill>
                <a:srgbClr val="3d97af"/>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'A1 Ratio by Unit'!$B$6:$F$6</c:f>
              <c:strCache>
                <c:ptCount val="5"/>
                <c:pt idx="0">
                  <c:v>16 KB</c:v>
                </c:pt>
                <c:pt idx="1">
                  <c:v>64 KB</c:v>
                </c:pt>
                <c:pt idx="2">
                  <c:v>256 KB</c:v>
                </c:pt>
                <c:pt idx="3">
                  <c:v>1024 KB</c:v>
                </c:pt>
                <c:pt idx="4">
                  <c:v>4096 KB</c:v>
                </c:pt>
              </c:strCache>
            </c:strRef>
          </c:cat>
          <c:val>
            <c:numRef>
              <c:f>'A1 Ratio by Unit'!$B$11:$F$11</c:f>
              <c:numCache>
                <c:formatCode>General</c:formatCode>
                <c:ptCount val="5"/>
                <c:pt idx="0">
                  <c:v>6.9234</c:v>
                </c:pt>
                <c:pt idx="1">
                  <c:v>4.9272</c:v>
                </c:pt>
                <c:pt idx="2">
                  <c:v>5.4988</c:v>
                </c:pt>
                <c:pt idx="3">
                  <c:v>4.6148</c:v>
                </c:pt>
                <c:pt idx="4">
                  <c:v>6.2426</c:v>
                </c:pt>
              </c:numCache>
            </c:numRef>
          </c:val>
          <c:smooth val="1"/>
        </c:ser>
        <c:ser>
          <c:idx val="5"/>
          <c:order val="5"/>
          <c:tx>
            <c:strRef>
              <c:f>'A1 Ratio by Unit'!A12</c:f>
              <c:strCache>
                <c:ptCount val="1"/>
                <c:pt idx="0">
                  <c:v>LossyStore 1%</c:v>
                </c:pt>
              </c:strCache>
            </c:strRef>
          </c:tx>
          <c:spPr>
            <a:solidFill>
              <a:srgbClr val="db8238"/>
            </a:solidFill>
            <a:ln w="28440">
              <a:solidFill>
                <a:srgbClr val="db823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'A1 Ratio by Unit'!$B$6:$F$6</c:f>
              <c:strCache>
                <c:ptCount val="5"/>
                <c:pt idx="0">
                  <c:v>16 KB</c:v>
                </c:pt>
                <c:pt idx="1">
                  <c:v>64 KB</c:v>
                </c:pt>
                <c:pt idx="2">
                  <c:v>256 KB</c:v>
                </c:pt>
                <c:pt idx="3">
                  <c:v>1024 KB</c:v>
                </c:pt>
                <c:pt idx="4">
                  <c:v>4096 KB</c:v>
                </c:pt>
              </c:strCache>
            </c:strRef>
          </c:cat>
          <c:val>
            <c:numRef>
              <c:f>'A1 Ratio by Unit'!$B$12:$F$12</c:f>
              <c:numCache>
                <c:formatCode>General</c:formatCode>
                <c:ptCount val="5"/>
                <c:pt idx="0">
                  <c:v>7.6704</c:v>
                </c:pt>
                <c:pt idx="1">
                  <c:v>5.3142</c:v>
                </c:pt>
                <c:pt idx="2">
                  <c:v>6.0861</c:v>
                </c:pt>
                <c:pt idx="3">
                  <c:v>4.996</c:v>
                </c:pt>
                <c:pt idx="4">
                  <c:v>6.9393</c:v>
                </c:pt>
              </c:numCache>
            </c:numRef>
          </c:val>
          <c:smooth val="1"/>
        </c:ser>
        <c:ser>
          <c:idx val="6"/>
          <c:order val="6"/>
          <c:tx>
            <c:strRef>
              <c:f>'A1 Ratio by Unit'!A13</c:f>
              <c:strCache>
                <c:ptCount val="1"/>
                <c:pt idx="0">
                  <c:v>LossyStore 5%</c:v>
                </c:pt>
              </c:strCache>
            </c:strRef>
          </c:tx>
          <c:spPr>
            <a:solidFill>
              <a:srgbClr val="8ea5ca"/>
            </a:solidFill>
            <a:ln w="28440">
              <a:solidFill>
                <a:srgbClr val="8ea5c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'A1 Ratio by Unit'!$B$6:$F$6</c:f>
              <c:strCache>
                <c:ptCount val="5"/>
                <c:pt idx="0">
                  <c:v>16 KB</c:v>
                </c:pt>
                <c:pt idx="1">
                  <c:v>64 KB</c:v>
                </c:pt>
                <c:pt idx="2">
                  <c:v>256 KB</c:v>
                </c:pt>
                <c:pt idx="3">
                  <c:v>1024 KB</c:v>
                </c:pt>
                <c:pt idx="4">
                  <c:v>4096 KB</c:v>
                </c:pt>
              </c:strCache>
            </c:strRef>
          </c:cat>
          <c:val>
            <c:numRef>
              <c:f>'A1 Ratio by Unit'!$B$13:$F$13</c:f>
              <c:numCache>
                <c:formatCode>General</c:formatCode>
                <c:ptCount val="5"/>
                <c:pt idx="0">
                  <c:v>8.3247</c:v>
                </c:pt>
                <c:pt idx="1">
                  <c:v>5.5997</c:v>
                </c:pt>
                <c:pt idx="2">
                  <c:v>6.5037</c:v>
                </c:pt>
                <c:pt idx="3">
                  <c:v>5.3242</c:v>
                </c:pt>
                <c:pt idx="4">
                  <c:v>7.6174</c:v>
                </c:pt>
              </c:numCache>
            </c:numRef>
          </c:val>
          <c:smooth val="1"/>
        </c:ser>
        <c:hiLowLines>
          <c:spPr>
            <a:ln w="0">
              <a:noFill/>
            </a:ln>
          </c:spPr>
        </c:hiLowLines>
        <c:marker val="0"/>
        <c:axId val="20329867"/>
        <c:axId val="11523328"/>
      </c:lineChart>
      <c:catAx>
        <c:axId val="20329867"/>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unit size (KB)</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1523328"/>
        <c:crosses val="autoZero"/>
        <c:auto val="1"/>
        <c:lblAlgn val="ctr"/>
        <c:lblOffset val="100"/>
        <c:noMultiLvlLbl val="0"/>
      </c:catAx>
      <c:valAx>
        <c:axId val="11523328"/>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ratio</a:t>
                </a:r>
              </a:p>
            </c:rich>
          </c:tx>
          <c:overlay val="0"/>
          <c:spPr>
            <a:noFill/>
            <a:ln w="0">
              <a:noFill/>
            </a:ln>
          </c:spPr>
        </c:title>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0329867"/>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Standalone: ratio on disk</a:t>
            </a:r>
          </a:p>
        </c:rich>
      </c:tx>
      <c:overlay val="0"/>
      <c:spPr>
        <a:noFill/>
        <a:ln w="0">
          <a:noFill/>
        </a:ln>
      </c:spPr>
    </c:title>
    <c:autoTitleDeleted val="0"/>
    <c:plotArea>
      <c:lineChart>
        <c:grouping val="standard"/>
        <c:varyColors val="0"/>
        <c:ser>
          <c:idx val="0"/>
          <c:order val="0"/>
          <c:tx>
            <c:strRef>
              <c:f>'A1 Ratio by Unit'!A21</c:f>
              <c:strCache>
                <c:ptCount val="1"/>
                <c:pt idx="0">
                  <c:v>MemoryStore</c:v>
                </c:pt>
              </c:strCache>
            </c:strRef>
          </c:tx>
          <c:spPr>
            <a:solidFill>
              <a:srgbClr val="426fa6"/>
            </a:solidFill>
            <a:ln w="28440">
              <a:solidFill>
                <a:srgbClr val="426fa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'A1 Ratio by Unit'!$B$20:$F$20</c:f>
              <c:strCache>
                <c:ptCount val="5"/>
                <c:pt idx="0">
                  <c:v>16 KB</c:v>
                </c:pt>
                <c:pt idx="1">
                  <c:v>64 KB</c:v>
                </c:pt>
                <c:pt idx="2">
                  <c:v>256 KB</c:v>
                </c:pt>
                <c:pt idx="3">
                  <c:v>1024 KB</c:v>
                </c:pt>
                <c:pt idx="4">
                  <c:v>4096 KB</c:v>
                </c:pt>
              </c:strCache>
            </c:strRef>
          </c:cat>
          <c:val>
            <c:numRef>
              <c:f>'A1 Ratio by Unit'!$B$21:$F$21</c:f>
              <c:numCache>
                <c:formatCode>General</c:formatCode>
                <c:ptCount val="5"/>
                <c:pt idx="0">
                  <c:v>0</c:v>
                </c:pt>
                <c:pt idx="1">
                  <c:v>0</c:v>
                </c:pt>
                <c:pt idx="2">
                  <c:v>0</c:v>
                </c:pt>
                <c:pt idx="3">
                  <c:v>0</c:v>
                </c:pt>
                <c:pt idx="4">
                  <c:v>0</c:v>
                </c:pt>
              </c:numCache>
            </c:numRef>
          </c:val>
          <c:smooth val="1"/>
        </c:ser>
        <c:ser>
          <c:idx val="1"/>
          <c:order val="1"/>
          <c:tx>
            <c:strRef>
              <c:f>'A1 Ratio by Unit'!A22</c:f>
              <c:strCache>
                <c:ptCount val="1"/>
                <c:pt idx="0">
                  <c:v>FileStore</c:v>
                </c:pt>
              </c:strCache>
            </c:strRef>
          </c:tx>
          <c:spPr>
            <a:solidFill>
              <a:srgbClr val="aa433f"/>
            </a:solidFill>
            <a:ln w="28440">
              <a:solidFill>
                <a:srgbClr val="aa433f"/>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'A1 Ratio by Unit'!$B$20:$F$20</c:f>
              <c:strCache>
                <c:ptCount val="5"/>
                <c:pt idx="0">
                  <c:v>16 KB</c:v>
                </c:pt>
                <c:pt idx="1">
                  <c:v>64 KB</c:v>
                </c:pt>
                <c:pt idx="2">
                  <c:v>256 KB</c:v>
                </c:pt>
                <c:pt idx="3">
                  <c:v>1024 KB</c:v>
                </c:pt>
                <c:pt idx="4">
                  <c:v>4096 KB</c:v>
                </c:pt>
              </c:strCache>
            </c:strRef>
          </c:cat>
          <c:val>
            <c:numRef>
              <c:f>'A1 Ratio by Unit'!$B$22:$F$22</c:f>
              <c:numCache>
                <c:formatCode>General</c:formatCode>
                <c:ptCount val="5"/>
                <c:pt idx="0">
                  <c:v>0.9962</c:v>
                </c:pt>
                <c:pt idx="1">
                  <c:v>0.999</c:v>
                </c:pt>
                <c:pt idx="2">
                  <c:v>0.9996</c:v>
                </c:pt>
                <c:pt idx="3">
                  <c:v>0.9998</c:v>
                </c:pt>
                <c:pt idx="4">
                  <c:v>0.9999</c:v>
                </c:pt>
              </c:numCache>
            </c:numRef>
          </c:val>
          <c:smooth val="1"/>
        </c:ser>
        <c:ser>
          <c:idx val="2"/>
          <c:order val="2"/>
          <c:tx>
            <c:strRef>
              <c:f>'A1 Ratio by Unit'!A23</c:f>
              <c:strCache>
                <c:ptCount val="1"/>
                <c:pt idx="0">
                  <c:v>CompressedStore</c:v>
                </c:pt>
              </c:strCache>
            </c:strRef>
          </c:tx>
          <c:spPr>
            <a:solidFill>
              <a:srgbClr val="87a44b"/>
            </a:solidFill>
            <a:ln w="28440">
              <a:solidFill>
                <a:srgbClr val="87a44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'A1 Ratio by Unit'!$B$20:$F$20</c:f>
              <c:strCache>
                <c:ptCount val="5"/>
                <c:pt idx="0">
                  <c:v>16 KB</c:v>
                </c:pt>
                <c:pt idx="1">
                  <c:v>64 KB</c:v>
                </c:pt>
                <c:pt idx="2">
                  <c:v>256 KB</c:v>
                </c:pt>
                <c:pt idx="3">
                  <c:v>1024 KB</c:v>
                </c:pt>
                <c:pt idx="4">
                  <c:v>4096 KB</c:v>
                </c:pt>
              </c:strCache>
            </c:strRef>
          </c:cat>
          <c:val>
            <c:numRef>
              <c:f>'A1 Ratio by Unit'!$B$23:$F$23</c:f>
              <c:numCache>
                <c:formatCode>General</c:formatCode>
                <c:ptCount val="5"/>
                <c:pt idx="0">
                  <c:v>3.1406</c:v>
                </c:pt>
                <c:pt idx="1">
                  <c:v>3.2493</c:v>
                </c:pt>
                <c:pt idx="2">
                  <c:v>3.2658</c:v>
                </c:pt>
                <c:pt idx="3">
                  <c:v>3.2649</c:v>
                </c:pt>
                <c:pt idx="4">
                  <c:v>3.2691</c:v>
                </c:pt>
              </c:numCache>
            </c:numRef>
          </c:val>
          <c:smooth val="1"/>
        </c:ser>
        <c:ser>
          <c:idx val="3"/>
          <c:order val="3"/>
          <c:tx>
            <c:strRef>
              <c:f>'A1 Ratio by Unit'!A24</c:f>
              <c:strCache>
                <c:ptCount val="1"/>
                <c:pt idx="0">
                  <c:v>LossyStore lossless</c:v>
                </c:pt>
              </c:strCache>
            </c:strRef>
          </c:tx>
          <c:spPr>
            <a:solidFill>
              <a:srgbClr val="6f568d"/>
            </a:solidFill>
            <a:ln w="28440">
              <a:solidFill>
                <a:srgbClr val="6f568d"/>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'A1 Ratio by Unit'!$B$20:$F$20</c:f>
              <c:strCache>
                <c:ptCount val="5"/>
                <c:pt idx="0">
                  <c:v>16 KB</c:v>
                </c:pt>
                <c:pt idx="1">
                  <c:v>64 KB</c:v>
                </c:pt>
                <c:pt idx="2">
                  <c:v>256 KB</c:v>
                </c:pt>
                <c:pt idx="3">
                  <c:v>1024 KB</c:v>
                </c:pt>
                <c:pt idx="4">
                  <c:v>4096 KB</c:v>
                </c:pt>
              </c:strCache>
            </c:strRef>
          </c:cat>
          <c:val>
            <c:numRef>
              <c:f>'A1 Ratio by Unit'!$B$24:$F$24</c:f>
              <c:numCache>
                <c:formatCode>General</c:formatCode>
                <c:ptCount val="5"/>
                <c:pt idx="0">
                  <c:v>4.3486</c:v>
                </c:pt>
                <c:pt idx="1">
                  <c:v>3.685</c:v>
                </c:pt>
                <c:pt idx="2">
                  <c:v>4.0847</c:v>
                </c:pt>
                <c:pt idx="3">
                  <c:v>3.5843</c:v>
                </c:pt>
                <c:pt idx="4">
                  <c:v>4.4928</c:v>
                </c:pt>
              </c:numCache>
            </c:numRef>
          </c:val>
          <c:smooth val="1"/>
        </c:ser>
        <c:ser>
          <c:idx val="4"/>
          <c:order val="4"/>
          <c:tx>
            <c:strRef>
              <c:f>'A1 Ratio by Unit'!A25</c:f>
              <c:strCache>
                <c:ptCount val="1"/>
                <c:pt idx="0">
                  <c:v>LossyStore 0.1%</c:v>
                </c:pt>
              </c:strCache>
            </c:strRef>
          </c:tx>
          <c:spPr>
            <a:solidFill>
              <a:srgbClr val="3d97af"/>
            </a:solidFill>
            <a:ln w="28440">
              <a:solidFill>
                <a:srgbClr val="3d97af"/>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'A1 Ratio by Unit'!$B$20:$F$20</c:f>
              <c:strCache>
                <c:ptCount val="5"/>
                <c:pt idx="0">
                  <c:v>16 KB</c:v>
                </c:pt>
                <c:pt idx="1">
                  <c:v>64 KB</c:v>
                </c:pt>
                <c:pt idx="2">
                  <c:v>256 KB</c:v>
                </c:pt>
                <c:pt idx="3">
                  <c:v>1024 KB</c:v>
                </c:pt>
                <c:pt idx="4">
                  <c:v>4096 KB</c:v>
                </c:pt>
              </c:strCache>
            </c:strRef>
          </c:cat>
          <c:val>
            <c:numRef>
              <c:f>'A1 Ratio by Unit'!$B$25:$F$25</c:f>
              <c:numCache>
                <c:formatCode>General</c:formatCode>
                <c:ptCount val="5"/>
                <c:pt idx="0">
                  <c:v>6.2926</c:v>
                </c:pt>
                <c:pt idx="1">
                  <c:v>4.8392</c:v>
                </c:pt>
                <c:pt idx="2">
                  <c:v>5.4689</c:v>
                </c:pt>
                <c:pt idx="3">
                  <c:v>4.608</c:v>
                </c:pt>
                <c:pt idx="4">
                  <c:v>6.2367</c:v>
                </c:pt>
              </c:numCache>
            </c:numRef>
          </c:val>
          <c:smooth val="1"/>
        </c:ser>
        <c:ser>
          <c:idx val="5"/>
          <c:order val="5"/>
          <c:tx>
            <c:strRef>
              <c:f>'A1 Ratio by Unit'!A26</c:f>
              <c:strCache>
                <c:ptCount val="1"/>
                <c:pt idx="0">
                  <c:v>LossyStore 1%</c:v>
                </c:pt>
              </c:strCache>
            </c:strRef>
          </c:tx>
          <c:spPr>
            <a:solidFill>
              <a:srgbClr val="db8238"/>
            </a:solidFill>
            <a:ln w="28440">
              <a:solidFill>
                <a:srgbClr val="db823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'A1 Ratio by Unit'!$B$20:$F$20</c:f>
              <c:strCache>
                <c:ptCount val="5"/>
                <c:pt idx="0">
                  <c:v>16 KB</c:v>
                </c:pt>
                <c:pt idx="1">
                  <c:v>64 KB</c:v>
                </c:pt>
                <c:pt idx="2">
                  <c:v>256 KB</c:v>
                </c:pt>
                <c:pt idx="3">
                  <c:v>1024 KB</c:v>
                </c:pt>
                <c:pt idx="4">
                  <c:v>4096 KB</c:v>
                </c:pt>
              </c:strCache>
            </c:strRef>
          </c:cat>
          <c:val>
            <c:numRef>
              <c:f>'A1 Ratio by Unit'!$B$26:$F$26</c:f>
              <c:numCache>
                <c:formatCode>General</c:formatCode>
                <c:ptCount val="5"/>
                <c:pt idx="0">
                  <c:v>6.9036</c:v>
                </c:pt>
                <c:pt idx="1">
                  <c:v>5.2119</c:v>
                </c:pt>
                <c:pt idx="2">
                  <c:v>6.0494</c:v>
                </c:pt>
                <c:pt idx="3">
                  <c:v>4.988</c:v>
                </c:pt>
                <c:pt idx="4">
                  <c:v>6.932</c:v>
                </c:pt>
              </c:numCache>
            </c:numRef>
          </c:val>
          <c:smooth val="1"/>
        </c:ser>
        <c:ser>
          <c:idx val="6"/>
          <c:order val="6"/>
          <c:tx>
            <c:strRef>
              <c:f>'A1 Ratio by Unit'!A27</c:f>
              <c:strCache>
                <c:ptCount val="1"/>
                <c:pt idx="0">
                  <c:v>LossyStore 5%</c:v>
                </c:pt>
              </c:strCache>
            </c:strRef>
          </c:tx>
          <c:spPr>
            <a:solidFill>
              <a:srgbClr val="8ea5ca"/>
            </a:solidFill>
            <a:ln w="28440">
              <a:solidFill>
                <a:srgbClr val="8ea5c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'A1 Ratio by Unit'!$B$20:$F$20</c:f>
              <c:strCache>
                <c:ptCount val="5"/>
                <c:pt idx="0">
                  <c:v>16 KB</c:v>
                </c:pt>
                <c:pt idx="1">
                  <c:v>64 KB</c:v>
                </c:pt>
                <c:pt idx="2">
                  <c:v>256 KB</c:v>
                </c:pt>
                <c:pt idx="3">
                  <c:v>1024 KB</c:v>
                </c:pt>
                <c:pt idx="4">
                  <c:v>4096 KB</c:v>
                </c:pt>
              </c:strCache>
            </c:strRef>
          </c:cat>
          <c:val>
            <c:numRef>
              <c:f>'A1 Ratio by Unit'!$B$27:$F$27</c:f>
              <c:numCache>
                <c:formatCode>General</c:formatCode>
                <c:ptCount val="5"/>
                <c:pt idx="0">
                  <c:v>7.4292</c:v>
                </c:pt>
                <c:pt idx="1">
                  <c:v>5.4863</c:v>
                </c:pt>
                <c:pt idx="2">
                  <c:v>6.4619</c:v>
                </c:pt>
                <c:pt idx="3">
                  <c:v>5.3151</c:v>
                </c:pt>
                <c:pt idx="4">
                  <c:v>7.6086</c:v>
                </c:pt>
              </c:numCache>
            </c:numRef>
          </c:val>
          <c:smooth val="1"/>
        </c:ser>
        <c:hiLowLines>
          <c:spPr>
            <a:ln w="0">
              <a:noFill/>
            </a:ln>
          </c:spPr>
        </c:hiLowLines>
        <c:marker val="0"/>
        <c:axId val="43504364"/>
        <c:axId val="61646460"/>
      </c:lineChart>
      <c:catAx>
        <c:axId val="43504364"/>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unit size (KB)</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1646460"/>
        <c:crosses val="autoZero"/>
        <c:auto val="1"/>
        <c:lblAlgn val="ctr"/>
        <c:lblOffset val="100"/>
        <c:noMultiLvlLbl val="0"/>
      </c:catAx>
      <c:valAx>
        <c:axId val="61646460"/>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ratio</a:t>
                </a:r>
              </a:p>
            </c:rich>
          </c:tx>
          <c:overlay val="0"/>
          <c:spPr>
            <a:noFill/>
            <a:ln w="0">
              <a:noFill/>
            </a:ln>
          </c:spPr>
        </c:title>
        <c:numFmt formatCode="0.0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3504364"/>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Framing in bytes (log scale)</a:t>
            </a:r>
          </a:p>
        </c:rich>
      </c:tx>
      <c:overlay val="0"/>
      <c:spPr>
        <a:noFill/>
        <a:ln w="0">
          <a:noFill/>
        </a:ln>
      </c:spPr>
    </c:title>
    <c:autoTitleDeleted val="0"/>
    <c:plotArea>
      <c:lineChart>
        <c:grouping val="standard"/>
        <c:varyColors val="0"/>
        <c:ser>
          <c:idx val="0"/>
          <c:order val="0"/>
          <c:tx>
            <c:strRef>
              <c:f>'A1 Ratio by Unit'!A36</c:f>
              <c:strCache>
                <c:ptCount val="1"/>
                <c:pt idx="0">
                  <c:v>MemoryStore</c:v>
                </c:pt>
              </c:strCache>
            </c:strRef>
          </c:tx>
          <c:spPr>
            <a:solidFill>
              <a:srgbClr val="426fa6"/>
            </a:solidFill>
            <a:ln w="28440">
              <a:solidFill>
                <a:srgbClr val="426fa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'A1 Ratio by Unit'!$B$35:$F$35</c:f>
              <c:strCache>
                <c:ptCount val="5"/>
                <c:pt idx="0">
                  <c:v>16 KB</c:v>
                </c:pt>
                <c:pt idx="1">
                  <c:v>64 KB</c:v>
                </c:pt>
                <c:pt idx="2">
                  <c:v>256 KB</c:v>
                </c:pt>
                <c:pt idx="3">
                  <c:v>1024 KB</c:v>
                </c:pt>
                <c:pt idx="4">
                  <c:v>4096 KB</c:v>
                </c:pt>
              </c:strCache>
            </c:strRef>
          </c:cat>
          <c:val>
            <c:numRef>
              <c:f>'A1 Ratio by Unit'!$B$36:$F$36</c:f>
              <c:numCache>
                <c:formatCode>General</c:formatCode>
                <c:ptCount val="5"/>
                <c:pt idx="0">
                  <c:v>0</c:v>
                </c:pt>
                <c:pt idx="1">
                  <c:v>0</c:v>
                </c:pt>
                <c:pt idx="2">
                  <c:v>0</c:v>
                </c:pt>
                <c:pt idx="3">
                  <c:v>0</c:v>
                </c:pt>
                <c:pt idx="4">
                  <c:v>0</c:v>
                </c:pt>
              </c:numCache>
            </c:numRef>
          </c:val>
          <c:smooth val="1"/>
        </c:ser>
        <c:ser>
          <c:idx val="1"/>
          <c:order val="1"/>
          <c:tx>
            <c:strRef>
              <c:f>'A1 Ratio by Unit'!A37</c:f>
              <c:strCache>
                <c:ptCount val="1"/>
                <c:pt idx="0">
                  <c:v>FileStore</c:v>
                </c:pt>
              </c:strCache>
            </c:strRef>
          </c:tx>
          <c:spPr>
            <a:solidFill>
              <a:srgbClr val="aa433f"/>
            </a:solidFill>
            <a:ln w="28440">
              <a:solidFill>
                <a:srgbClr val="aa433f"/>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'A1 Ratio by Unit'!$B$35:$F$35</c:f>
              <c:strCache>
                <c:ptCount val="5"/>
                <c:pt idx="0">
                  <c:v>16 KB</c:v>
                </c:pt>
                <c:pt idx="1">
                  <c:v>64 KB</c:v>
                </c:pt>
                <c:pt idx="2">
                  <c:v>256 KB</c:v>
                </c:pt>
                <c:pt idx="3">
                  <c:v>1024 KB</c:v>
                </c:pt>
                <c:pt idx="4">
                  <c:v>4096 KB</c:v>
                </c:pt>
              </c:strCache>
            </c:strRef>
          </c:cat>
          <c:val>
            <c:numRef>
              <c:f>'A1 Ratio by Unit'!$B$37:$F$37</c:f>
              <c:numCache>
                <c:formatCode>General</c:formatCode>
                <c:ptCount val="5"/>
                <c:pt idx="0">
                  <c:v>21236</c:v>
                </c:pt>
                <c:pt idx="1">
                  <c:v>5876</c:v>
                </c:pt>
                <c:pt idx="2">
                  <c:v>2036</c:v>
                </c:pt>
                <c:pt idx="3">
                  <c:v>1076</c:v>
                </c:pt>
                <c:pt idx="4">
                  <c:v>836</c:v>
                </c:pt>
              </c:numCache>
            </c:numRef>
          </c:val>
          <c:smooth val="1"/>
        </c:ser>
        <c:ser>
          <c:idx val="2"/>
          <c:order val="2"/>
          <c:tx>
            <c:strRef>
              <c:f>'A1 Ratio by Unit'!A38</c:f>
              <c:strCache>
                <c:ptCount val="1"/>
                <c:pt idx="0">
                  <c:v>CompressedStore</c:v>
                </c:pt>
              </c:strCache>
            </c:strRef>
          </c:tx>
          <c:spPr>
            <a:solidFill>
              <a:srgbClr val="87a44b"/>
            </a:solidFill>
            <a:ln w="28440">
              <a:solidFill>
                <a:srgbClr val="87a44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'A1 Ratio by Unit'!$B$35:$F$35</c:f>
              <c:strCache>
                <c:ptCount val="5"/>
                <c:pt idx="0">
                  <c:v>16 KB</c:v>
                </c:pt>
                <c:pt idx="1">
                  <c:v>64 KB</c:v>
                </c:pt>
                <c:pt idx="2">
                  <c:v>256 KB</c:v>
                </c:pt>
                <c:pt idx="3">
                  <c:v>1024 KB</c:v>
                </c:pt>
                <c:pt idx="4">
                  <c:v>4096 KB</c:v>
                </c:pt>
              </c:strCache>
            </c:strRef>
          </c:cat>
          <c:val>
            <c:numRef>
              <c:f>'A1 Ratio by Unit'!$B$38:$F$38</c:f>
              <c:numCache>
                <c:formatCode>General</c:formatCode>
                <c:ptCount val="5"/>
                <c:pt idx="0">
                  <c:v>14400</c:v>
                </c:pt>
                <c:pt idx="1">
                  <c:v>3904</c:v>
                </c:pt>
                <c:pt idx="2">
                  <c:v>1280</c:v>
                </c:pt>
                <c:pt idx="3">
                  <c:v>624</c:v>
                </c:pt>
                <c:pt idx="4">
                  <c:v>460</c:v>
                </c:pt>
              </c:numCache>
            </c:numRef>
          </c:val>
          <c:smooth val="1"/>
        </c:ser>
        <c:ser>
          <c:idx val="3"/>
          <c:order val="3"/>
          <c:tx>
            <c:strRef>
              <c:f>'A1 Ratio by Unit'!A39</c:f>
              <c:strCache>
                <c:ptCount val="1"/>
                <c:pt idx="0">
                  <c:v>LossyStore lossless</c:v>
                </c:pt>
              </c:strCache>
            </c:strRef>
          </c:tx>
          <c:spPr>
            <a:solidFill>
              <a:srgbClr val="6f568d"/>
            </a:solidFill>
            <a:ln w="28440">
              <a:solidFill>
                <a:srgbClr val="6f568d"/>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'A1 Ratio by Unit'!$B$35:$F$35</c:f>
              <c:strCache>
                <c:ptCount val="5"/>
                <c:pt idx="0">
                  <c:v>16 KB</c:v>
                </c:pt>
                <c:pt idx="1">
                  <c:v>64 KB</c:v>
                </c:pt>
                <c:pt idx="2">
                  <c:v>256 KB</c:v>
                </c:pt>
                <c:pt idx="3">
                  <c:v>1024 KB</c:v>
                </c:pt>
                <c:pt idx="4">
                  <c:v>4096 KB</c:v>
                </c:pt>
              </c:strCache>
            </c:strRef>
          </c:cat>
          <c:val>
            <c:numRef>
              <c:f>'A1 Ratio by Unit'!$B$39:$F$39</c:f>
              <c:numCache>
                <c:formatCode>General</c:formatCode>
                <c:ptCount val="5"/>
                <c:pt idx="0">
                  <c:v>81090</c:v>
                </c:pt>
                <c:pt idx="1">
                  <c:v>20674</c:v>
                </c:pt>
                <c:pt idx="2">
                  <c:v>5570</c:v>
                </c:pt>
                <c:pt idx="3">
                  <c:v>1794</c:v>
                </c:pt>
                <c:pt idx="4">
                  <c:v>850</c:v>
                </c:pt>
              </c:numCache>
            </c:numRef>
          </c:val>
          <c:smooth val="1"/>
        </c:ser>
        <c:ser>
          <c:idx val="4"/>
          <c:order val="4"/>
          <c:tx>
            <c:strRef>
              <c:f>'A1 Ratio by Unit'!A40</c:f>
              <c:strCache>
                <c:ptCount val="1"/>
                <c:pt idx="0">
                  <c:v>LossyStore 0.1%</c:v>
                </c:pt>
              </c:strCache>
            </c:strRef>
          </c:tx>
          <c:spPr>
            <a:solidFill>
              <a:srgbClr val="3d97af"/>
            </a:solidFill>
            <a:ln w="28440">
              <a:solidFill>
                <a:srgbClr val="3d97af"/>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'A1 Ratio by Unit'!$B$35:$F$35</c:f>
              <c:strCache>
                <c:ptCount val="5"/>
                <c:pt idx="0">
                  <c:v>16 KB</c:v>
                </c:pt>
                <c:pt idx="1">
                  <c:v>64 KB</c:v>
                </c:pt>
                <c:pt idx="2">
                  <c:v>256 KB</c:v>
                </c:pt>
                <c:pt idx="3">
                  <c:v>1024 KB</c:v>
                </c:pt>
                <c:pt idx="4">
                  <c:v>4096 KB</c:v>
                </c:pt>
              </c:strCache>
            </c:strRef>
          </c:cat>
          <c:val>
            <c:numRef>
              <c:f>'A1 Ratio by Unit'!$B$40:$F$40</c:f>
              <c:numCache>
                <c:formatCode>General</c:formatCode>
                <c:ptCount val="5"/>
                <c:pt idx="0">
                  <c:v>81090</c:v>
                </c:pt>
                <c:pt idx="1">
                  <c:v>20674</c:v>
                </c:pt>
                <c:pt idx="2">
                  <c:v>5570</c:v>
                </c:pt>
                <c:pt idx="3">
                  <c:v>1794</c:v>
                </c:pt>
                <c:pt idx="4">
                  <c:v>850</c:v>
                </c:pt>
              </c:numCache>
            </c:numRef>
          </c:val>
          <c:smooth val="1"/>
        </c:ser>
        <c:ser>
          <c:idx val="5"/>
          <c:order val="5"/>
          <c:tx>
            <c:strRef>
              <c:f>'A1 Ratio by Unit'!A41</c:f>
              <c:strCache>
                <c:ptCount val="1"/>
                <c:pt idx="0">
                  <c:v>LossyStore 1%</c:v>
                </c:pt>
              </c:strCache>
            </c:strRef>
          </c:tx>
          <c:spPr>
            <a:solidFill>
              <a:srgbClr val="db8238"/>
            </a:solidFill>
            <a:ln w="28440">
              <a:solidFill>
                <a:srgbClr val="db823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'A1 Ratio by Unit'!$B$35:$F$35</c:f>
              <c:strCache>
                <c:ptCount val="5"/>
                <c:pt idx="0">
                  <c:v>16 KB</c:v>
                </c:pt>
                <c:pt idx="1">
                  <c:v>64 KB</c:v>
                </c:pt>
                <c:pt idx="2">
                  <c:v>256 KB</c:v>
                </c:pt>
                <c:pt idx="3">
                  <c:v>1024 KB</c:v>
                </c:pt>
                <c:pt idx="4">
                  <c:v>4096 KB</c:v>
                </c:pt>
              </c:strCache>
            </c:strRef>
          </c:cat>
          <c:val>
            <c:numRef>
              <c:f>'A1 Ratio by Unit'!$B$41:$F$41</c:f>
              <c:numCache>
                <c:formatCode>General</c:formatCode>
                <c:ptCount val="5"/>
                <c:pt idx="0">
                  <c:v>81090</c:v>
                </c:pt>
                <c:pt idx="1">
                  <c:v>20674</c:v>
                </c:pt>
                <c:pt idx="2">
                  <c:v>5570</c:v>
                </c:pt>
                <c:pt idx="3">
                  <c:v>1794</c:v>
                </c:pt>
                <c:pt idx="4">
                  <c:v>850</c:v>
                </c:pt>
              </c:numCache>
            </c:numRef>
          </c:val>
          <c:smooth val="1"/>
        </c:ser>
        <c:ser>
          <c:idx val="6"/>
          <c:order val="6"/>
          <c:tx>
            <c:strRef>
              <c:f>'A1 Ratio by Unit'!A42</c:f>
              <c:strCache>
                <c:ptCount val="1"/>
                <c:pt idx="0">
                  <c:v>LossyStore 5%</c:v>
                </c:pt>
              </c:strCache>
            </c:strRef>
          </c:tx>
          <c:spPr>
            <a:solidFill>
              <a:srgbClr val="8ea5ca"/>
            </a:solidFill>
            <a:ln w="28440">
              <a:solidFill>
                <a:srgbClr val="8ea5c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'A1 Ratio by Unit'!$B$35:$F$35</c:f>
              <c:strCache>
                <c:ptCount val="5"/>
                <c:pt idx="0">
                  <c:v>16 KB</c:v>
                </c:pt>
                <c:pt idx="1">
                  <c:v>64 KB</c:v>
                </c:pt>
                <c:pt idx="2">
                  <c:v>256 KB</c:v>
                </c:pt>
                <c:pt idx="3">
                  <c:v>1024 KB</c:v>
                </c:pt>
                <c:pt idx="4">
                  <c:v>4096 KB</c:v>
                </c:pt>
              </c:strCache>
            </c:strRef>
          </c:cat>
          <c:val>
            <c:numRef>
              <c:f>'A1 Ratio by Unit'!$B$42:$F$42</c:f>
              <c:numCache>
                <c:formatCode>General</c:formatCode>
                <c:ptCount val="5"/>
                <c:pt idx="0">
                  <c:v>81090</c:v>
                </c:pt>
                <c:pt idx="1">
                  <c:v>20674</c:v>
                </c:pt>
                <c:pt idx="2">
                  <c:v>5570</c:v>
                </c:pt>
                <c:pt idx="3">
                  <c:v>1794</c:v>
                </c:pt>
                <c:pt idx="4">
                  <c:v>850</c:v>
                </c:pt>
              </c:numCache>
            </c:numRef>
          </c:val>
          <c:smooth val="1"/>
        </c:ser>
        <c:hiLowLines>
          <c:spPr>
            <a:ln w="0">
              <a:noFill/>
            </a:ln>
          </c:spPr>
        </c:hiLowLines>
        <c:marker val="0"/>
        <c:axId val="62183485"/>
        <c:axId val="34916288"/>
      </c:lineChart>
      <c:catAx>
        <c:axId val="62183485"/>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unit size (KB)</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4916288"/>
        <c:crosses val="autoZero"/>
        <c:auto val="1"/>
        <c:lblAlgn val="ctr"/>
        <c:lblOffset val="100"/>
        <c:noMultiLvlLbl val="0"/>
      </c:catAx>
      <c:valAx>
        <c:axId val="34916288"/>
        <c:scaling>
          <c:logBase val="10"/>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bytes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2183485"/>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Chained: ratio over the whole chain</a:t>
            </a:r>
          </a:p>
        </c:rich>
      </c:tx>
      <c:overlay val="0"/>
      <c:spPr>
        <a:noFill/>
        <a:ln w="0">
          <a:noFill/>
        </a:ln>
      </c:spPr>
    </c:title>
    <c:autoTitleDeleted val="0"/>
    <c:plotArea>
      <c:lineChart>
        <c:grouping val="standard"/>
        <c:varyColors val="0"/>
        <c:ser>
          <c:idx val="0"/>
          <c:order val="0"/>
          <c:tx>
            <c:strRef>
              <c:f>'A1 Ratio by Unit'!A50</c:f>
              <c:strCache>
                <c:ptCount val="1"/>
                <c:pt idx="0">
                  <c:v>-&gt; CompressedStore</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'A1 Ratio by Unit'!$B$49:$F$49</c:f>
              <c:strCache>
                <c:ptCount val="5"/>
                <c:pt idx="0">
                  <c:v>16 KB</c:v>
                </c:pt>
                <c:pt idx="1">
                  <c:v>64 KB</c:v>
                </c:pt>
                <c:pt idx="2">
                  <c:v>256 KB</c:v>
                </c:pt>
                <c:pt idx="3">
                  <c:v>1024 KB</c:v>
                </c:pt>
                <c:pt idx="4">
                  <c:v>4096 KB</c:v>
                </c:pt>
              </c:strCache>
            </c:strRef>
          </c:cat>
          <c:val>
            <c:numRef>
              <c:f>'A1 Ratio by Unit'!$B$50:$F$50</c:f>
              <c:numCache>
                <c:formatCode>General</c:formatCode>
                <c:ptCount val="5"/>
                <c:pt idx="0">
                  <c:v>2.7898</c:v>
                </c:pt>
                <c:pt idx="1">
                  <c:v>2.8373</c:v>
                </c:pt>
                <c:pt idx="2">
                  <c:v>2.8423</c:v>
                </c:pt>
                <c:pt idx="3">
                  <c:v>2.8433</c:v>
                </c:pt>
                <c:pt idx="4">
                  <c:v>2.8463</c:v>
                </c:pt>
              </c:numCache>
            </c:numRef>
          </c:val>
          <c:smooth val="1"/>
        </c:ser>
        <c:ser>
          <c:idx val="1"/>
          <c:order val="1"/>
          <c:tx>
            <c:strRef>
              <c:f>'A1 Ratio by Unit'!A51</c:f>
              <c:strCache>
                <c:ptCount val="1"/>
                <c:pt idx="0">
                  <c:v>-&gt; LossyStore lossless</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'A1 Ratio by Unit'!$B$49:$F$49</c:f>
              <c:strCache>
                <c:ptCount val="5"/>
                <c:pt idx="0">
                  <c:v>16 KB</c:v>
                </c:pt>
                <c:pt idx="1">
                  <c:v>64 KB</c:v>
                </c:pt>
                <c:pt idx="2">
                  <c:v>256 KB</c:v>
                </c:pt>
                <c:pt idx="3">
                  <c:v>1024 KB</c:v>
                </c:pt>
                <c:pt idx="4">
                  <c:v>4096 KB</c:v>
                </c:pt>
              </c:strCache>
            </c:strRef>
          </c:cat>
          <c:val>
            <c:numRef>
              <c:f>'A1 Ratio by Unit'!$B$51:$F$51</c:f>
              <c:numCache>
                <c:formatCode>General</c:formatCode>
                <c:ptCount val="5"/>
                <c:pt idx="0">
                  <c:v>3.7919</c:v>
                </c:pt>
                <c:pt idx="1">
                  <c:v>3.1693</c:v>
                </c:pt>
                <c:pt idx="2">
                  <c:v>3.4128</c:v>
                </c:pt>
                <c:pt idx="3">
                  <c:v>3.0471</c:v>
                </c:pt>
                <c:pt idx="4">
                  <c:v>3.7125</c:v>
                </c:pt>
              </c:numCache>
            </c:numRef>
          </c:val>
          <c:smooth val="1"/>
        </c:ser>
        <c:ser>
          <c:idx val="2"/>
          <c:order val="2"/>
          <c:tx>
            <c:strRef>
              <c:f>'A1 Ratio by Unit'!A52</c:f>
              <c:strCache>
                <c:ptCount val="1"/>
                <c:pt idx="0">
                  <c:v>-&gt; LossyStore 0.1%</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'A1 Ratio by Unit'!$B$49:$F$49</c:f>
              <c:strCache>
                <c:ptCount val="5"/>
                <c:pt idx="0">
                  <c:v>16 KB</c:v>
                </c:pt>
                <c:pt idx="1">
                  <c:v>64 KB</c:v>
                </c:pt>
                <c:pt idx="2">
                  <c:v>256 KB</c:v>
                </c:pt>
                <c:pt idx="3">
                  <c:v>1024 KB</c:v>
                </c:pt>
                <c:pt idx="4">
                  <c:v>4096 KB</c:v>
                </c:pt>
              </c:strCache>
            </c:strRef>
          </c:cat>
          <c:val>
            <c:numRef>
              <c:f>'A1 Ratio by Unit'!$B$52:$F$52</c:f>
              <c:numCache>
                <c:formatCode>General</c:formatCode>
                <c:ptCount val="5"/>
                <c:pt idx="0">
                  <c:v>5.0391</c:v>
                </c:pt>
                <c:pt idx="1">
                  <c:v>3.921</c:v>
                </c:pt>
                <c:pt idx="2">
                  <c:v>4.252</c:v>
                </c:pt>
                <c:pt idx="3">
                  <c:v>3.7001</c:v>
                </c:pt>
                <c:pt idx="4">
                  <c:v>4.7346</c:v>
                </c:pt>
              </c:numCache>
            </c:numRef>
          </c:val>
          <c:smooth val="1"/>
        </c:ser>
        <c:ser>
          <c:idx val="3"/>
          <c:order val="3"/>
          <c:tx>
            <c:strRef>
              <c:f>'A1 Ratio by Unit'!A53</c:f>
              <c:strCache>
                <c:ptCount val="1"/>
                <c:pt idx="0">
                  <c:v>-&gt; LossyStore 1%</c:v>
                </c:pt>
              </c:strCache>
            </c:strRef>
          </c:tx>
          <c:spPr>
            <a:solidFill>
              <a:srgbClr val="7d5fa0"/>
            </a:solidFill>
            <a:ln w="28440">
              <a:solidFill>
                <a:srgbClr val="7d5fa0"/>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'A1 Ratio by Unit'!$B$49:$F$49</c:f>
              <c:strCache>
                <c:ptCount val="5"/>
                <c:pt idx="0">
                  <c:v>16 KB</c:v>
                </c:pt>
                <c:pt idx="1">
                  <c:v>64 KB</c:v>
                </c:pt>
                <c:pt idx="2">
                  <c:v>256 KB</c:v>
                </c:pt>
                <c:pt idx="3">
                  <c:v>1024 KB</c:v>
                </c:pt>
                <c:pt idx="4">
                  <c:v>4096 KB</c:v>
                </c:pt>
              </c:strCache>
            </c:strRef>
          </c:cat>
          <c:val>
            <c:numRef>
              <c:f>'A1 Ratio by Unit'!$B$53:$F$53</c:f>
              <c:numCache>
                <c:formatCode>General</c:formatCode>
                <c:ptCount val="5"/>
                <c:pt idx="0">
                  <c:v>5.3965</c:v>
                </c:pt>
                <c:pt idx="1">
                  <c:v>4.1448</c:v>
                </c:pt>
                <c:pt idx="2">
                  <c:v>4.5718</c:v>
                </c:pt>
                <c:pt idx="3">
                  <c:v>3.9232</c:v>
                </c:pt>
                <c:pt idx="4">
                  <c:v>5.0977</c:v>
                </c:pt>
              </c:numCache>
            </c:numRef>
          </c:val>
          <c:smooth val="1"/>
        </c:ser>
        <c:ser>
          <c:idx val="4"/>
          <c:order val="4"/>
          <c:tx>
            <c:strRef>
              <c:f>'A1 Ratio by Unit'!A54</c:f>
              <c:strCache>
                <c:ptCount val="1"/>
                <c:pt idx="0">
                  <c:v>-&gt; LossyStore 5%</c:v>
                </c:pt>
              </c:strCache>
            </c:strRef>
          </c:tx>
          <c:spPr>
            <a:solidFill>
              <a:srgbClr val="46aac4"/>
            </a:solidFill>
            <a:ln w="28440">
              <a:solidFill>
                <a:srgbClr val="46aac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'A1 Ratio by Unit'!$B$49:$F$49</c:f>
              <c:strCache>
                <c:ptCount val="5"/>
                <c:pt idx="0">
                  <c:v>16 KB</c:v>
                </c:pt>
                <c:pt idx="1">
                  <c:v>64 KB</c:v>
                </c:pt>
                <c:pt idx="2">
                  <c:v>256 KB</c:v>
                </c:pt>
                <c:pt idx="3">
                  <c:v>1024 KB</c:v>
                </c:pt>
                <c:pt idx="4">
                  <c:v>4096 KB</c:v>
                </c:pt>
              </c:strCache>
            </c:strRef>
          </c:cat>
          <c:val>
            <c:numRef>
              <c:f>'A1 Ratio by Unit'!$B$54:$F$54</c:f>
              <c:numCache>
                <c:formatCode>General</c:formatCode>
                <c:ptCount val="5"/>
                <c:pt idx="0">
                  <c:v>5.6818</c:v>
                </c:pt>
                <c:pt idx="1">
                  <c:v>4.3049</c:v>
                </c:pt>
                <c:pt idx="2">
                  <c:v>4.7886</c:v>
                </c:pt>
                <c:pt idx="3">
                  <c:v>4.111</c:v>
                </c:pt>
                <c:pt idx="4">
                  <c:v>5.4291</c:v>
                </c:pt>
              </c:numCache>
            </c:numRef>
          </c:val>
          <c:smooth val="1"/>
        </c:ser>
        <c:hiLowLines>
          <c:spPr>
            <a:ln w="0">
              <a:noFill/>
            </a:ln>
          </c:spPr>
        </c:hiLowLines>
        <c:marker val="0"/>
        <c:axId val="17993719"/>
        <c:axId val="16443247"/>
      </c:lineChart>
      <c:catAx>
        <c:axId val="17993719"/>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unit size (KB)</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6443247"/>
        <c:crosses val="autoZero"/>
        <c:auto val="1"/>
        <c:lblAlgn val="ctr"/>
        <c:lblOffset val="100"/>
        <c:noMultiLvlLbl val="0"/>
      </c:catAx>
      <c:valAx>
        <c:axId val="16443247"/>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ratio</a:t>
                </a:r>
              </a:p>
            </c:rich>
          </c:tx>
          <c:overlay val="0"/>
          <c:spPr>
            <a:noFill/>
            <a:ln w="0">
              <a:noFill/>
            </a:ln>
          </c:spPr>
        </c:title>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7993719"/>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Share of the stream FileStore keeps uncompressed</a:t>
            </a:r>
          </a:p>
        </c:rich>
      </c:tx>
      <c:overlay val="0"/>
      <c:spPr>
        <a:noFill/>
        <a:ln w="0">
          <a:noFill/>
        </a:ln>
      </c:spPr>
    </c:title>
    <c:autoTitleDeleted val="0"/>
    <c:plotArea>
      <c:barChart>
        <c:barDir val="col"/>
        <c:grouping val="clustered"/>
        <c:varyColors val="0"/>
        <c:ser>
          <c:idx val="0"/>
          <c:order val="0"/>
          <c:tx>
            <c:strRef>
              <c:f>'A2 Chaining Cost'!A14</c:f>
              <c:strCache>
                <c:ptCount val="1"/>
                <c:pt idx="0">
                  <c:v>-&gt; CompressedStore</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'A2 Chaining Cost'!$B$13:$F$13</c:f>
              <c:strCache>
                <c:ptCount val="5"/>
                <c:pt idx="0">
                  <c:v>16 KB</c:v>
                </c:pt>
                <c:pt idx="1">
                  <c:v>64 KB</c:v>
                </c:pt>
                <c:pt idx="2">
                  <c:v>256 KB</c:v>
                </c:pt>
                <c:pt idx="3">
                  <c:v>1024 KB</c:v>
                </c:pt>
                <c:pt idx="4">
                  <c:v>4096 KB</c:v>
                </c:pt>
              </c:strCache>
            </c:strRef>
          </c:cat>
          <c:val>
            <c:numRef>
              <c:f>'A2 Chaining Cost'!$B$14:$F$14</c:f>
              <c:numCache>
                <c:formatCode>General</c:formatCode>
                <c:ptCount val="5"/>
                <c:pt idx="0">
                  <c:v>0.0655796721016395</c:v>
                </c:pt>
                <c:pt idx="1">
                  <c:v>0.0655796721016395</c:v>
                </c:pt>
                <c:pt idx="2">
                  <c:v>0.0655796721016395</c:v>
                </c:pt>
                <c:pt idx="3">
                  <c:v>0.0655796721016395</c:v>
                </c:pt>
                <c:pt idx="4">
                  <c:v>0.0655796721016395</c:v>
                </c:pt>
              </c:numCache>
            </c:numRef>
          </c:val>
        </c:ser>
        <c:ser>
          <c:idx val="1"/>
          <c:order val="1"/>
          <c:tx>
            <c:strRef>
              <c:f>'A2 Chaining Cost'!A15</c:f>
              <c:strCache>
                <c:ptCount val="1"/>
                <c:pt idx="0">
                  <c:v>-&gt; LossyStore lossless</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'A2 Chaining Cost'!$B$13:$F$13</c:f>
              <c:strCache>
                <c:ptCount val="5"/>
                <c:pt idx="0">
                  <c:v>16 KB</c:v>
                </c:pt>
                <c:pt idx="1">
                  <c:v>64 KB</c:v>
                </c:pt>
                <c:pt idx="2">
                  <c:v>256 KB</c:v>
                </c:pt>
                <c:pt idx="3">
                  <c:v>1024 KB</c:v>
                </c:pt>
                <c:pt idx="4">
                  <c:v>4096 KB</c:v>
                </c:pt>
              </c:strCache>
            </c:strRef>
          </c:cat>
          <c:val>
            <c:numRef>
              <c:f>'A2 Chaining Cost'!$B$15:$F$15</c:f>
              <c:numCache>
                <c:formatCode>General</c:formatCode>
                <c:ptCount val="5"/>
                <c:pt idx="0">
                  <c:v>0.0655796721016395</c:v>
                </c:pt>
                <c:pt idx="1">
                  <c:v>0.0655796721016395</c:v>
                </c:pt>
                <c:pt idx="2">
                  <c:v>0.0655796721016395</c:v>
                </c:pt>
                <c:pt idx="3">
                  <c:v>0.0655796721016395</c:v>
                </c:pt>
                <c:pt idx="4">
                  <c:v>0.0655796721016395</c:v>
                </c:pt>
              </c:numCache>
            </c:numRef>
          </c:val>
        </c:ser>
        <c:ser>
          <c:idx val="2"/>
          <c:order val="2"/>
          <c:tx>
            <c:strRef>
              <c:f>'A2 Chaining Cost'!A16</c:f>
              <c:strCache>
                <c:ptCount val="1"/>
                <c:pt idx="0">
                  <c:v>-&gt; LossyStore 0.1%</c:v>
                </c:pt>
              </c:strCache>
            </c:strRef>
          </c:tx>
          <c:spPr>
            <a:solidFill>
              <a:srgbClr val="9bbb59"/>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'A2 Chaining Cost'!$B$13:$F$13</c:f>
              <c:strCache>
                <c:ptCount val="5"/>
                <c:pt idx="0">
                  <c:v>16 KB</c:v>
                </c:pt>
                <c:pt idx="1">
                  <c:v>64 KB</c:v>
                </c:pt>
                <c:pt idx="2">
                  <c:v>256 KB</c:v>
                </c:pt>
                <c:pt idx="3">
                  <c:v>1024 KB</c:v>
                </c:pt>
                <c:pt idx="4">
                  <c:v>4096 KB</c:v>
                </c:pt>
              </c:strCache>
            </c:strRef>
          </c:cat>
          <c:val>
            <c:numRef>
              <c:f>'A2 Chaining Cost'!$B$16:$F$16</c:f>
              <c:numCache>
                <c:formatCode>General</c:formatCode>
                <c:ptCount val="5"/>
                <c:pt idx="0">
                  <c:v>0.0655796721016395</c:v>
                </c:pt>
                <c:pt idx="1">
                  <c:v>0.0655796721016395</c:v>
                </c:pt>
                <c:pt idx="2">
                  <c:v>0.0655796721016395</c:v>
                </c:pt>
                <c:pt idx="3">
                  <c:v>0.0655796721016395</c:v>
                </c:pt>
                <c:pt idx="4">
                  <c:v>0.0655796721016395</c:v>
                </c:pt>
              </c:numCache>
            </c:numRef>
          </c:val>
        </c:ser>
        <c:ser>
          <c:idx val="3"/>
          <c:order val="3"/>
          <c:tx>
            <c:strRef>
              <c:f>'A2 Chaining Cost'!A17</c:f>
              <c:strCache>
                <c:ptCount val="1"/>
                <c:pt idx="0">
                  <c:v>-&gt; LossyStore 1%</c:v>
                </c:pt>
              </c:strCache>
            </c:strRef>
          </c:tx>
          <c:spPr>
            <a:solidFill>
              <a:srgbClr val="8064a2"/>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'A2 Chaining Cost'!$B$13:$F$13</c:f>
              <c:strCache>
                <c:ptCount val="5"/>
                <c:pt idx="0">
                  <c:v>16 KB</c:v>
                </c:pt>
                <c:pt idx="1">
                  <c:v>64 KB</c:v>
                </c:pt>
                <c:pt idx="2">
                  <c:v>256 KB</c:v>
                </c:pt>
                <c:pt idx="3">
                  <c:v>1024 KB</c:v>
                </c:pt>
                <c:pt idx="4">
                  <c:v>4096 KB</c:v>
                </c:pt>
              </c:strCache>
            </c:strRef>
          </c:cat>
          <c:val>
            <c:numRef>
              <c:f>'A2 Chaining Cost'!$B$17:$F$17</c:f>
              <c:numCache>
                <c:formatCode>General</c:formatCode>
                <c:ptCount val="5"/>
                <c:pt idx="0">
                  <c:v>0.0655796721016395</c:v>
                </c:pt>
                <c:pt idx="1">
                  <c:v>0.0655796721016395</c:v>
                </c:pt>
                <c:pt idx="2">
                  <c:v>0.0655796721016395</c:v>
                </c:pt>
                <c:pt idx="3">
                  <c:v>0.0655796721016395</c:v>
                </c:pt>
                <c:pt idx="4">
                  <c:v>0.0655796721016395</c:v>
                </c:pt>
              </c:numCache>
            </c:numRef>
          </c:val>
        </c:ser>
        <c:ser>
          <c:idx val="4"/>
          <c:order val="4"/>
          <c:tx>
            <c:strRef>
              <c:f>'A2 Chaining Cost'!A18</c:f>
              <c:strCache>
                <c:ptCount val="1"/>
                <c:pt idx="0">
                  <c:v>-&gt; LossyStore 5%</c:v>
                </c:pt>
              </c:strCache>
            </c:strRef>
          </c:tx>
          <c:spPr>
            <a:solidFill>
              <a:srgbClr val="4bacc6"/>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'A2 Chaining Cost'!$B$13:$F$13</c:f>
              <c:strCache>
                <c:ptCount val="5"/>
                <c:pt idx="0">
                  <c:v>16 KB</c:v>
                </c:pt>
                <c:pt idx="1">
                  <c:v>64 KB</c:v>
                </c:pt>
                <c:pt idx="2">
                  <c:v>256 KB</c:v>
                </c:pt>
                <c:pt idx="3">
                  <c:v>1024 KB</c:v>
                </c:pt>
                <c:pt idx="4">
                  <c:v>4096 KB</c:v>
                </c:pt>
              </c:strCache>
            </c:strRef>
          </c:cat>
          <c:val>
            <c:numRef>
              <c:f>'A2 Chaining Cost'!$B$18:$F$18</c:f>
              <c:numCache>
                <c:formatCode>General</c:formatCode>
                <c:ptCount val="5"/>
                <c:pt idx="0">
                  <c:v>0.0655796721016395</c:v>
                </c:pt>
                <c:pt idx="1">
                  <c:v>0.0655796721016395</c:v>
                </c:pt>
                <c:pt idx="2">
                  <c:v>0.0655796721016395</c:v>
                </c:pt>
                <c:pt idx="3">
                  <c:v>0.0655796721016395</c:v>
                </c:pt>
                <c:pt idx="4">
                  <c:v>0.0655796721016395</c:v>
                </c:pt>
              </c:numCache>
            </c:numRef>
          </c:val>
        </c:ser>
        <c:gapWidth val="60"/>
        <c:overlap val="0"/>
        <c:axId val="5653750"/>
        <c:axId val="77894275"/>
      </c:barChart>
      <c:catAx>
        <c:axId val="5653750"/>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unit size (KB)</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7894275"/>
        <c:crosses val="autoZero"/>
        <c:auto val="1"/>
        <c:lblAlgn val="ctr"/>
        <c:lblOffset val="100"/>
        <c:noMultiLvlLbl val="0"/>
      </c:catAx>
      <c:valAx>
        <c:axId val="77894275"/>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share of bytes_in</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653750"/>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Chained ratio as a fraction of standalone</a:t>
            </a:r>
          </a:p>
        </c:rich>
      </c:tx>
      <c:overlay val="0"/>
      <c:spPr>
        <a:noFill/>
        <a:ln w="0">
          <a:noFill/>
        </a:ln>
      </c:spPr>
    </c:title>
    <c:autoTitleDeleted val="0"/>
    <c:plotArea>
      <c:barChart>
        <c:barDir val="col"/>
        <c:grouping val="clustered"/>
        <c:varyColors val="0"/>
        <c:ser>
          <c:idx val="0"/>
          <c:order val="0"/>
          <c:tx>
            <c:strRef>
              <c:f>'A2 Chaining Cost'!A27</c:f>
              <c:strCache>
                <c:ptCount val="1"/>
                <c:pt idx="0">
                  <c:v>-&gt; CompressedStore</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'A2 Chaining Cost'!$B$26:$F$26</c:f>
              <c:strCache>
                <c:ptCount val="5"/>
                <c:pt idx="0">
                  <c:v>16 KB</c:v>
                </c:pt>
                <c:pt idx="1">
                  <c:v>64 KB</c:v>
                </c:pt>
                <c:pt idx="2">
                  <c:v>256 KB</c:v>
                </c:pt>
                <c:pt idx="3">
                  <c:v>1024 KB</c:v>
                </c:pt>
                <c:pt idx="4">
                  <c:v>4096 KB</c:v>
                </c:pt>
              </c:strCache>
            </c:strRef>
          </c:cat>
          <c:val>
            <c:numRef>
              <c:f>'A2 Chaining Cost'!$B$27:$F$27</c:f>
              <c:numCache>
                <c:formatCode>General</c:formatCode>
                <c:ptCount val="5"/>
                <c:pt idx="0">
                  <c:v>0.881119322847578</c:v>
                </c:pt>
                <c:pt idx="1">
                  <c:v>0.871219332453097</c:v>
                </c:pt>
                <c:pt idx="2">
                  <c:v>0.869683617893642</c:v>
                </c:pt>
                <c:pt idx="3">
                  <c:v>0.870548972780993</c:v>
                </c:pt>
                <c:pt idx="4">
                  <c:v>0.870428134556575</c:v>
                </c:pt>
              </c:numCache>
            </c:numRef>
          </c:val>
        </c:ser>
        <c:ser>
          <c:idx val="1"/>
          <c:order val="1"/>
          <c:tx>
            <c:strRef>
              <c:f>'A2 Chaining Cost'!A28</c:f>
              <c:strCache>
                <c:ptCount val="1"/>
                <c:pt idx="0">
                  <c:v>-&gt; LossyStore lossless</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'A2 Chaining Cost'!$B$26:$F$26</c:f>
              <c:strCache>
                <c:ptCount val="5"/>
                <c:pt idx="0">
                  <c:v>16 KB</c:v>
                </c:pt>
                <c:pt idx="1">
                  <c:v>64 KB</c:v>
                </c:pt>
                <c:pt idx="2">
                  <c:v>256 KB</c:v>
                </c:pt>
                <c:pt idx="3">
                  <c:v>1024 KB</c:v>
                </c:pt>
                <c:pt idx="4">
                  <c:v>4096 KB</c:v>
                </c:pt>
              </c:strCache>
            </c:strRef>
          </c:cat>
          <c:val>
            <c:numRef>
              <c:f>'A2 Chaining Cost'!$B$28:$F$28</c:f>
              <c:numCache>
                <c:formatCode>General</c:formatCode>
                <c:ptCount val="5"/>
                <c:pt idx="0">
                  <c:v>0.817078951904844</c:v>
                </c:pt>
                <c:pt idx="1">
                  <c:v>0.848359119867231</c:v>
                </c:pt>
                <c:pt idx="2">
                  <c:v>0.832126398946675</c:v>
                </c:pt>
                <c:pt idx="3">
                  <c:v>0.849129162602759</c:v>
                </c:pt>
                <c:pt idx="4">
                  <c:v>0.825770719338049</c:v>
                </c:pt>
              </c:numCache>
            </c:numRef>
          </c:val>
        </c:ser>
        <c:ser>
          <c:idx val="2"/>
          <c:order val="2"/>
          <c:tx>
            <c:strRef>
              <c:f>'A2 Chaining Cost'!A29</c:f>
              <c:strCache>
                <c:ptCount val="1"/>
                <c:pt idx="0">
                  <c:v>-&gt; LossyStore 0.1%</c:v>
                </c:pt>
              </c:strCache>
            </c:strRef>
          </c:tx>
          <c:spPr>
            <a:solidFill>
              <a:srgbClr val="9bbb59"/>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'A2 Chaining Cost'!$B$26:$F$26</c:f>
              <c:strCache>
                <c:ptCount val="5"/>
                <c:pt idx="0">
                  <c:v>16 KB</c:v>
                </c:pt>
                <c:pt idx="1">
                  <c:v>64 KB</c:v>
                </c:pt>
                <c:pt idx="2">
                  <c:v>256 KB</c:v>
                </c:pt>
                <c:pt idx="3">
                  <c:v>1024 KB</c:v>
                </c:pt>
                <c:pt idx="4">
                  <c:v>4096 KB</c:v>
                </c:pt>
              </c:strCache>
            </c:strRef>
          </c:cat>
          <c:val>
            <c:numRef>
              <c:f>'A2 Chaining Cost'!$B$29:$F$29</c:f>
              <c:numCache>
                <c:formatCode>General</c:formatCode>
                <c:ptCount val="5"/>
                <c:pt idx="0">
                  <c:v>0.727836034318399</c:v>
                </c:pt>
                <c:pt idx="1">
                  <c:v>0.795786653677545</c:v>
                </c:pt>
                <c:pt idx="2">
                  <c:v>0.773259620280788</c:v>
                </c:pt>
                <c:pt idx="3">
                  <c:v>0.801789893386496</c:v>
                </c:pt>
                <c:pt idx="4">
                  <c:v>0.758433985839234</c:v>
                </c:pt>
              </c:numCache>
            </c:numRef>
          </c:val>
        </c:ser>
        <c:ser>
          <c:idx val="3"/>
          <c:order val="3"/>
          <c:tx>
            <c:strRef>
              <c:f>'A2 Chaining Cost'!A30</c:f>
              <c:strCache>
                <c:ptCount val="1"/>
                <c:pt idx="0">
                  <c:v>-&gt; LossyStore 1%</c:v>
                </c:pt>
              </c:strCache>
            </c:strRef>
          </c:tx>
          <c:spPr>
            <a:solidFill>
              <a:srgbClr val="8064a2"/>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'A2 Chaining Cost'!$B$26:$F$26</c:f>
              <c:strCache>
                <c:ptCount val="5"/>
                <c:pt idx="0">
                  <c:v>16 KB</c:v>
                </c:pt>
                <c:pt idx="1">
                  <c:v>64 KB</c:v>
                </c:pt>
                <c:pt idx="2">
                  <c:v>256 KB</c:v>
                </c:pt>
                <c:pt idx="3">
                  <c:v>1024 KB</c:v>
                </c:pt>
                <c:pt idx="4">
                  <c:v>4096 KB</c:v>
                </c:pt>
              </c:strCache>
            </c:strRef>
          </c:cat>
          <c:val>
            <c:numRef>
              <c:f>'A2 Chaining Cost'!$B$30:$F$30</c:f>
              <c:numCache>
                <c:formatCode>General</c:formatCode>
                <c:ptCount val="5"/>
                <c:pt idx="0">
                  <c:v>0.703548706716729</c:v>
                </c:pt>
                <c:pt idx="1">
                  <c:v>0.779948063678447</c:v>
                </c:pt>
                <c:pt idx="2">
                  <c:v>0.751187131332052</c:v>
                </c:pt>
                <c:pt idx="3">
                  <c:v>0.785268214571657</c:v>
                </c:pt>
                <c:pt idx="4">
                  <c:v>0.734613001311371</c:v>
                </c:pt>
              </c:numCache>
            </c:numRef>
          </c:val>
        </c:ser>
        <c:ser>
          <c:idx val="4"/>
          <c:order val="4"/>
          <c:tx>
            <c:strRef>
              <c:f>'A2 Chaining Cost'!A31</c:f>
              <c:strCache>
                <c:ptCount val="1"/>
                <c:pt idx="0">
                  <c:v>-&gt; LossyStore 5%</c:v>
                </c:pt>
              </c:strCache>
            </c:strRef>
          </c:tx>
          <c:spPr>
            <a:solidFill>
              <a:srgbClr val="4bacc6"/>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'A2 Chaining Cost'!$B$26:$F$26</c:f>
              <c:strCache>
                <c:ptCount val="5"/>
                <c:pt idx="0">
                  <c:v>16 KB</c:v>
                </c:pt>
                <c:pt idx="1">
                  <c:v>64 KB</c:v>
                </c:pt>
                <c:pt idx="2">
                  <c:v>256 KB</c:v>
                </c:pt>
                <c:pt idx="3">
                  <c:v>1024 KB</c:v>
                </c:pt>
                <c:pt idx="4">
                  <c:v>4096 KB</c:v>
                </c:pt>
              </c:strCache>
            </c:strRef>
          </c:cat>
          <c:val>
            <c:numRef>
              <c:f>'A2 Chaining Cost'!$B$31:$F$31</c:f>
              <c:numCache>
                <c:formatCode>General</c:formatCode>
                <c:ptCount val="5"/>
                <c:pt idx="0">
                  <c:v>0.682523093925307</c:v>
                </c:pt>
                <c:pt idx="1">
                  <c:v>0.768773327142525</c:v>
                </c:pt>
                <c:pt idx="2">
                  <c:v>0.736288574196227</c:v>
                </c:pt>
                <c:pt idx="3">
                  <c:v>0.772134780812141</c:v>
                </c:pt>
                <c:pt idx="4">
                  <c:v>0.71272350145719</c:v>
                </c:pt>
              </c:numCache>
            </c:numRef>
          </c:val>
        </c:ser>
        <c:gapWidth val="60"/>
        <c:overlap val="0"/>
        <c:axId val="82084042"/>
        <c:axId val="72002233"/>
      </c:barChart>
      <c:catAx>
        <c:axId val="82084042"/>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unit size (KB)</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2002233"/>
        <c:crosses val="autoZero"/>
        <c:auto val="1"/>
        <c:lblAlgn val="ctr"/>
        <c:lblOffset val="100"/>
        <c:noMultiLvlLbl val="0"/>
      </c:catAx>
      <c:valAx>
        <c:axId val="72002233"/>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x</a:t>
                </a:r>
              </a:p>
            </c:rich>
          </c:tx>
          <c:overlay val="0"/>
          <c:spPr>
            <a:noFill/>
            <a:ln w="0">
              <a:noFill/>
            </a:ln>
          </c:spPr>
        </c:title>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2084042"/>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LossyStore: ratio by accuracy bound</a:t>
            </a:r>
          </a:p>
        </c:rich>
      </c:tx>
      <c:overlay val="0"/>
      <c:spPr>
        <a:noFill/>
        <a:ln w="0">
          <a:noFill/>
        </a:ln>
      </c:spPr>
    </c:title>
    <c:autoTitleDeleted val="0"/>
    <c:plotArea>
      <c:lineChart>
        <c:grouping val="standard"/>
        <c:varyColors val="0"/>
        <c:ser>
          <c:idx val="0"/>
          <c:order val="0"/>
          <c:tx>
            <c:strRef>
              <c:f>'A3 Accuracy and Float'!A6</c:f>
              <c:strCache>
                <c:ptCount val="1"/>
                <c:pt idx="0">
                  <c:v>LossyStore lossless</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'A3 Accuracy and Float'!$B$5:$F$5</c:f>
              <c:strCache>
                <c:ptCount val="5"/>
                <c:pt idx="0">
                  <c:v>16 KB</c:v>
                </c:pt>
                <c:pt idx="1">
                  <c:v>64 KB</c:v>
                </c:pt>
                <c:pt idx="2">
                  <c:v>256 KB</c:v>
                </c:pt>
                <c:pt idx="3">
                  <c:v>1024 KB</c:v>
                </c:pt>
                <c:pt idx="4">
                  <c:v>4096 KB</c:v>
                </c:pt>
              </c:strCache>
            </c:strRef>
          </c:cat>
          <c:val>
            <c:numRef>
              <c:f>'A3 Accuracy and Float'!$B$6:$F$6</c:f>
              <c:numCache>
                <c:formatCode>General</c:formatCode>
                <c:ptCount val="5"/>
                <c:pt idx="0">
                  <c:v>4.6408</c:v>
                </c:pt>
                <c:pt idx="1">
                  <c:v>3.7358</c:v>
                </c:pt>
                <c:pt idx="2">
                  <c:v>4.1013</c:v>
                </c:pt>
                <c:pt idx="3">
                  <c:v>3.5885</c:v>
                </c:pt>
                <c:pt idx="4">
                  <c:v>4.4958</c:v>
                </c:pt>
              </c:numCache>
            </c:numRef>
          </c:val>
          <c:smooth val="1"/>
        </c:ser>
        <c:ser>
          <c:idx val="1"/>
          <c:order val="1"/>
          <c:tx>
            <c:strRef>
              <c:f>'A3 Accuracy and Float'!A7</c:f>
              <c:strCache>
                <c:ptCount val="1"/>
                <c:pt idx="0">
                  <c:v>LossyStore 0.1%</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'A3 Accuracy and Float'!$B$5:$F$5</c:f>
              <c:strCache>
                <c:ptCount val="5"/>
                <c:pt idx="0">
                  <c:v>16 KB</c:v>
                </c:pt>
                <c:pt idx="1">
                  <c:v>64 KB</c:v>
                </c:pt>
                <c:pt idx="2">
                  <c:v>256 KB</c:v>
                </c:pt>
                <c:pt idx="3">
                  <c:v>1024 KB</c:v>
                </c:pt>
                <c:pt idx="4">
                  <c:v>4096 KB</c:v>
                </c:pt>
              </c:strCache>
            </c:strRef>
          </c:cat>
          <c:val>
            <c:numRef>
              <c:f>'A3 Accuracy and Float'!$B$7:$F$7</c:f>
              <c:numCache>
                <c:formatCode>General</c:formatCode>
                <c:ptCount val="5"/>
                <c:pt idx="0">
                  <c:v>6.9234</c:v>
                </c:pt>
                <c:pt idx="1">
                  <c:v>4.9272</c:v>
                </c:pt>
                <c:pt idx="2">
                  <c:v>5.4988</c:v>
                </c:pt>
                <c:pt idx="3">
                  <c:v>4.6148</c:v>
                </c:pt>
                <c:pt idx="4">
                  <c:v>6.2426</c:v>
                </c:pt>
              </c:numCache>
            </c:numRef>
          </c:val>
          <c:smooth val="1"/>
        </c:ser>
        <c:ser>
          <c:idx val="2"/>
          <c:order val="2"/>
          <c:tx>
            <c:strRef>
              <c:f>'A3 Accuracy and Float'!A8</c:f>
              <c:strCache>
                <c:ptCount val="1"/>
                <c:pt idx="0">
                  <c:v>LossyStore 1%</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'A3 Accuracy and Float'!$B$5:$F$5</c:f>
              <c:strCache>
                <c:ptCount val="5"/>
                <c:pt idx="0">
                  <c:v>16 KB</c:v>
                </c:pt>
                <c:pt idx="1">
                  <c:v>64 KB</c:v>
                </c:pt>
                <c:pt idx="2">
                  <c:v>256 KB</c:v>
                </c:pt>
                <c:pt idx="3">
                  <c:v>1024 KB</c:v>
                </c:pt>
                <c:pt idx="4">
                  <c:v>4096 KB</c:v>
                </c:pt>
              </c:strCache>
            </c:strRef>
          </c:cat>
          <c:val>
            <c:numRef>
              <c:f>'A3 Accuracy and Float'!$B$8:$F$8</c:f>
              <c:numCache>
                <c:formatCode>General</c:formatCode>
                <c:ptCount val="5"/>
                <c:pt idx="0">
                  <c:v>7.6704</c:v>
                </c:pt>
                <c:pt idx="1">
                  <c:v>5.3142</c:v>
                </c:pt>
                <c:pt idx="2">
                  <c:v>6.0861</c:v>
                </c:pt>
                <c:pt idx="3">
                  <c:v>4.996</c:v>
                </c:pt>
                <c:pt idx="4">
                  <c:v>6.9393</c:v>
                </c:pt>
              </c:numCache>
            </c:numRef>
          </c:val>
          <c:smooth val="1"/>
        </c:ser>
        <c:ser>
          <c:idx val="3"/>
          <c:order val="3"/>
          <c:tx>
            <c:strRef>
              <c:f>'A3 Accuracy and Float'!A9</c:f>
              <c:strCache>
                <c:ptCount val="1"/>
                <c:pt idx="0">
                  <c:v>LossyStore 5%</c:v>
                </c:pt>
              </c:strCache>
            </c:strRef>
          </c:tx>
          <c:spPr>
            <a:solidFill>
              <a:srgbClr val="7d5fa0"/>
            </a:solidFill>
            <a:ln w="28440">
              <a:solidFill>
                <a:srgbClr val="7d5fa0"/>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'A3 Accuracy and Float'!$B$5:$F$5</c:f>
              <c:strCache>
                <c:ptCount val="5"/>
                <c:pt idx="0">
                  <c:v>16 KB</c:v>
                </c:pt>
                <c:pt idx="1">
                  <c:v>64 KB</c:v>
                </c:pt>
                <c:pt idx="2">
                  <c:v>256 KB</c:v>
                </c:pt>
                <c:pt idx="3">
                  <c:v>1024 KB</c:v>
                </c:pt>
                <c:pt idx="4">
                  <c:v>4096 KB</c:v>
                </c:pt>
              </c:strCache>
            </c:strRef>
          </c:cat>
          <c:val>
            <c:numRef>
              <c:f>'A3 Accuracy and Float'!$B$9:$F$9</c:f>
              <c:numCache>
                <c:formatCode>General</c:formatCode>
                <c:ptCount val="5"/>
                <c:pt idx="0">
                  <c:v>8.3247</c:v>
                </c:pt>
                <c:pt idx="1">
                  <c:v>5.5997</c:v>
                </c:pt>
                <c:pt idx="2">
                  <c:v>6.5037</c:v>
                </c:pt>
                <c:pt idx="3">
                  <c:v>5.3242</c:v>
                </c:pt>
                <c:pt idx="4">
                  <c:v>7.6174</c:v>
                </c:pt>
              </c:numCache>
            </c:numRef>
          </c:val>
          <c:smooth val="1"/>
        </c:ser>
        <c:hiLowLines>
          <c:spPr>
            <a:ln w="0">
              <a:noFill/>
            </a:ln>
          </c:spPr>
        </c:hiLowLines>
        <c:marker val="0"/>
        <c:axId val="25683029"/>
        <c:axId val="47956500"/>
      </c:lineChart>
      <c:catAx>
        <c:axId val="25683029"/>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unit size (KB)</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7956500"/>
        <c:crosses val="autoZero"/>
        <c:auto val="1"/>
        <c:lblAlgn val="ctr"/>
        <c:lblOffset val="100"/>
        <c:noMultiLvlLbl val="0"/>
      </c:catAx>
      <c:valAx>
        <c:axId val="47956500"/>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ratio</a:t>
                </a:r>
              </a:p>
            </c:rich>
          </c:tx>
          <c:overlay val="0"/>
          <c:spPr>
            <a:noFill/>
            <a:ln w="0">
              <a:noFill/>
            </a:ln>
          </c:spPr>
        </c:title>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5683029"/>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Gain over lossless</a:t>
            </a:r>
          </a:p>
        </c:rich>
      </c:tx>
      <c:overlay val="0"/>
      <c:spPr>
        <a:noFill/>
        <a:ln w="0">
          <a:noFill/>
        </a:ln>
      </c:spPr>
    </c:title>
    <c:autoTitleDeleted val="0"/>
    <c:plotArea>
      <c:barChart>
        <c:barDir val="col"/>
        <c:grouping val="clustered"/>
        <c:varyColors val="0"/>
        <c:ser>
          <c:idx val="0"/>
          <c:order val="0"/>
          <c:tx>
            <c:strRef>
              <c:f>'A3 Accuracy and Float'!A17</c:f>
              <c:strCache>
                <c:ptCount val="1"/>
                <c:pt idx="0">
                  <c:v>LossyStore 0.1%</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'A3 Accuracy and Float'!$B$16:$F$16</c:f>
              <c:strCache>
                <c:ptCount val="5"/>
                <c:pt idx="0">
                  <c:v>16 KB</c:v>
                </c:pt>
                <c:pt idx="1">
                  <c:v>64 KB</c:v>
                </c:pt>
                <c:pt idx="2">
                  <c:v>256 KB</c:v>
                </c:pt>
                <c:pt idx="3">
                  <c:v>1024 KB</c:v>
                </c:pt>
                <c:pt idx="4">
                  <c:v>4096 KB</c:v>
                </c:pt>
              </c:strCache>
            </c:strRef>
          </c:cat>
          <c:val>
            <c:numRef>
              <c:f>'A3 Accuracy and Float'!$B$17:$F$17</c:f>
              <c:numCache>
                <c:formatCode>General</c:formatCode>
                <c:ptCount val="5"/>
                <c:pt idx="0">
                  <c:v>1.49185485261162</c:v>
                </c:pt>
                <c:pt idx="1">
                  <c:v>1.31891428877349</c:v>
                </c:pt>
                <c:pt idx="2">
                  <c:v>1.34074561724331</c:v>
                </c:pt>
                <c:pt idx="3">
                  <c:v>1.28599693465236</c:v>
                </c:pt>
                <c:pt idx="4">
                  <c:v>1.38854041549891</c:v>
                </c:pt>
              </c:numCache>
            </c:numRef>
          </c:val>
        </c:ser>
        <c:ser>
          <c:idx val="1"/>
          <c:order val="1"/>
          <c:tx>
            <c:strRef>
              <c:f>'A3 Accuracy and Float'!A18</c:f>
              <c:strCache>
                <c:ptCount val="1"/>
                <c:pt idx="0">
                  <c:v>LossyStore 1%</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'A3 Accuracy and Float'!$B$16:$F$16</c:f>
              <c:strCache>
                <c:ptCount val="5"/>
                <c:pt idx="0">
                  <c:v>16 KB</c:v>
                </c:pt>
                <c:pt idx="1">
                  <c:v>64 KB</c:v>
                </c:pt>
                <c:pt idx="2">
                  <c:v>256 KB</c:v>
                </c:pt>
                <c:pt idx="3">
                  <c:v>1024 KB</c:v>
                </c:pt>
                <c:pt idx="4">
                  <c:v>4096 KB</c:v>
                </c:pt>
              </c:strCache>
            </c:strRef>
          </c:cat>
          <c:val>
            <c:numRef>
              <c:f>'A3 Accuracy and Float'!$B$18:$F$18</c:f>
              <c:numCache>
                <c:formatCode>General</c:formatCode>
                <c:ptCount val="5"/>
                <c:pt idx="0">
                  <c:v>1.65281847957249</c:v>
                </c:pt>
                <c:pt idx="1">
                  <c:v>1.42250655816693</c:v>
                </c:pt>
                <c:pt idx="2">
                  <c:v>1.48394411528052</c:v>
                </c:pt>
                <c:pt idx="3">
                  <c:v>1.39222516371743</c:v>
                </c:pt>
                <c:pt idx="4">
                  <c:v>1.54350727345522</c:v>
                </c:pt>
              </c:numCache>
            </c:numRef>
          </c:val>
        </c:ser>
        <c:ser>
          <c:idx val="2"/>
          <c:order val="2"/>
          <c:tx>
            <c:strRef>
              <c:f>'A3 Accuracy and Float'!A19</c:f>
              <c:strCache>
                <c:ptCount val="1"/>
                <c:pt idx="0">
                  <c:v>LossyStore 5%</c:v>
                </c:pt>
              </c:strCache>
            </c:strRef>
          </c:tx>
          <c:spPr>
            <a:solidFill>
              <a:srgbClr val="9bbb59"/>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'A3 Accuracy and Float'!$B$16:$F$16</c:f>
              <c:strCache>
                <c:ptCount val="5"/>
                <c:pt idx="0">
                  <c:v>16 KB</c:v>
                </c:pt>
                <c:pt idx="1">
                  <c:v>64 KB</c:v>
                </c:pt>
                <c:pt idx="2">
                  <c:v>256 KB</c:v>
                </c:pt>
                <c:pt idx="3">
                  <c:v>1024 KB</c:v>
                </c:pt>
                <c:pt idx="4">
                  <c:v>4096 KB</c:v>
                </c:pt>
              </c:strCache>
            </c:strRef>
          </c:cat>
          <c:val>
            <c:numRef>
              <c:f>'A3 Accuracy and Float'!$B$19:$F$19</c:f>
              <c:numCache>
                <c:formatCode>General</c:formatCode>
                <c:ptCount val="5"/>
                <c:pt idx="0">
                  <c:v>1.79380710222375</c:v>
                </c:pt>
                <c:pt idx="1">
                  <c:v>1.49892927886932</c:v>
                </c:pt>
                <c:pt idx="2">
                  <c:v>1.5857654889913</c:v>
                </c:pt>
                <c:pt idx="3">
                  <c:v>1.48368399052529</c:v>
                </c:pt>
                <c:pt idx="4">
                  <c:v>1.69433693669647</c:v>
                </c:pt>
              </c:numCache>
            </c:numRef>
          </c:val>
        </c:ser>
        <c:gapWidth val="60"/>
        <c:overlap val="0"/>
        <c:axId val="10915709"/>
        <c:axId val="15063353"/>
      </c:barChart>
      <c:catAx>
        <c:axId val="10915709"/>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unit size (KB)</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5063353"/>
        <c:crosses val="autoZero"/>
        <c:auto val="1"/>
        <c:lblAlgn val="ctr"/>
        <c:lblOffset val="100"/>
        <c:noMultiLvlLbl val="0"/>
      </c:catAx>
      <c:valAx>
        <c:axId val="15063353"/>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x</a:t>
                </a:r>
              </a:p>
            </c:rich>
          </c:tx>
          <c:overlay val="0"/>
          <c:spPr>
            <a:noFill/>
            <a:ln w="0">
              <a:noFill/>
            </a:ln>
          </c:spPr>
        </c:title>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0915709"/>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Framing share of the file</a:t>
            </a:r>
          </a:p>
        </c:rich>
      </c:tx>
      <c:overlay val="0"/>
      <c:spPr>
        <a:noFill/>
        <a:ln w="0">
          <a:noFill/>
        </a:ln>
      </c:spPr>
    </c:title>
    <c:autoTitleDeleted val="0"/>
    <c:plotArea>
      <c:lineChart>
        <c:grouping val="standard"/>
        <c:varyColors val="0"/>
        <c:ser>
          <c:idx val="0"/>
          <c:order val="0"/>
          <c:tx>
            <c:strRef>
              <c:f>'A4 Overhead and Timing'!A6</c:f>
              <c:strCache>
                <c:ptCount val="1"/>
                <c:pt idx="0">
                  <c:v>MemoryStore</c:v>
                </c:pt>
              </c:strCache>
            </c:strRef>
          </c:tx>
          <c:spPr>
            <a:solidFill>
              <a:srgbClr val="426fa6"/>
            </a:solidFill>
            <a:ln w="28440">
              <a:solidFill>
                <a:srgbClr val="426fa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'A4 Overhead and Timing'!$B$5:$F$5</c:f>
              <c:strCache>
                <c:ptCount val="5"/>
                <c:pt idx="0">
                  <c:v>16 KB</c:v>
                </c:pt>
                <c:pt idx="1">
                  <c:v>64 KB</c:v>
                </c:pt>
                <c:pt idx="2">
                  <c:v>256 KB</c:v>
                </c:pt>
                <c:pt idx="3">
                  <c:v>1024 KB</c:v>
                </c:pt>
                <c:pt idx="4">
                  <c:v>4096 KB</c:v>
                </c:pt>
              </c:strCache>
            </c:strRef>
          </c:cat>
          <c:val>
            <c:numRef>
              <c:f>'A4 Overhead and Timing'!$B$6:$F$6</c:f>
              <c:numCache>
                <c:formatCode>General</c:formatCode>
                <c:ptCount val="5"/>
                <c:pt idx="0">
                  <c:v>0</c:v>
                </c:pt>
                <c:pt idx="1">
                  <c:v>0</c:v>
                </c:pt>
                <c:pt idx="2">
                  <c:v>0</c:v>
                </c:pt>
                <c:pt idx="3">
                  <c:v>0</c:v>
                </c:pt>
                <c:pt idx="4">
                  <c:v>0</c:v>
                </c:pt>
              </c:numCache>
            </c:numRef>
          </c:val>
          <c:smooth val="1"/>
        </c:ser>
        <c:ser>
          <c:idx val="1"/>
          <c:order val="1"/>
          <c:tx>
            <c:strRef>
              <c:f>'A4 Overhead and Timing'!A7</c:f>
              <c:strCache>
                <c:ptCount val="1"/>
                <c:pt idx="0">
                  <c:v>FileStore</c:v>
                </c:pt>
              </c:strCache>
            </c:strRef>
          </c:tx>
          <c:spPr>
            <a:solidFill>
              <a:srgbClr val="aa433f"/>
            </a:solidFill>
            <a:ln w="28440">
              <a:solidFill>
                <a:srgbClr val="aa433f"/>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'A4 Overhead and Timing'!$B$5:$F$5</c:f>
              <c:strCache>
                <c:ptCount val="5"/>
                <c:pt idx="0">
                  <c:v>16 KB</c:v>
                </c:pt>
                <c:pt idx="1">
                  <c:v>64 KB</c:v>
                </c:pt>
                <c:pt idx="2">
                  <c:v>256 KB</c:v>
                </c:pt>
                <c:pt idx="3">
                  <c:v>1024 KB</c:v>
                </c:pt>
                <c:pt idx="4">
                  <c:v>4096 KB</c:v>
                </c:pt>
              </c:strCache>
            </c:strRef>
          </c:cat>
          <c:val>
            <c:numRef>
              <c:f>'A4 Overhead and Timing'!$B$7:$F$7</c:f>
              <c:numCache>
                <c:formatCode>General</c:formatCode>
                <c:ptCount val="5"/>
                <c:pt idx="0">
                  <c:v>0.003778</c:v>
                </c:pt>
                <c:pt idx="1">
                  <c:v>0.001048</c:v>
                </c:pt>
                <c:pt idx="2">
                  <c:v>0.000363</c:v>
                </c:pt>
                <c:pt idx="3">
                  <c:v>0.000192</c:v>
                </c:pt>
                <c:pt idx="4">
                  <c:v>0.000149</c:v>
                </c:pt>
              </c:numCache>
            </c:numRef>
          </c:val>
          <c:smooth val="1"/>
        </c:ser>
        <c:ser>
          <c:idx val="2"/>
          <c:order val="2"/>
          <c:tx>
            <c:strRef>
              <c:f>'A4 Overhead and Timing'!A8</c:f>
              <c:strCache>
                <c:ptCount val="1"/>
                <c:pt idx="0">
                  <c:v>CompressedStore</c:v>
                </c:pt>
              </c:strCache>
            </c:strRef>
          </c:tx>
          <c:spPr>
            <a:solidFill>
              <a:srgbClr val="87a44b"/>
            </a:solidFill>
            <a:ln w="28440">
              <a:solidFill>
                <a:srgbClr val="87a44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'A4 Overhead and Timing'!$B$5:$F$5</c:f>
              <c:strCache>
                <c:ptCount val="5"/>
                <c:pt idx="0">
                  <c:v>16 KB</c:v>
                </c:pt>
                <c:pt idx="1">
                  <c:v>64 KB</c:v>
                </c:pt>
                <c:pt idx="2">
                  <c:v>256 KB</c:v>
                </c:pt>
                <c:pt idx="3">
                  <c:v>1024 KB</c:v>
                </c:pt>
                <c:pt idx="4">
                  <c:v>4096 KB</c:v>
                </c:pt>
              </c:strCache>
            </c:strRef>
          </c:cat>
          <c:val>
            <c:numRef>
              <c:f>'A4 Overhead and Timing'!$B$8:$F$8</c:f>
              <c:numCache>
                <c:formatCode>General</c:formatCode>
                <c:ptCount val="5"/>
                <c:pt idx="0">
                  <c:v>0.008076</c:v>
                </c:pt>
                <c:pt idx="1">
                  <c:v>0.002265</c:v>
                </c:pt>
                <c:pt idx="2">
                  <c:v>0.000746</c:v>
                </c:pt>
                <c:pt idx="3">
                  <c:v>0.000364</c:v>
                </c:pt>
                <c:pt idx="4">
                  <c:v>0.000269</c:v>
                </c:pt>
              </c:numCache>
            </c:numRef>
          </c:val>
          <c:smooth val="1"/>
        </c:ser>
        <c:ser>
          <c:idx val="3"/>
          <c:order val="3"/>
          <c:tx>
            <c:strRef>
              <c:f>'A4 Overhead and Timing'!A9</c:f>
              <c:strCache>
                <c:ptCount val="1"/>
                <c:pt idx="0">
                  <c:v>LossyStore lossless</c:v>
                </c:pt>
              </c:strCache>
            </c:strRef>
          </c:tx>
          <c:spPr>
            <a:solidFill>
              <a:srgbClr val="6f568d"/>
            </a:solidFill>
            <a:ln w="28440">
              <a:solidFill>
                <a:srgbClr val="6f568d"/>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'A4 Overhead and Timing'!$B$5:$F$5</c:f>
              <c:strCache>
                <c:ptCount val="5"/>
                <c:pt idx="0">
                  <c:v>16 KB</c:v>
                </c:pt>
                <c:pt idx="1">
                  <c:v>64 KB</c:v>
                </c:pt>
                <c:pt idx="2">
                  <c:v>256 KB</c:v>
                </c:pt>
                <c:pt idx="3">
                  <c:v>1024 KB</c:v>
                </c:pt>
                <c:pt idx="4">
                  <c:v>4096 KB</c:v>
                </c:pt>
              </c:strCache>
            </c:strRef>
          </c:cat>
          <c:val>
            <c:numRef>
              <c:f>'A4 Overhead and Timing'!$B$9:$F$9</c:f>
              <c:numCache>
                <c:formatCode>General</c:formatCode>
                <c:ptCount val="5"/>
                <c:pt idx="0">
                  <c:v>0.062969</c:v>
                </c:pt>
                <c:pt idx="1">
                  <c:v>0.013604</c:v>
                </c:pt>
                <c:pt idx="2">
                  <c:v>0.004063</c:v>
                </c:pt>
                <c:pt idx="3">
                  <c:v>0.001148</c:v>
                </c:pt>
                <c:pt idx="4">
                  <c:v>0.000682</c:v>
                </c:pt>
              </c:numCache>
            </c:numRef>
          </c:val>
          <c:smooth val="1"/>
        </c:ser>
        <c:ser>
          <c:idx val="4"/>
          <c:order val="4"/>
          <c:tx>
            <c:strRef>
              <c:f>'A4 Overhead and Timing'!A10</c:f>
              <c:strCache>
                <c:ptCount val="1"/>
                <c:pt idx="0">
                  <c:v>LossyStore 0.1%</c:v>
                </c:pt>
              </c:strCache>
            </c:strRef>
          </c:tx>
          <c:spPr>
            <a:solidFill>
              <a:srgbClr val="3d97af"/>
            </a:solidFill>
            <a:ln w="28440">
              <a:solidFill>
                <a:srgbClr val="3d97af"/>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'A4 Overhead and Timing'!$B$5:$F$5</c:f>
              <c:strCache>
                <c:ptCount val="5"/>
                <c:pt idx="0">
                  <c:v>16 KB</c:v>
                </c:pt>
                <c:pt idx="1">
                  <c:v>64 KB</c:v>
                </c:pt>
                <c:pt idx="2">
                  <c:v>256 KB</c:v>
                </c:pt>
                <c:pt idx="3">
                  <c:v>1024 KB</c:v>
                </c:pt>
                <c:pt idx="4">
                  <c:v>4096 KB</c:v>
                </c:pt>
              </c:strCache>
            </c:strRef>
          </c:cat>
          <c:val>
            <c:numRef>
              <c:f>'A4 Overhead and Timing'!$B$10:$F$10</c:f>
              <c:numCache>
                <c:formatCode>General</c:formatCode>
                <c:ptCount val="5"/>
                <c:pt idx="0">
                  <c:v>0.091118</c:v>
                </c:pt>
                <c:pt idx="1">
                  <c:v>0.017865</c:v>
                </c:pt>
                <c:pt idx="2">
                  <c:v>0.00544</c:v>
                </c:pt>
                <c:pt idx="3">
                  <c:v>0.001476</c:v>
                </c:pt>
                <c:pt idx="4">
                  <c:v>0.000947</c:v>
                </c:pt>
              </c:numCache>
            </c:numRef>
          </c:val>
          <c:smooth val="1"/>
        </c:ser>
        <c:ser>
          <c:idx val="5"/>
          <c:order val="5"/>
          <c:tx>
            <c:strRef>
              <c:f>'A4 Overhead and Timing'!A11</c:f>
              <c:strCache>
                <c:ptCount val="1"/>
                <c:pt idx="0">
                  <c:v>LossyStore 1%</c:v>
                </c:pt>
              </c:strCache>
            </c:strRef>
          </c:tx>
          <c:spPr>
            <a:solidFill>
              <a:srgbClr val="db8238"/>
            </a:solidFill>
            <a:ln w="28440">
              <a:solidFill>
                <a:srgbClr val="db823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'A4 Overhead and Timing'!$B$5:$F$5</c:f>
              <c:strCache>
                <c:ptCount val="5"/>
                <c:pt idx="0">
                  <c:v>16 KB</c:v>
                </c:pt>
                <c:pt idx="1">
                  <c:v>64 KB</c:v>
                </c:pt>
                <c:pt idx="2">
                  <c:v>256 KB</c:v>
                </c:pt>
                <c:pt idx="3">
                  <c:v>1024 KB</c:v>
                </c:pt>
                <c:pt idx="4">
                  <c:v>4096 KB</c:v>
                </c:pt>
              </c:strCache>
            </c:strRef>
          </c:cat>
          <c:val>
            <c:numRef>
              <c:f>'A4 Overhead and Timing'!$B$11:$F$11</c:f>
              <c:numCache>
                <c:formatCode>General</c:formatCode>
                <c:ptCount val="5"/>
                <c:pt idx="0">
                  <c:v>0.099966</c:v>
                </c:pt>
                <c:pt idx="1">
                  <c:v>0.019241</c:v>
                </c:pt>
                <c:pt idx="2">
                  <c:v>0.006017</c:v>
                </c:pt>
                <c:pt idx="3">
                  <c:v>0.001598</c:v>
                </c:pt>
                <c:pt idx="4">
                  <c:v>0.001052</c:v>
                </c:pt>
              </c:numCache>
            </c:numRef>
          </c:val>
          <c:smooth val="1"/>
        </c:ser>
        <c:ser>
          <c:idx val="6"/>
          <c:order val="6"/>
          <c:tx>
            <c:strRef>
              <c:f>'A4 Overhead and Timing'!A12</c:f>
              <c:strCache>
                <c:ptCount val="1"/>
                <c:pt idx="0">
                  <c:v>LossyStore 5%</c:v>
                </c:pt>
              </c:strCache>
            </c:strRef>
          </c:tx>
          <c:spPr>
            <a:solidFill>
              <a:srgbClr val="8ea5ca"/>
            </a:solidFill>
            <a:ln w="28440">
              <a:solidFill>
                <a:srgbClr val="8ea5c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'A4 Overhead and Timing'!$B$5:$F$5</c:f>
              <c:strCache>
                <c:ptCount val="5"/>
                <c:pt idx="0">
                  <c:v>16 KB</c:v>
                </c:pt>
                <c:pt idx="1">
                  <c:v>64 KB</c:v>
                </c:pt>
                <c:pt idx="2">
                  <c:v>256 KB</c:v>
                </c:pt>
                <c:pt idx="3">
                  <c:v>1024 KB</c:v>
                </c:pt>
                <c:pt idx="4">
                  <c:v>4096 KB</c:v>
                </c:pt>
              </c:strCache>
            </c:strRef>
          </c:cat>
          <c:val>
            <c:numRef>
              <c:f>'A4 Overhead and Timing'!$B$12:$F$12</c:f>
              <c:numCache>
                <c:formatCode>General</c:formatCode>
                <c:ptCount val="5"/>
                <c:pt idx="0">
                  <c:v>0.107577</c:v>
                </c:pt>
                <c:pt idx="1">
                  <c:v>0.020254</c:v>
                </c:pt>
                <c:pt idx="2">
                  <c:v>0.006427</c:v>
                </c:pt>
                <c:pt idx="3">
                  <c:v>0.001703</c:v>
                </c:pt>
                <c:pt idx="4">
                  <c:v>0.001155</c:v>
                </c:pt>
              </c:numCache>
            </c:numRef>
          </c:val>
          <c:smooth val="1"/>
        </c:ser>
        <c:hiLowLines>
          <c:spPr>
            <a:ln w="0">
              <a:noFill/>
            </a:ln>
          </c:spPr>
        </c:hiLowLines>
        <c:marker val="0"/>
        <c:axId val="32728035"/>
        <c:axId val="88668918"/>
      </c:lineChart>
      <c:catAx>
        <c:axId val="32728035"/>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unit size (KB)</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8668918"/>
        <c:crosses val="autoZero"/>
        <c:auto val="1"/>
        <c:lblAlgn val="ctr"/>
        <c:lblOffset val="100"/>
        <c:noMultiLvlLbl val="0"/>
      </c:catAx>
      <c:valAx>
        <c:axId val="88668918"/>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share of disk_bytes</a:t>
                </a:r>
              </a:p>
            </c:rich>
          </c:tx>
          <c:overlay val="0"/>
          <c:spPr>
            <a:noFill/>
            <a:ln w="0">
              <a:noFill/>
            </a:ln>
          </c:spPr>
        </c:title>
        <c:numFmt formatCode="0.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2728035"/>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Units written (log scale)</a:t>
            </a:r>
          </a:p>
        </c:rich>
      </c:tx>
      <c:overlay val="0"/>
      <c:spPr>
        <a:noFill/>
        <a:ln w="0">
          <a:noFill/>
        </a:ln>
      </c:spPr>
    </c:title>
    <c:autoTitleDeleted val="0"/>
    <c:plotArea>
      <c:lineChart>
        <c:grouping val="standard"/>
        <c:varyColors val="0"/>
        <c:ser>
          <c:idx val="0"/>
          <c:order val="0"/>
          <c:tx>
            <c:strRef>
              <c:f>'A4 Overhead and Timing'!A19</c:f>
              <c:strCache>
                <c:ptCount val="1"/>
                <c:pt idx="0">
                  <c:v>MemoryStore</c:v>
                </c:pt>
              </c:strCache>
            </c:strRef>
          </c:tx>
          <c:spPr>
            <a:solidFill>
              <a:srgbClr val="426fa6"/>
            </a:solidFill>
            <a:ln w="28440">
              <a:solidFill>
                <a:srgbClr val="426fa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'A4 Overhead and Timing'!$B$18:$F$18</c:f>
              <c:strCache>
                <c:ptCount val="5"/>
                <c:pt idx="0">
                  <c:v>16 KB</c:v>
                </c:pt>
                <c:pt idx="1">
                  <c:v>64 KB</c:v>
                </c:pt>
                <c:pt idx="2">
                  <c:v>256 KB</c:v>
                </c:pt>
                <c:pt idx="3">
                  <c:v>1024 KB</c:v>
                </c:pt>
                <c:pt idx="4">
                  <c:v>4096 KB</c:v>
                </c:pt>
              </c:strCache>
            </c:strRef>
          </c:cat>
          <c:val>
            <c:numRef>
              <c:f>'A4 Overhead and Timing'!$B$19:$F$19</c:f>
              <c:numCache>
                <c:formatCode>General</c:formatCode>
                <c:ptCount val="5"/>
                <c:pt idx="0">
                  <c:v>0</c:v>
                </c:pt>
                <c:pt idx="1">
                  <c:v>0</c:v>
                </c:pt>
                <c:pt idx="2">
                  <c:v>0</c:v>
                </c:pt>
                <c:pt idx="3">
                  <c:v>0</c:v>
                </c:pt>
                <c:pt idx="4">
                  <c:v>0</c:v>
                </c:pt>
              </c:numCache>
            </c:numRef>
          </c:val>
          <c:smooth val="1"/>
        </c:ser>
        <c:ser>
          <c:idx val="1"/>
          <c:order val="1"/>
          <c:tx>
            <c:strRef>
              <c:f>'A4 Overhead and Timing'!A20</c:f>
              <c:strCache>
                <c:ptCount val="1"/>
                <c:pt idx="0">
                  <c:v>FileStore</c:v>
                </c:pt>
              </c:strCache>
            </c:strRef>
          </c:tx>
          <c:spPr>
            <a:solidFill>
              <a:srgbClr val="aa433f"/>
            </a:solidFill>
            <a:ln w="28440">
              <a:solidFill>
                <a:srgbClr val="aa433f"/>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'A4 Overhead and Timing'!$B$18:$F$18</c:f>
              <c:strCache>
                <c:ptCount val="5"/>
                <c:pt idx="0">
                  <c:v>16 KB</c:v>
                </c:pt>
                <c:pt idx="1">
                  <c:v>64 KB</c:v>
                </c:pt>
                <c:pt idx="2">
                  <c:v>256 KB</c:v>
                </c:pt>
                <c:pt idx="3">
                  <c:v>1024 KB</c:v>
                </c:pt>
                <c:pt idx="4">
                  <c:v>4096 KB</c:v>
                </c:pt>
              </c:strCache>
            </c:strRef>
          </c:cat>
          <c:val>
            <c:numRef>
              <c:f>'A4 Overhead and Timing'!$B$20:$F$20</c:f>
              <c:numCache>
                <c:formatCode>General</c:formatCode>
                <c:ptCount val="5"/>
                <c:pt idx="0">
                  <c:v>342</c:v>
                </c:pt>
                <c:pt idx="1">
                  <c:v>86</c:v>
                </c:pt>
                <c:pt idx="2">
                  <c:v>22</c:v>
                </c:pt>
                <c:pt idx="3">
                  <c:v>6</c:v>
                </c:pt>
                <c:pt idx="4">
                  <c:v>2</c:v>
                </c:pt>
              </c:numCache>
            </c:numRef>
          </c:val>
          <c:smooth val="1"/>
        </c:ser>
        <c:ser>
          <c:idx val="2"/>
          <c:order val="2"/>
          <c:tx>
            <c:strRef>
              <c:f>'A4 Overhead and Timing'!A21</c:f>
              <c:strCache>
                <c:ptCount val="1"/>
                <c:pt idx="0">
                  <c:v>CompressedStore</c:v>
                </c:pt>
              </c:strCache>
            </c:strRef>
          </c:tx>
          <c:spPr>
            <a:solidFill>
              <a:srgbClr val="87a44b"/>
            </a:solidFill>
            <a:ln w="28440">
              <a:solidFill>
                <a:srgbClr val="87a44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'A4 Overhead and Timing'!$B$18:$F$18</c:f>
              <c:strCache>
                <c:ptCount val="5"/>
                <c:pt idx="0">
                  <c:v>16 KB</c:v>
                </c:pt>
                <c:pt idx="1">
                  <c:v>64 KB</c:v>
                </c:pt>
                <c:pt idx="2">
                  <c:v>256 KB</c:v>
                </c:pt>
                <c:pt idx="3">
                  <c:v>1024 KB</c:v>
                </c:pt>
                <c:pt idx="4">
                  <c:v>4096 KB</c:v>
                </c:pt>
              </c:strCache>
            </c:strRef>
          </c:cat>
          <c:val>
            <c:numRef>
              <c:f>'A4 Overhead and Timing'!$B$21:$F$21</c:f>
              <c:numCache>
                <c:formatCode>General</c:formatCode>
                <c:ptCount val="5"/>
                <c:pt idx="0">
                  <c:v>342</c:v>
                </c:pt>
                <c:pt idx="1">
                  <c:v>86</c:v>
                </c:pt>
                <c:pt idx="2">
                  <c:v>22</c:v>
                </c:pt>
                <c:pt idx="3">
                  <c:v>6</c:v>
                </c:pt>
                <c:pt idx="4">
                  <c:v>2</c:v>
                </c:pt>
              </c:numCache>
            </c:numRef>
          </c:val>
          <c:smooth val="1"/>
        </c:ser>
        <c:ser>
          <c:idx val="3"/>
          <c:order val="3"/>
          <c:tx>
            <c:strRef>
              <c:f>'A4 Overhead and Timing'!A22</c:f>
              <c:strCache>
                <c:ptCount val="1"/>
                <c:pt idx="0">
                  <c:v>LossyStore lossless</c:v>
                </c:pt>
              </c:strCache>
            </c:strRef>
          </c:tx>
          <c:spPr>
            <a:solidFill>
              <a:srgbClr val="6f568d"/>
            </a:solidFill>
            <a:ln w="28440">
              <a:solidFill>
                <a:srgbClr val="6f568d"/>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'A4 Overhead and Timing'!$B$18:$F$18</c:f>
              <c:strCache>
                <c:ptCount val="5"/>
                <c:pt idx="0">
                  <c:v>16 KB</c:v>
                </c:pt>
                <c:pt idx="1">
                  <c:v>64 KB</c:v>
                </c:pt>
                <c:pt idx="2">
                  <c:v>256 KB</c:v>
                </c:pt>
                <c:pt idx="3">
                  <c:v>1024 KB</c:v>
                </c:pt>
                <c:pt idx="4">
                  <c:v>4096 KB</c:v>
                </c:pt>
              </c:strCache>
            </c:strRef>
          </c:cat>
          <c:val>
            <c:numRef>
              <c:f>'A4 Overhead and Timing'!$B$22:$F$22</c:f>
              <c:numCache>
                <c:formatCode>General</c:formatCode>
                <c:ptCount val="5"/>
                <c:pt idx="0">
                  <c:v>342</c:v>
                </c:pt>
                <c:pt idx="1">
                  <c:v>86</c:v>
                </c:pt>
                <c:pt idx="2">
                  <c:v>22</c:v>
                </c:pt>
                <c:pt idx="3">
                  <c:v>6</c:v>
                </c:pt>
                <c:pt idx="4">
                  <c:v>2</c:v>
                </c:pt>
              </c:numCache>
            </c:numRef>
          </c:val>
          <c:smooth val="1"/>
        </c:ser>
        <c:ser>
          <c:idx val="4"/>
          <c:order val="4"/>
          <c:tx>
            <c:strRef>
              <c:f>'A4 Overhead and Timing'!A23</c:f>
              <c:strCache>
                <c:ptCount val="1"/>
                <c:pt idx="0">
                  <c:v>LossyStore 0.1%</c:v>
                </c:pt>
              </c:strCache>
            </c:strRef>
          </c:tx>
          <c:spPr>
            <a:solidFill>
              <a:srgbClr val="3d97af"/>
            </a:solidFill>
            <a:ln w="28440">
              <a:solidFill>
                <a:srgbClr val="3d97af"/>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'A4 Overhead and Timing'!$B$18:$F$18</c:f>
              <c:strCache>
                <c:ptCount val="5"/>
                <c:pt idx="0">
                  <c:v>16 KB</c:v>
                </c:pt>
                <c:pt idx="1">
                  <c:v>64 KB</c:v>
                </c:pt>
                <c:pt idx="2">
                  <c:v>256 KB</c:v>
                </c:pt>
                <c:pt idx="3">
                  <c:v>1024 KB</c:v>
                </c:pt>
                <c:pt idx="4">
                  <c:v>4096 KB</c:v>
                </c:pt>
              </c:strCache>
            </c:strRef>
          </c:cat>
          <c:val>
            <c:numRef>
              <c:f>'A4 Overhead and Timing'!$B$23:$F$23</c:f>
              <c:numCache>
                <c:formatCode>General</c:formatCode>
                <c:ptCount val="5"/>
                <c:pt idx="0">
                  <c:v>342</c:v>
                </c:pt>
                <c:pt idx="1">
                  <c:v>86</c:v>
                </c:pt>
                <c:pt idx="2">
                  <c:v>22</c:v>
                </c:pt>
                <c:pt idx="3">
                  <c:v>6</c:v>
                </c:pt>
                <c:pt idx="4">
                  <c:v>2</c:v>
                </c:pt>
              </c:numCache>
            </c:numRef>
          </c:val>
          <c:smooth val="1"/>
        </c:ser>
        <c:ser>
          <c:idx val="5"/>
          <c:order val="5"/>
          <c:tx>
            <c:strRef>
              <c:f>'A4 Overhead and Timing'!A24</c:f>
              <c:strCache>
                <c:ptCount val="1"/>
                <c:pt idx="0">
                  <c:v>LossyStore 1%</c:v>
                </c:pt>
              </c:strCache>
            </c:strRef>
          </c:tx>
          <c:spPr>
            <a:solidFill>
              <a:srgbClr val="db8238"/>
            </a:solidFill>
            <a:ln w="28440">
              <a:solidFill>
                <a:srgbClr val="db823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'A4 Overhead and Timing'!$B$18:$F$18</c:f>
              <c:strCache>
                <c:ptCount val="5"/>
                <c:pt idx="0">
                  <c:v>16 KB</c:v>
                </c:pt>
                <c:pt idx="1">
                  <c:v>64 KB</c:v>
                </c:pt>
                <c:pt idx="2">
                  <c:v>256 KB</c:v>
                </c:pt>
                <c:pt idx="3">
                  <c:v>1024 KB</c:v>
                </c:pt>
                <c:pt idx="4">
                  <c:v>4096 KB</c:v>
                </c:pt>
              </c:strCache>
            </c:strRef>
          </c:cat>
          <c:val>
            <c:numRef>
              <c:f>'A4 Overhead and Timing'!$B$24:$F$24</c:f>
              <c:numCache>
                <c:formatCode>General</c:formatCode>
                <c:ptCount val="5"/>
                <c:pt idx="0">
                  <c:v>342</c:v>
                </c:pt>
                <c:pt idx="1">
                  <c:v>86</c:v>
                </c:pt>
                <c:pt idx="2">
                  <c:v>22</c:v>
                </c:pt>
                <c:pt idx="3">
                  <c:v>6</c:v>
                </c:pt>
                <c:pt idx="4">
                  <c:v>2</c:v>
                </c:pt>
              </c:numCache>
            </c:numRef>
          </c:val>
          <c:smooth val="1"/>
        </c:ser>
        <c:ser>
          <c:idx val="6"/>
          <c:order val="6"/>
          <c:tx>
            <c:strRef>
              <c:f>'A4 Overhead and Timing'!A25</c:f>
              <c:strCache>
                <c:ptCount val="1"/>
                <c:pt idx="0">
                  <c:v>LossyStore 5%</c:v>
                </c:pt>
              </c:strCache>
            </c:strRef>
          </c:tx>
          <c:spPr>
            <a:solidFill>
              <a:srgbClr val="8ea5ca"/>
            </a:solidFill>
            <a:ln w="28440">
              <a:solidFill>
                <a:srgbClr val="8ea5c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'A4 Overhead and Timing'!$B$18:$F$18</c:f>
              <c:strCache>
                <c:ptCount val="5"/>
                <c:pt idx="0">
                  <c:v>16 KB</c:v>
                </c:pt>
                <c:pt idx="1">
                  <c:v>64 KB</c:v>
                </c:pt>
                <c:pt idx="2">
                  <c:v>256 KB</c:v>
                </c:pt>
                <c:pt idx="3">
                  <c:v>1024 KB</c:v>
                </c:pt>
                <c:pt idx="4">
                  <c:v>4096 KB</c:v>
                </c:pt>
              </c:strCache>
            </c:strRef>
          </c:cat>
          <c:val>
            <c:numRef>
              <c:f>'A4 Overhead and Timing'!$B$25:$F$25</c:f>
              <c:numCache>
                <c:formatCode>General</c:formatCode>
                <c:ptCount val="5"/>
                <c:pt idx="0">
                  <c:v>342</c:v>
                </c:pt>
                <c:pt idx="1">
                  <c:v>86</c:v>
                </c:pt>
                <c:pt idx="2">
                  <c:v>22</c:v>
                </c:pt>
                <c:pt idx="3">
                  <c:v>6</c:v>
                </c:pt>
                <c:pt idx="4">
                  <c:v>2</c:v>
                </c:pt>
              </c:numCache>
            </c:numRef>
          </c:val>
          <c:smooth val="1"/>
        </c:ser>
        <c:hiLowLines>
          <c:spPr>
            <a:ln w="0">
              <a:noFill/>
            </a:ln>
          </c:spPr>
        </c:hiLowLines>
        <c:marker val="0"/>
        <c:axId val="79782161"/>
        <c:axId val="10981225"/>
      </c:lineChart>
      <c:catAx>
        <c:axId val="79782161"/>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unit size (KB)</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0981225"/>
        <c:crosses val="autoZero"/>
        <c:auto val="1"/>
        <c:lblAlgn val="ctr"/>
        <c:lblOffset val="100"/>
        <c:noMultiLvlLbl val="0"/>
      </c:catAx>
      <c:valAx>
        <c:axId val="10981225"/>
        <c:scaling>
          <c:logBase val="10"/>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count</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9782161"/>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Encode time</a:t>
            </a:r>
          </a:p>
        </c:rich>
      </c:tx>
      <c:overlay val="0"/>
      <c:spPr>
        <a:noFill/>
        <a:ln w="0">
          <a:noFill/>
        </a:ln>
      </c:spPr>
    </c:title>
    <c:autoTitleDeleted val="0"/>
    <c:plotArea>
      <c:lineChart>
        <c:grouping val="standard"/>
        <c:varyColors val="0"/>
        <c:ser>
          <c:idx val="0"/>
          <c:order val="0"/>
          <c:tx>
            <c:strRef>
              <c:f>'A4 Overhead and Timing'!A32</c:f>
              <c:strCache>
                <c:ptCount val="1"/>
                <c:pt idx="0">
                  <c:v>MemoryStore</c:v>
                </c:pt>
              </c:strCache>
            </c:strRef>
          </c:tx>
          <c:spPr>
            <a:solidFill>
              <a:srgbClr val="426fa6"/>
            </a:solidFill>
            <a:ln w="28440">
              <a:solidFill>
                <a:srgbClr val="426fa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'A4 Overhead and Timing'!$B$31:$F$31</c:f>
              <c:strCache>
                <c:ptCount val="5"/>
                <c:pt idx="0">
                  <c:v>16 KB</c:v>
                </c:pt>
                <c:pt idx="1">
                  <c:v>64 KB</c:v>
                </c:pt>
                <c:pt idx="2">
                  <c:v>256 KB</c:v>
                </c:pt>
                <c:pt idx="3">
                  <c:v>1024 KB</c:v>
                </c:pt>
                <c:pt idx="4">
                  <c:v>4096 KB</c:v>
                </c:pt>
              </c:strCache>
            </c:strRef>
          </c:cat>
          <c:val>
            <c:numRef>
              <c:f>'A4 Overhead and Timing'!$B$32:$F$32</c:f>
              <c:numCache>
                <c:formatCode>General</c:formatCode>
                <c:ptCount val="5"/>
                <c:pt idx="0">
                  <c:v>0.5524</c:v>
                </c:pt>
                <c:pt idx="1">
                  <c:v>0.5433</c:v>
                </c:pt>
                <c:pt idx="2">
                  <c:v>0.5541</c:v>
                </c:pt>
                <c:pt idx="3">
                  <c:v>0.5631</c:v>
                </c:pt>
                <c:pt idx="4">
                  <c:v>0.553</c:v>
                </c:pt>
              </c:numCache>
            </c:numRef>
          </c:val>
          <c:smooth val="1"/>
        </c:ser>
        <c:ser>
          <c:idx val="1"/>
          <c:order val="1"/>
          <c:tx>
            <c:strRef>
              <c:f>'A4 Overhead and Timing'!A33</c:f>
              <c:strCache>
                <c:ptCount val="1"/>
                <c:pt idx="0">
                  <c:v>FileStore</c:v>
                </c:pt>
              </c:strCache>
            </c:strRef>
          </c:tx>
          <c:spPr>
            <a:solidFill>
              <a:srgbClr val="aa433f"/>
            </a:solidFill>
            <a:ln w="28440">
              <a:solidFill>
                <a:srgbClr val="aa433f"/>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'A4 Overhead and Timing'!$B$31:$F$31</c:f>
              <c:strCache>
                <c:ptCount val="5"/>
                <c:pt idx="0">
                  <c:v>16 KB</c:v>
                </c:pt>
                <c:pt idx="1">
                  <c:v>64 KB</c:v>
                </c:pt>
                <c:pt idx="2">
                  <c:v>256 KB</c:v>
                </c:pt>
                <c:pt idx="3">
                  <c:v>1024 KB</c:v>
                </c:pt>
                <c:pt idx="4">
                  <c:v>4096 KB</c:v>
                </c:pt>
              </c:strCache>
            </c:strRef>
          </c:cat>
          <c:val>
            <c:numRef>
              <c:f>'A4 Overhead and Timing'!$B$33:$F$33</c:f>
              <c:numCache>
                <c:formatCode>General</c:formatCode>
                <c:ptCount val="5"/>
                <c:pt idx="0">
                  <c:v>0.5655</c:v>
                </c:pt>
                <c:pt idx="1">
                  <c:v>0.5518</c:v>
                </c:pt>
                <c:pt idx="2">
                  <c:v>0.5552</c:v>
                </c:pt>
                <c:pt idx="3">
                  <c:v>0.5617</c:v>
                </c:pt>
                <c:pt idx="4">
                  <c:v>0.5609</c:v>
                </c:pt>
              </c:numCache>
            </c:numRef>
          </c:val>
          <c:smooth val="1"/>
        </c:ser>
        <c:ser>
          <c:idx val="2"/>
          <c:order val="2"/>
          <c:tx>
            <c:strRef>
              <c:f>'A4 Overhead and Timing'!A34</c:f>
              <c:strCache>
                <c:ptCount val="1"/>
                <c:pt idx="0">
                  <c:v>CompressedStore</c:v>
                </c:pt>
              </c:strCache>
            </c:strRef>
          </c:tx>
          <c:spPr>
            <a:solidFill>
              <a:srgbClr val="87a44b"/>
            </a:solidFill>
            <a:ln w="28440">
              <a:solidFill>
                <a:srgbClr val="87a44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'A4 Overhead and Timing'!$B$31:$F$31</c:f>
              <c:strCache>
                <c:ptCount val="5"/>
                <c:pt idx="0">
                  <c:v>16 KB</c:v>
                </c:pt>
                <c:pt idx="1">
                  <c:v>64 KB</c:v>
                </c:pt>
                <c:pt idx="2">
                  <c:v>256 KB</c:v>
                </c:pt>
                <c:pt idx="3">
                  <c:v>1024 KB</c:v>
                </c:pt>
                <c:pt idx="4">
                  <c:v>4096 KB</c:v>
                </c:pt>
              </c:strCache>
            </c:strRef>
          </c:cat>
          <c:val>
            <c:numRef>
              <c:f>'A4 Overhead and Timing'!$B$34:$F$34</c:f>
              <c:numCache>
                <c:formatCode>General</c:formatCode>
                <c:ptCount val="5"/>
                <c:pt idx="0">
                  <c:v>0.5819</c:v>
                </c:pt>
                <c:pt idx="1">
                  <c:v>0.5901</c:v>
                </c:pt>
                <c:pt idx="2">
                  <c:v>0.5804</c:v>
                </c:pt>
                <c:pt idx="3">
                  <c:v>0.579</c:v>
                </c:pt>
                <c:pt idx="4">
                  <c:v>0.5787</c:v>
                </c:pt>
              </c:numCache>
            </c:numRef>
          </c:val>
          <c:smooth val="1"/>
        </c:ser>
        <c:ser>
          <c:idx val="3"/>
          <c:order val="3"/>
          <c:tx>
            <c:strRef>
              <c:f>'A4 Overhead and Timing'!A35</c:f>
              <c:strCache>
                <c:ptCount val="1"/>
                <c:pt idx="0">
                  <c:v>LossyStore lossless</c:v>
                </c:pt>
              </c:strCache>
            </c:strRef>
          </c:tx>
          <c:spPr>
            <a:solidFill>
              <a:srgbClr val="6f568d"/>
            </a:solidFill>
            <a:ln w="28440">
              <a:solidFill>
                <a:srgbClr val="6f568d"/>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'A4 Overhead and Timing'!$B$31:$F$31</c:f>
              <c:strCache>
                <c:ptCount val="5"/>
                <c:pt idx="0">
                  <c:v>16 KB</c:v>
                </c:pt>
                <c:pt idx="1">
                  <c:v>64 KB</c:v>
                </c:pt>
                <c:pt idx="2">
                  <c:v>256 KB</c:v>
                </c:pt>
                <c:pt idx="3">
                  <c:v>1024 KB</c:v>
                </c:pt>
                <c:pt idx="4">
                  <c:v>4096 KB</c:v>
                </c:pt>
              </c:strCache>
            </c:strRef>
          </c:cat>
          <c:val>
            <c:numRef>
              <c:f>'A4 Overhead and Timing'!$B$35:$F$35</c:f>
              <c:numCache>
                <c:formatCode>General</c:formatCode>
                <c:ptCount val="5"/>
                <c:pt idx="0">
                  <c:v>0.5962</c:v>
                </c:pt>
                <c:pt idx="1">
                  <c:v>0.5748</c:v>
                </c:pt>
                <c:pt idx="2">
                  <c:v>0.5822</c:v>
                </c:pt>
                <c:pt idx="3">
                  <c:v>0.5791</c:v>
                </c:pt>
                <c:pt idx="4">
                  <c:v>0.5741</c:v>
                </c:pt>
              </c:numCache>
            </c:numRef>
          </c:val>
          <c:smooth val="1"/>
        </c:ser>
        <c:ser>
          <c:idx val="4"/>
          <c:order val="4"/>
          <c:tx>
            <c:strRef>
              <c:f>'A4 Overhead and Timing'!A36</c:f>
              <c:strCache>
                <c:ptCount val="1"/>
                <c:pt idx="0">
                  <c:v>LossyStore 0.1%</c:v>
                </c:pt>
              </c:strCache>
            </c:strRef>
          </c:tx>
          <c:spPr>
            <a:solidFill>
              <a:srgbClr val="3d97af"/>
            </a:solidFill>
            <a:ln w="28440">
              <a:solidFill>
                <a:srgbClr val="3d97af"/>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'A4 Overhead and Timing'!$B$31:$F$31</c:f>
              <c:strCache>
                <c:ptCount val="5"/>
                <c:pt idx="0">
                  <c:v>16 KB</c:v>
                </c:pt>
                <c:pt idx="1">
                  <c:v>64 KB</c:v>
                </c:pt>
                <c:pt idx="2">
                  <c:v>256 KB</c:v>
                </c:pt>
                <c:pt idx="3">
                  <c:v>1024 KB</c:v>
                </c:pt>
                <c:pt idx="4">
                  <c:v>4096 KB</c:v>
                </c:pt>
              </c:strCache>
            </c:strRef>
          </c:cat>
          <c:val>
            <c:numRef>
              <c:f>'A4 Overhead and Timing'!$B$36:$F$36</c:f>
              <c:numCache>
                <c:formatCode>General</c:formatCode>
                <c:ptCount val="5"/>
                <c:pt idx="0">
                  <c:v>0.5848</c:v>
                </c:pt>
                <c:pt idx="1">
                  <c:v>0.5862</c:v>
                </c:pt>
                <c:pt idx="2">
                  <c:v>0.5772</c:v>
                </c:pt>
                <c:pt idx="3">
                  <c:v>0.5878</c:v>
                </c:pt>
                <c:pt idx="4">
                  <c:v>0.5764</c:v>
                </c:pt>
              </c:numCache>
            </c:numRef>
          </c:val>
          <c:smooth val="1"/>
        </c:ser>
        <c:ser>
          <c:idx val="5"/>
          <c:order val="5"/>
          <c:tx>
            <c:strRef>
              <c:f>'A4 Overhead and Timing'!A37</c:f>
              <c:strCache>
                <c:ptCount val="1"/>
                <c:pt idx="0">
                  <c:v>LossyStore 1%</c:v>
                </c:pt>
              </c:strCache>
            </c:strRef>
          </c:tx>
          <c:spPr>
            <a:solidFill>
              <a:srgbClr val="db8238"/>
            </a:solidFill>
            <a:ln w="28440">
              <a:solidFill>
                <a:srgbClr val="db823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'A4 Overhead and Timing'!$B$31:$F$31</c:f>
              <c:strCache>
                <c:ptCount val="5"/>
                <c:pt idx="0">
                  <c:v>16 KB</c:v>
                </c:pt>
                <c:pt idx="1">
                  <c:v>64 KB</c:v>
                </c:pt>
                <c:pt idx="2">
                  <c:v>256 KB</c:v>
                </c:pt>
                <c:pt idx="3">
                  <c:v>1024 KB</c:v>
                </c:pt>
                <c:pt idx="4">
                  <c:v>4096 KB</c:v>
                </c:pt>
              </c:strCache>
            </c:strRef>
          </c:cat>
          <c:val>
            <c:numRef>
              <c:f>'A4 Overhead and Timing'!$B$37:$F$37</c:f>
              <c:numCache>
                <c:formatCode>General</c:formatCode>
                <c:ptCount val="5"/>
                <c:pt idx="0">
                  <c:v>0.59</c:v>
                </c:pt>
                <c:pt idx="1">
                  <c:v>0.5725</c:v>
                </c:pt>
                <c:pt idx="2">
                  <c:v>0.5848</c:v>
                </c:pt>
                <c:pt idx="3">
                  <c:v>0.5993</c:v>
                </c:pt>
                <c:pt idx="4">
                  <c:v>0.5928</c:v>
                </c:pt>
              </c:numCache>
            </c:numRef>
          </c:val>
          <c:smooth val="1"/>
        </c:ser>
        <c:ser>
          <c:idx val="6"/>
          <c:order val="6"/>
          <c:tx>
            <c:strRef>
              <c:f>'A4 Overhead and Timing'!A38</c:f>
              <c:strCache>
                <c:ptCount val="1"/>
                <c:pt idx="0">
                  <c:v>LossyStore 5%</c:v>
                </c:pt>
              </c:strCache>
            </c:strRef>
          </c:tx>
          <c:spPr>
            <a:solidFill>
              <a:srgbClr val="8ea5ca"/>
            </a:solidFill>
            <a:ln w="28440">
              <a:solidFill>
                <a:srgbClr val="8ea5c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'A4 Overhead and Timing'!$B$31:$F$31</c:f>
              <c:strCache>
                <c:ptCount val="5"/>
                <c:pt idx="0">
                  <c:v>16 KB</c:v>
                </c:pt>
                <c:pt idx="1">
                  <c:v>64 KB</c:v>
                </c:pt>
                <c:pt idx="2">
                  <c:v>256 KB</c:v>
                </c:pt>
                <c:pt idx="3">
                  <c:v>1024 KB</c:v>
                </c:pt>
                <c:pt idx="4">
                  <c:v>4096 KB</c:v>
                </c:pt>
              </c:strCache>
            </c:strRef>
          </c:cat>
          <c:val>
            <c:numRef>
              <c:f>'A4 Overhead and Timing'!$B$38:$F$38</c:f>
              <c:numCache>
                <c:formatCode>General</c:formatCode>
                <c:ptCount val="5"/>
                <c:pt idx="0">
                  <c:v>0.6005</c:v>
                </c:pt>
                <c:pt idx="1">
                  <c:v>0.5857</c:v>
                </c:pt>
                <c:pt idx="2">
                  <c:v>0.591</c:v>
                </c:pt>
                <c:pt idx="3">
                  <c:v>0.5736</c:v>
                </c:pt>
                <c:pt idx="4">
                  <c:v>0.5785</c:v>
                </c:pt>
              </c:numCache>
            </c:numRef>
          </c:val>
          <c:smooth val="1"/>
        </c:ser>
        <c:hiLowLines>
          <c:spPr>
            <a:ln w="0">
              <a:noFill/>
            </a:ln>
          </c:spPr>
        </c:hiLowLines>
        <c:marker val="0"/>
        <c:axId val="34009458"/>
        <c:axId val="63293268"/>
      </c:lineChart>
      <c:catAx>
        <c:axId val="34009458"/>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unit size (KB)</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3293268"/>
        <c:crosses val="autoZero"/>
        <c:auto val="1"/>
        <c:lblAlgn val="ctr"/>
        <c:lblOffset val="100"/>
        <c:noMultiLvlLbl val="0"/>
      </c:catAx>
      <c:valAx>
        <c:axId val="63293268"/>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seconds</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4009458"/>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Decode time</a:t>
            </a:r>
          </a:p>
        </c:rich>
      </c:tx>
      <c:overlay val="0"/>
      <c:spPr>
        <a:noFill/>
        <a:ln w="0">
          <a:noFill/>
        </a:ln>
      </c:spPr>
    </c:title>
    <c:autoTitleDeleted val="0"/>
    <c:plotArea>
      <c:lineChart>
        <c:grouping val="standard"/>
        <c:varyColors val="0"/>
        <c:ser>
          <c:idx val="0"/>
          <c:order val="0"/>
          <c:tx>
            <c:strRef>
              <c:f>'A4 Overhead and Timing'!A45</c:f>
              <c:strCache>
                <c:ptCount val="1"/>
                <c:pt idx="0">
                  <c:v>MemoryStore</c:v>
                </c:pt>
              </c:strCache>
            </c:strRef>
          </c:tx>
          <c:spPr>
            <a:solidFill>
              <a:srgbClr val="426fa6"/>
            </a:solidFill>
            <a:ln w="28440">
              <a:solidFill>
                <a:srgbClr val="426fa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'A4 Overhead and Timing'!$B$44:$F$44</c:f>
              <c:strCache>
                <c:ptCount val="5"/>
                <c:pt idx="0">
                  <c:v>16 KB</c:v>
                </c:pt>
                <c:pt idx="1">
                  <c:v>64 KB</c:v>
                </c:pt>
                <c:pt idx="2">
                  <c:v>256 KB</c:v>
                </c:pt>
                <c:pt idx="3">
                  <c:v>1024 KB</c:v>
                </c:pt>
                <c:pt idx="4">
                  <c:v>4096 KB</c:v>
                </c:pt>
              </c:strCache>
            </c:strRef>
          </c:cat>
          <c:val>
            <c:numRef>
              <c:f>'A4 Overhead and Timing'!$B$45:$F$45</c:f>
              <c:numCache>
                <c:formatCode>General</c:formatCode>
                <c:ptCount val="5"/>
                <c:pt idx="0">
                  <c:v>0.4543</c:v>
                </c:pt>
                <c:pt idx="1">
                  <c:v>0.4761</c:v>
                </c:pt>
                <c:pt idx="2">
                  <c:v>0.447</c:v>
                </c:pt>
                <c:pt idx="3">
                  <c:v>0.4526</c:v>
                </c:pt>
                <c:pt idx="4">
                  <c:v>0.4386</c:v>
                </c:pt>
              </c:numCache>
            </c:numRef>
          </c:val>
          <c:smooth val="1"/>
        </c:ser>
        <c:ser>
          <c:idx val="1"/>
          <c:order val="1"/>
          <c:tx>
            <c:strRef>
              <c:f>'A4 Overhead and Timing'!A46</c:f>
              <c:strCache>
                <c:ptCount val="1"/>
                <c:pt idx="0">
                  <c:v>FileStore</c:v>
                </c:pt>
              </c:strCache>
            </c:strRef>
          </c:tx>
          <c:spPr>
            <a:solidFill>
              <a:srgbClr val="aa433f"/>
            </a:solidFill>
            <a:ln w="28440">
              <a:solidFill>
                <a:srgbClr val="aa433f"/>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'A4 Overhead and Timing'!$B$44:$F$44</c:f>
              <c:strCache>
                <c:ptCount val="5"/>
                <c:pt idx="0">
                  <c:v>16 KB</c:v>
                </c:pt>
                <c:pt idx="1">
                  <c:v>64 KB</c:v>
                </c:pt>
                <c:pt idx="2">
                  <c:v>256 KB</c:v>
                </c:pt>
                <c:pt idx="3">
                  <c:v>1024 KB</c:v>
                </c:pt>
                <c:pt idx="4">
                  <c:v>4096 KB</c:v>
                </c:pt>
              </c:strCache>
            </c:strRef>
          </c:cat>
          <c:val>
            <c:numRef>
              <c:f>'A4 Overhead and Timing'!$B$46:$F$46</c:f>
              <c:numCache>
                <c:formatCode>General</c:formatCode>
                <c:ptCount val="5"/>
                <c:pt idx="0">
                  <c:v>0.4276</c:v>
                </c:pt>
                <c:pt idx="1">
                  <c:v>0.4364</c:v>
                </c:pt>
                <c:pt idx="2">
                  <c:v>0.4543</c:v>
                </c:pt>
                <c:pt idx="3">
                  <c:v>0.437</c:v>
                </c:pt>
                <c:pt idx="4">
                  <c:v>0.4296</c:v>
                </c:pt>
              </c:numCache>
            </c:numRef>
          </c:val>
          <c:smooth val="1"/>
        </c:ser>
        <c:ser>
          <c:idx val="2"/>
          <c:order val="2"/>
          <c:tx>
            <c:strRef>
              <c:f>'A4 Overhead and Timing'!A47</c:f>
              <c:strCache>
                <c:ptCount val="1"/>
                <c:pt idx="0">
                  <c:v>CompressedStore</c:v>
                </c:pt>
              </c:strCache>
            </c:strRef>
          </c:tx>
          <c:spPr>
            <a:solidFill>
              <a:srgbClr val="87a44b"/>
            </a:solidFill>
            <a:ln w="28440">
              <a:solidFill>
                <a:srgbClr val="87a44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'A4 Overhead and Timing'!$B$44:$F$44</c:f>
              <c:strCache>
                <c:ptCount val="5"/>
                <c:pt idx="0">
                  <c:v>16 KB</c:v>
                </c:pt>
                <c:pt idx="1">
                  <c:v>64 KB</c:v>
                </c:pt>
                <c:pt idx="2">
                  <c:v>256 KB</c:v>
                </c:pt>
                <c:pt idx="3">
                  <c:v>1024 KB</c:v>
                </c:pt>
                <c:pt idx="4">
                  <c:v>4096 KB</c:v>
                </c:pt>
              </c:strCache>
            </c:strRef>
          </c:cat>
          <c:val>
            <c:numRef>
              <c:f>'A4 Overhead and Timing'!$B$47:$F$47</c:f>
              <c:numCache>
                <c:formatCode>General</c:formatCode>
                <c:ptCount val="5"/>
                <c:pt idx="0">
                  <c:v>0.4137</c:v>
                </c:pt>
                <c:pt idx="1">
                  <c:v>0.45</c:v>
                </c:pt>
                <c:pt idx="2">
                  <c:v>0.4496</c:v>
                </c:pt>
                <c:pt idx="3">
                  <c:v>0.4553</c:v>
                </c:pt>
                <c:pt idx="4">
                  <c:v>0.4638</c:v>
                </c:pt>
              </c:numCache>
            </c:numRef>
          </c:val>
          <c:smooth val="1"/>
        </c:ser>
        <c:ser>
          <c:idx val="3"/>
          <c:order val="3"/>
          <c:tx>
            <c:strRef>
              <c:f>'A4 Overhead and Timing'!A48</c:f>
              <c:strCache>
                <c:ptCount val="1"/>
                <c:pt idx="0">
                  <c:v>LossyStore lossless</c:v>
                </c:pt>
              </c:strCache>
            </c:strRef>
          </c:tx>
          <c:spPr>
            <a:solidFill>
              <a:srgbClr val="6f568d"/>
            </a:solidFill>
            <a:ln w="28440">
              <a:solidFill>
                <a:srgbClr val="6f568d"/>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'A4 Overhead and Timing'!$B$44:$F$44</c:f>
              <c:strCache>
                <c:ptCount val="5"/>
                <c:pt idx="0">
                  <c:v>16 KB</c:v>
                </c:pt>
                <c:pt idx="1">
                  <c:v>64 KB</c:v>
                </c:pt>
                <c:pt idx="2">
                  <c:v>256 KB</c:v>
                </c:pt>
                <c:pt idx="3">
                  <c:v>1024 KB</c:v>
                </c:pt>
                <c:pt idx="4">
                  <c:v>4096 KB</c:v>
                </c:pt>
              </c:strCache>
            </c:strRef>
          </c:cat>
          <c:val>
            <c:numRef>
              <c:f>'A4 Overhead and Timing'!$B$48:$F$48</c:f>
              <c:numCache>
                <c:formatCode>General</c:formatCode>
                <c:ptCount val="5"/>
                <c:pt idx="0">
                  <c:v>0.5092</c:v>
                </c:pt>
                <c:pt idx="1">
                  <c:v>0.4405</c:v>
                </c:pt>
                <c:pt idx="2">
                  <c:v>0.5088</c:v>
                </c:pt>
                <c:pt idx="3">
                  <c:v>0.4499</c:v>
                </c:pt>
                <c:pt idx="4">
                  <c:v>0.499</c:v>
                </c:pt>
              </c:numCache>
            </c:numRef>
          </c:val>
          <c:smooth val="1"/>
        </c:ser>
        <c:ser>
          <c:idx val="4"/>
          <c:order val="4"/>
          <c:tx>
            <c:strRef>
              <c:f>'A4 Overhead and Timing'!A49</c:f>
              <c:strCache>
                <c:ptCount val="1"/>
                <c:pt idx="0">
                  <c:v>LossyStore 0.1%</c:v>
                </c:pt>
              </c:strCache>
            </c:strRef>
          </c:tx>
          <c:spPr>
            <a:solidFill>
              <a:srgbClr val="3d97af"/>
            </a:solidFill>
            <a:ln w="28440">
              <a:solidFill>
                <a:srgbClr val="3d97af"/>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'A4 Overhead and Timing'!$B$44:$F$44</c:f>
              <c:strCache>
                <c:ptCount val="5"/>
                <c:pt idx="0">
                  <c:v>16 KB</c:v>
                </c:pt>
                <c:pt idx="1">
                  <c:v>64 KB</c:v>
                </c:pt>
                <c:pt idx="2">
                  <c:v>256 KB</c:v>
                </c:pt>
                <c:pt idx="3">
                  <c:v>1024 KB</c:v>
                </c:pt>
                <c:pt idx="4">
                  <c:v>4096 KB</c:v>
                </c:pt>
              </c:strCache>
            </c:strRef>
          </c:cat>
          <c:val>
            <c:numRef>
              <c:f>'A4 Overhead and Timing'!$B$49:$F$49</c:f>
              <c:numCache>
                <c:formatCode>General</c:formatCode>
                <c:ptCount val="5"/>
                <c:pt idx="0">
                  <c:v>0.3918</c:v>
                </c:pt>
                <c:pt idx="1">
                  <c:v>0.4162</c:v>
                </c:pt>
                <c:pt idx="2">
                  <c:v>0.4122</c:v>
                </c:pt>
                <c:pt idx="3">
                  <c:v>0.4121</c:v>
                </c:pt>
                <c:pt idx="4">
                  <c:v>0.43</c:v>
                </c:pt>
              </c:numCache>
            </c:numRef>
          </c:val>
          <c:smooth val="1"/>
        </c:ser>
        <c:ser>
          <c:idx val="5"/>
          <c:order val="5"/>
          <c:tx>
            <c:strRef>
              <c:f>'A4 Overhead and Timing'!A50</c:f>
              <c:strCache>
                <c:ptCount val="1"/>
                <c:pt idx="0">
                  <c:v>LossyStore 1%</c:v>
                </c:pt>
              </c:strCache>
            </c:strRef>
          </c:tx>
          <c:spPr>
            <a:solidFill>
              <a:srgbClr val="db8238"/>
            </a:solidFill>
            <a:ln w="28440">
              <a:solidFill>
                <a:srgbClr val="db823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'A4 Overhead and Timing'!$B$44:$F$44</c:f>
              <c:strCache>
                <c:ptCount val="5"/>
                <c:pt idx="0">
                  <c:v>16 KB</c:v>
                </c:pt>
                <c:pt idx="1">
                  <c:v>64 KB</c:v>
                </c:pt>
                <c:pt idx="2">
                  <c:v>256 KB</c:v>
                </c:pt>
                <c:pt idx="3">
                  <c:v>1024 KB</c:v>
                </c:pt>
                <c:pt idx="4">
                  <c:v>4096 KB</c:v>
                </c:pt>
              </c:strCache>
            </c:strRef>
          </c:cat>
          <c:val>
            <c:numRef>
              <c:f>'A4 Overhead and Timing'!$B$50:$F$50</c:f>
              <c:numCache>
                <c:formatCode>General</c:formatCode>
                <c:ptCount val="5"/>
                <c:pt idx="0">
                  <c:v>0.3887</c:v>
                </c:pt>
                <c:pt idx="1">
                  <c:v>0.3804</c:v>
                </c:pt>
                <c:pt idx="2">
                  <c:v>0.3945</c:v>
                </c:pt>
                <c:pt idx="3">
                  <c:v>0.4373</c:v>
                </c:pt>
                <c:pt idx="4">
                  <c:v>0.4478</c:v>
                </c:pt>
              </c:numCache>
            </c:numRef>
          </c:val>
          <c:smooth val="1"/>
        </c:ser>
        <c:ser>
          <c:idx val="6"/>
          <c:order val="6"/>
          <c:tx>
            <c:strRef>
              <c:f>'A4 Overhead and Timing'!A51</c:f>
              <c:strCache>
                <c:ptCount val="1"/>
                <c:pt idx="0">
                  <c:v>LossyStore 5%</c:v>
                </c:pt>
              </c:strCache>
            </c:strRef>
          </c:tx>
          <c:spPr>
            <a:solidFill>
              <a:srgbClr val="8ea5ca"/>
            </a:solidFill>
            <a:ln w="28440">
              <a:solidFill>
                <a:srgbClr val="8ea5c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'A4 Overhead and Timing'!$B$44:$F$44</c:f>
              <c:strCache>
                <c:ptCount val="5"/>
                <c:pt idx="0">
                  <c:v>16 KB</c:v>
                </c:pt>
                <c:pt idx="1">
                  <c:v>64 KB</c:v>
                </c:pt>
                <c:pt idx="2">
                  <c:v>256 KB</c:v>
                </c:pt>
                <c:pt idx="3">
                  <c:v>1024 KB</c:v>
                </c:pt>
                <c:pt idx="4">
                  <c:v>4096 KB</c:v>
                </c:pt>
              </c:strCache>
            </c:strRef>
          </c:cat>
          <c:val>
            <c:numRef>
              <c:f>'A4 Overhead and Timing'!$B$51:$F$51</c:f>
              <c:numCache>
                <c:formatCode>General</c:formatCode>
                <c:ptCount val="5"/>
                <c:pt idx="0">
                  <c:v>0.3995</c:v>
                </c:pt>
                <c:pt idx="1">
                  <c:v>0.3759</c:v>
                </c:pt>
                <c:pt idx="2">
                  <c:v>0.4066</c:v>
                </c:pt>
                <c:pt idx="3">
                  <c:v>0.4316</c:v>
                </c:pt>
                <c:pt idx="4">
                  <c:v>0.4488</c:v>
                </c:pt>
              </c:numCache>
            </c:numRef>
          </c:val>
          <c:smooth val="1"/>
        </c:ser>
        <c:hiLowLines>
          <c:spPr>
            <a:ln w="0">
              <a:noFill/>
            </a:ln>
          </c:spPr>
        </c:hiLowLines>
        <c:marker val="0"/>
        <c:axId val="62108759"/>
        <c:axId val="8542922"/>
      </c:lineChart>
      <c:catAx>
        <c:axId val="62108759"/>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unit size (KB)</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542922"/>
        <c:crosses val="autoZero"/>
        <c:auto val="1"/>
        <c:lblAlgn val="ctr"/>
        <c:lblOffset val="100"/>
        <c:noMultiLvlLbl val="0"/>
      </c:catAx>
      <c:valAx>
        <c:axId val="8542922"/>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seconds</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2108759"/>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producedPower: compression ratio against the accuracy bound</a:t>
            </a:r>
          </a:p>
        </c:rich>
      </c:tx>
      <c:overlay val="0"/>
      <c:spPr>
        <a:noFill/>
        <a:ln w="0">
          <a:noFill/>
        </a:ln>
      </c:spPr>
    </c:title>
    <c:autoTitleDeleted val="0"/>
    <c:plotArea>
      <c:lineChart>
        <c:grouping val="standard"/>
        <c:varyColors val="0"/>
        <c:ser>
          <c:idx val="0"/>
          <c:order val="0"/>
          <c:tx>
            <c:strRef>
              <c:f>'A5 Float Column Detail'!D6</c:f>
              <c:strCache>
                <c:ptCount val="1"/>
                <c:pt idx="0">
                  <c:v>x vs FLOAT64</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'A5 Float Column Detail'!$A$7:$A$15</c:f>
              <c:strCache>
                <c:ptCount val="9"/>
                <c:pt idx="0">
                  <c:v>0</c:v>
                </c:pt>
                <c:pt idx="1">
                  <c:v>0.01</c:v>
                </c:pt>
                <c:pt idx="2">
                  <c:v>0.1</c:v>
                </c:pt>
                <c:pt idx="3">
                  <c:v>0.5</c:v>
                </c:pt>
                <c:pt idx="4">
                  <c:v>1</c:v>
                </c:pt>
                <c:pt idx="5">
                  <c:v>2</c:v>
                </c:pt>
                <c:pt idx="6">
                  <c:v>5</c:v>
                </c:pt>
                <c:pt idx="7">
                  <c:v>10</c:v>
                </c:pt>
                <c:pt idx="8">
                  <c:v>20</c:v>
                </c:pt>
              </c:strCache>
            </c:strRef>
          </c:cat>
          <c:val>
            <c:numRef>
              <c:f>'A5 Float Column Detail'!$D$7:$D$15</c:f>
              <c:numCache>
                <c:formatCode>General</c:formatCode>
                <c:ptCount val="9"/>
                <c:pt idx="0">
                  <c:v>2.29277435773979</c:v>
                </c:pt>
                <c:pt idx="1">
                  <c:v>3.95662570755242</c:v>
                </c:pt>
                <c:pt idx="2">
                  <c:v>4.77076015719576</c:v>
                </c:pt>
                <c:pt idx="3">
                  <c:v>5.79908447411628</c:v>
                </c:pt>
                <c:pt idx="4">
                  <c:v>6.33385587383022</c:v>
                </c:pt>
                <c:pt idx="5">
                  <c:v>8.31639569212857</c:v>
                </c:pt>
                <c:pt idx="6">
                  <c:v>8.04501161492745</c:v>
                </c:pt>
                <c:pt idx="7">
                  <c:v>10.0983830045064</c:v>
                </c:pt>
                <c:pt idx="8">
                  <c:v>11.2579104015536</c:v>
                </c:pt>
              </c:numCache>
            </c:numRef>
          </c:val>
          <c:smooth val="1"/>
        </c:ser>
        <c:hiLowLines>
          <c:spPr>
            <a:ln w="0">
              <a:noFill/>
            </a:ln>
          </c:spPr>
        </c:hiLowLines>
        <c:marker val="0"/>
        <c:axId val="89396265"/>
        <c:axId val="76475374"/>
      </c:lineChart>
      <c:catAx>
        <c:axId val="89396265"/>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accuracy bound (%)</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6475374"/>
        <c:crosses val="autoZero"/>
        <c:auto val="1"/>
        <c:lblAlgn val="ctr"/>
        <c:lblOffset val="100"/>
        <c:noMultiLvlLbl val="0"/>
      </c:catAx>
      <c:valAx>
        <c:axId val="76475374"/>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x vs unencoded FLOAT64</a:t>
                </a:r>
              </a:p>
            </c:rich>
          </c:tx>
          <c:overlay val="0"/>
          <c:spPr>
            <a:noFill/>
            <a:ln w="0">
              <a:noFill/>
            </a:ln>
          </c:spPr>
        </c:title>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9396265"/>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producedPower: bits stored per value</a:t>
            </a:r>
          </a:p>
        </c:rich>
      </c:tx>
      <c:overlay val="0"/>
      <c:spPr>
        <a:noFill/>
        <a:ln w="0">
          <a:noFill/>
        </a:ln>
      </c:spPr>
    </c:title>
    <c:autoTitleDeleted val="0"/>
    <c:plotArea>
      <c:lineChart>
        <c:grouping val="standard"/>
        <c:varyColors val="0"/>
        <c:ser>
          <c:idx val="0"/>
          <c:order val="0"/>
          <c:tx>
            <c:strRef>
              <c:f>'A5 Float Column Detail'!C6</c:f>
              <c:strCache>
                <c:ptCount val="1"/>
                <c:pt idx="0">
                  <c:v>bits per value</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'A5 Float Column Detail'!$A$7:$A$15</c:f>
              <c:strCache>
                <c:ptCount val="9"/>
                <c:pt idx="0">
                  <c:v>0</c:v>
                </c:pt>
                <c:pt idx="1">
                  <c:v>0.01</c:v>
                </c:pt>
                <c:pt idx="2">
                  <c:v>0.1</c:v>
                </c:pt>
                <c:pt idx="3">
                  <c:v>0.5</c:v>
                </c:pt>
                <c:pt idx="4">
                  <c:v>1</c:v>
                </c:pt>
                <c:pt idx="5">
                  <c:v>2</c:v>
                </c:pt>
                <c:pt idx="6">
                  <c:v>5</c:v>
                </c:pt>
                <c:pt idx="7">
                  <c:v>10</c:v>
                </c:pt>
                <c:pt idx="8">
                  <c:v>20</c:v>
                </c:pt>
              </c:strCache>
            </c:strRef>
          </c:cat>
          <c:val>
            <c:numRef>
              <c:f>'A5 Float Column Detail'!$C$7:$C$15</c:f>
              <c:numCache>
                <c:formatCode>General</c:formatCode>
                <c:ptCount val="9"/>
                <c:pt idx="0">
                  <c:v>27.9137804310978</c:v>
                </c:pt>
                <c:pt idx="1">
                  <c:v>16.1753991230044</c:v>
                </c:pt>
                <c:pt idx="2">
                  <c:v>13.4150529247354</c:v>
                </c:pt>
                <c:pt idx="3">
                  <c:v>11.0362248188759</c:v>
                </c:pt>
                <c:pt idx="4">
                  <c:v>10.1044294778526</c:v>
                </c:pt>
                <c:pt idx="5">
                  <c:v>7.69564152179239</c:v>
                </c:pt>
                <c:pt idx="6">
                  <c:v>7.95524022379888</c:v>
                </c:pt>
                <c:pt idx="7">
                  <c:v>6.33764831175844</c:v>
                </c:pt>
                <c:pt idx="8">
                  <c:v>5.68489157554212</c:v>
                </c:pt>
              </c:numCache>
            </c:numRef>
          </c:val>
          <c:smooth val="1"/>
        </c:ser>
        <c:hiLowLines>
          <c:spPr>
            <a:ln w="0">
              <a:noFill/>
            </a:ln>
          </c:spPr>
        </c:hiLowLines>
        <c:marker val="0"/>
        <c:axId val="47273885"/>
        <c:axId val="86523726"/>
      </c:lineChart>
      <c:catAx>
        <c:axId val="47273885"/>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accuracy bound (%)</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6523726"/>
        <c:crosses val="autoZero"/>
        <c:auto val="1"/>
        <c:lblAlgn val="ctr"/>
        <c:lblOffset val="100"/>
        <c:noMultiLvlLbl val="0"/>
      </c:catAx>
      <c:valAx>
        <c:axId val="86523726"/>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bits per value</a:t>
                </a:r>
              </a:p>
            </c:rich>
          </c:tx>
          <c:overlay val="0"/>
          <c:spPr>
            <a:noFill/>
            <a:ln w="0">
              <a:noFill/>
            </a:ln>
          </c:spPr>
        </c:title>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7273885"/>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Share of the whole store this one column occupies</a:t>
            </a:r>
          </a:p>
        </c:rich>
      </c:tx>
      <c:overlay val="0"/>
      <c:spPr>
        <a:noFill/>
        <a:ln w="0">
          <a:noFill/>
        </a:ln>
      </c:spPr>
    </c:title>
    <c:autoTitleDeleted val="0"/>
    <c:plotArea>
      <c:barChart>
        <c:barDir val="col"/>
        <c:grouping val="clustered"/>
        <c:varyColors val="0"/>
        <c:ser>
          <c:idx val="0"/>
          <c:order val="0"/>
          <c:tx>
            <c:strRef>
              <c:f>'A5 Float Column Detail'!G6</c:f>
              <c:strCache>
                <c:ptCount val="1"/>
                <c:pt idx="0">
                  <c:v>share of whole store</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'A5 Float Column Detail'!$A$7:$A$15</c:f>
              <c:strCache>
                <c:ptCount val="9"/>
                <c:pt idx="0">
                  <c:v>0</c:v>
                </c:pt>
                <c:pt idx="1">
                  <c:v>0.01</c:v>
                </c:pt>
                <c:pt idx="2">
                  <c:v>0.1</c:v>
                </c:pt>
                <c:pt idx="3">
                  <c:v>0.5</c:v>
                </c:pt>
                <c:pt idx="4">
                  <c:v>1</c:v>
                </c:pt>
                <c:pt idx="5">
                  <c:v>2</c:v>
                </c:pt>
                <c:pt idx="6">
                  <c:v>5</c:v>
                </c:pt>
                <c:pt idx="7">
                  <c:v>10</c:v>
                </c:pt>
                <c:pt idx="8">
                  <c:v>20</c:v>
                </c:pt>
              </c:strCache>
            </c:strRef>
          </c:cat>
          <c:val>
            <c:numRef>
              <c:f>'A5 Float Column Detail'!$G$7:$G$15</c:f>
              <c:numCache>
                <c:formatCode>General</c:formatCode>
                <c:ptCount val="9"/>
                <c:pt idx="0">
                  <c:v>0.465534908046836</c:v>
                </c:pt>
                <c:pt idx="1">
                  <c:v>0.335434149853637</c:v>
                </c:pt>
                <c:pt idx="2">
                  <c:v>0.295083207661053</c:v>
                </c:pt>
                <c:pt idx="3">
                  <c:v>0.256161317187255</c:v>
                </c:pt>
                <c:pt idx="4">
                  <c:v>0.239718045754934</c:v>
                </c:pt>
                <c:pt idx="5">
                  <c:v>0.193637476247222</c:v>
                </c:pt>
                <c:pt idx="6">
                  <c:v>0.198870465513</c:v>
                </c:pt>
                <c:pt idx="7">
                  <c:v>0.1651094498019</c:v>
                </c:pt>
                <c:pt idx="8">
                  <c:v>0.15066590762844</c:v>
                </c:pt>
              </c:numCache>
            </c:numRef>
          </c:val>
        </c:ser>
        <c:gapWidth val="40"/>
        <c:overlap val="0"/>
        <c:axId val="35462912"/>
        <c:axId val="67356964"/>
      </c:barChart>
      <c:catAx>
        <c:axId val="35462912"/>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accuracy bound (%)</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7356964"/>
        <c:crosses val="autoZero"/>
        <c:auto val="1"/>
        <c:lblAlgn val="ctr"/>
        <c:lblOffset val="100"/>
        <c:noMultiLvlLbl val="0"/>
      </c:catAx>
      <c:valAx>
        <c:axId val="67356964"/>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share of all four columns</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5462912"/>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Bits per value after each stage (lossless omitted, see note)</a:t>
            </a:r>
          </a:p>
        </c:rich>
      </c:tx>
      <c:overlay val="0"/>
      <c:spPr>
        <a:noFill/>
        <a:ln w="0">
          <a:noFill/>
        </a:ln>
      </c:spPr>
    </c:title>
    <c:autoTitleDeleted val="0"/>
    <c:plotArea>
      <c:lineChart>
        <c:grouping val="standard"/>
        <c:varyColors val="0"/>
        <c:ser>
          <c:idx val="0"/>
          <c:order val="0"/>
          <c:tx>
            <c:strRef>
              <c:f>'A6 Lossy Stage Breakdown'!C6</c:f>
              <c:strCache>
                <c:ptCount val="1"/>
                <c:pt idx="0">
                  <c:v>after quantise+bitpack</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'A6 Lossy Stage Breakdown'!$A$8:$A$15</c:f>
              <c:strCache>
                <c:ptCount val="8"/>
                <c:pt idx="0">
                  <c:v>0.01</c:v>
                </c:pt>
                <c:pt idx="1">
                  <c:v>0.1</c:v>
                </c:pt>
                <c:pt idx="2">
                  <c:v>0.5</c:v>
                </c:pt>
                <c:pt idx="3">
                  <c:v>1</c:v>
                </c:pt>
                <c:pt idx="4">
                  <c:v>2</c:v>
                </c:pt>
                <c:pt idx="5">
                  <c:v>5</c:v>
                </c:pt>
                <c:pt idx="6">
                  <c:v>10</c:v>
                </c:pt>
                <c:pt idx="7">
                  <c:v>20</c:v>
                </c:pt>
              </c:strCache>
            </c:strRef>
          </c:cat>
          <c:val>
            <c:numRef>
              <c:f>'A6 Lossy Stage Breakdown'!$C$8:$C$15</c:f>
              <c:numCache>
                <c:formatCode>General</c:formatCode>
                <c:ptCount val="8"/>
                <c:pt idx="0">
                  <c:v>16.0152</c:v>
                </c:pt>
                <c:pt idx="1">
                  <c:v>12.5492</c:v>
                </c:pt>
                <c:pt idx="2">
                  <c:v>10.1345</c:v>
                </c:pt>
                <c:pt idx="3">
                  <c:v>9.1335</c:v>
                </c:pt>
                <c:pt idx="4">
                  <c:v>8.1322</c:v>
                </c:pt>
                <c:pt idx="5">
                  <c:v>7.0406</c:v>
                </c:pt>
                <c:pt idx="6">
                  <c:v>6.0628</c:v>
                </c:pt>
                <c:pt idx="7">
                  <c:v>5.0649</c:v>
                </c:pt>
              </c:numCache>
            </c:numRef>
          </c:val>
          <c:smooth val="1"/>
        </c:ser>
        <c:ser>
          <c:idx val="1"/>
          <c:order val="1"/>
          <c:tx>
            <c:strRef>
              <c:f>'A6 Lossy Stage Breakdown'!D6</c:f>
              <c:strCache>
                <c:ptCount val="1"/>
                <c:pt idx="0">
                  <c:v>after zstd</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'A6 Lossy Stage Breakdown'!$A$8:$A$15</c:f>
              <c:strCache>
                <c:ptCount val="8"/>
                <c:pt idx="0">
                  <c:v>0.01</c:v>
                </c:pt>
                <c:pt idx="1">
                  <c:v>0.1</c:v>
                </c:pt>
                <c:pt idx="2">
                  <c:v>0.5</c:v>
                </c:pt>
                <c:pt idx="3">
                  <c:v>1</c:v>
                </c:pt>
                <c:pt idx="4">
                  <c:v>2</c:v>
                </c:pt>
                <c:pt idx="5">
                  <c:v>5</c:v>
                </c:pt>
                <c:pt idx="6">
                  <c:v>10</c:v>
                </c:pt>
                <c:pt idx="7">
                  <c:v>20</c:v>
                </c:pt>
              </c:strCache>
            </c:strRef>
          </c:cat>
          <c:val>
            <c:numRef>
              <c:f>'A6 Lossy Stage Breakdown'!$D$8:$D$15</c:f>
              <c:numCache>
                <c:formatCode>General</c:formatCode>
                <c:ptCount val="8"/>
                <c:pt idx="0">
                  <c:v>15.1741</c:v>
                </c:pt>
                <c:pt idx="1">
                  <c:v>12.4138</c:v>
                </c:pt>
                <c:pt idx="2">
                  <c:v>10.0349</c:v>
                </c:pt>
                <c:pt idx="3">
                  <c:v>9.1032</c:v>
                </c:pt>
                <c:pt idx="4">
                  <c:v>6.6944</c:v>
                </c:pt>
                <c:pt idx="5">
                  <c:v>6.954</c:v>
                </c:pt>
                <c:pt idx="6">
                  <c:v>5.3364</c:v>
                </c:pt>
                <c:pt idx="7">
                  <c:v>4.6836</c:v>
                </c:pt>
              </c:numCache>
            </c:numRef>
          </c:val>
          <c:smooth val="1"/>
        </c:ser>
        <c:hiLowLines>
          <c:spPr>
            <a:ln w="0">
              <a:noFill/>
            </a:ln>
          </c:spPr>
        </c:hiLowLines>
        <c:marker val="0"/>
        <c:axId val="87659307"/>
        <c:axId val="6767383"/>
      </c:lineChart>
      <c:catAx>
        <c:axId val="87659307"/>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accuracy bound (%)</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767383"/>
        <c:crosses val="autoZero"/>
        <c:auto val="1"/>
        <c:lblAlgn val="ctr"/>
        <c:lblOffset val="100"/>
        <c:noMultiLvlLbl val="0"/>
      </c:catAx>
      <c:valAx>
        <c:axId val="6767383"/>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bits per value</a:t>
                </a:r>
              </a:p>
            </c:rich>
          </c:tx>
          <c:overlay val="0"/>
          <c:spPr>
            <a:noFill/>
            <a:ln w="0">
              <a:noFill/>
            </a:ln>
          </c:spPr>
        </c:title>
        <c:numFmt formatCode="0.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7659307"/>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Bits per value removed by the zstd pass</a:t>
            </a:r>
          </a:p>
        </c:rich>
      </c:tx>
      <c:overlay val="0"/>
      <c:spPr>
        <a:noFill/>
        <a:ln w="0">
          <a:noFill/>
        </a:ln>
      </c:spPr>
    </c:title>
    <c:autoTitleDeleted val="0"/>
    <c:plotArea>
      <c:barChart>
        <c:barDir val="col"/>
        <c:grouping val="clustered"/>
        <c:varyColors val="0"/>
        <c:ser>
          <c:idx val="0"/>
          <c:order val="0"/>
          <c:tx>
            <c:strRef>
              <c:f>'A6 Lossy Stage Breakdown'!E6</c:f>
              <c:strCache>
                <c:ptCount val="1"/>
                <c:pt idx="0">
                  <c:v>bits zstd removed</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'A6 Lossy Stage Breakdown'!$A$8:$A$15</c:f>
              <c:strCache>
                <c:ptCount val="8"/>
                <c:pt idx="0">
                  <c:v>0.01</c:v>
                </c:pt>
                <c:pt idx="1">
                  <c:v>0.1</c:v>
                </c:pt>
                <c:pt idx="2">
                  <c:v>0.5</c:v>
                </c:pt>
                <c:pt idx="3">
                  <c:v>1</c:v>
                </c:pt>
                <c:pt idx="4">
                  <c:v>2</c:v>
                </c:pt>
                <c:pt idx="5">
                  <c:v>5</c:v>
                </c:pt>
                <c:pt idx="6">
                  <c:v>10</c:v>
                </c:pt>
                <c:pt idx="7">
                  <c:v>20</c:v>
                </c:pt>
              </c:strCache>
            </c:strRef>
          </c:cat>
          <c:val>
            <c:numRef>
              <c:f>'A6 Lossy Stage Breakdown'!$E$8:$E$15</c:f>
              <c:numCache>
                <c:formatCode>General</c:formatCode>
                <c:ptCount val="8"/>
                <c:pt idx="0">
                  <c:v>0.841100000000001</c:v>
                </c:pt>
                <c:pt idx="1">
                  <c:v>0.135400000000001</c:v>
                </c:pt>
                <c:pt idx="2">
                  <c:v>0.0995999999999988</c:v>
                </c:pt>
                <c:pt idx="3">
                  <c:v>0.0303000000000004</c:v>
                </c:pt>
                <c:pt idx="4">
                  <c:v>1.4378</c:v>
                </c:pt>
                <c:pt idx="5">
                  <c:v>0.0866000000000007</c:v>
                </c:pt>
                <c:pt idx="6">
                  <c:v>0.7264</c:v>
                </c:pt>
                <c:pt idx="7">
                  <c:v>0.3813</c:v>
                </c:pt>
              </c:numCache>
            </c:numRef>
          </c:val>
        </c:ser>
        <c:gapWidth val="40"/>
        <c:overlap val="0"/>
        <c:axId val="45578998"/>
        <c:axId val="54961385"/>
      </c:barChart>
      <c:catAx>
        <c:axId val="45578998"/>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accuracy bound (%)</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4961385"/>
        <c:crosses val="autoZero"/>
        <c:auto val="1"/>
        <c:lblAlgn val="ctr"/>
        <c:lblOffset val="100"/>
        <c:noMultiLvlLbl val="0"/>
      </c:catAx>
      <c:valAx>
        <c:axId val="54961385"/>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bits per value</a:t>
                </a:r>
              </a:p>
            </c:rich>
          </c:tx>
          <c:overlay val="0"/>
          <c:spPr>
            <a:noFill/>
            <a:ln w="0">
              <a:noFill/>
            </a:ln>
          </c:spPr>
        </c:title>
        <c:numFmt formatCode="0.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5578998"/>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What each stage multiplied the ratio by</a:t>
            </a:r>
          </a:p>
        </c:rich>
      </c:tx>
      <c:overlay val="0"/>
      <c:spPr>
        <a:noFill/>
        <a:ln w="0">
          <a:noFill/>
        </a:ln>
      </c:spPr>
    </c:title>
    <c:autoTitleDeleted val="0"/>
    <c:plotArea>
      <c:lineChart>
        <c:grouping val="standard"/>
        <c:varyColors val="0"/>
        <c:ser>
          <c:idx val="0"/>
          <c:order val="0"/>
          <c:tx>
            <c:strRef>
              <c:f>'A6 Lossy Stage Breakdown'!F6</c:f>
              <c:strCache>
                <c:ptCount val="1"/>
                <c:pt idx="0">
                  <c:v>x from quantise+bitpack</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'A6 Lossy Stage Breakdown'!$A$7:$A$15</c:f>
              <c:strCache>
                <c:ptCount val="9"/>
                <c:pt idx="0">
                  <c:v>0</c:v>
                </c:pt>
                <c:pt idx="1">
                  <c:v>0.01</c:v>
                </c:pt>
                <c:pt idx="2">
                  <c:v>0.1</c:v>
                </c:pt>
                <c:pt idx="3">
                  <c:v>0.5</c:v>
                </c:pt>
                <c:pt idx="4">
                  <c:v>1</c:v>
                </c:pt>
                <c:pt idx="5">
                  <c:v>2</c:v>
                </c:pt>
                <c:pt idx="6">
                  <c:v>5</c:v>
                </c:pt>
                <c:pt idx="7">
                  <c:v>10</c:v>
                </c:pt>
                <c:pt idx="8">
                  <c:v>20</c:v>
                </c:pt>
              </c:strCache>
            </c:strRef>
          </c:cat>
          <c:val>
            <c:numRef>
              <c:f>'A6 Lossy Stage Breakdown'!$F$7:$F$15</c:f>
              <c:numCache>
                <c:formatCode>General</c:formatCode>
                <c:ptCount val="9"/>
                <c:pt idx="0">
                  <c:v>1</c:v>
                </c:pt>
                <c:pt idx="1">
                  <c:v>3.9962</c:v>
                </c:pt>
                <c:pt idx="2">
                  <c:v>5.0999</c:v>
                </c:pt>
                <c:pt idx="3">
                  <c:v>6.315</c:v>
                </c:pt>
                <c:pt idx="4">
                  <c:v>7.0072</c:v>
                </c:pt>
                <c:pt idx="5">
                  <c:v>7.8699</c:v>
                </c:pt>
                <c:pt idx="6">
                  <c:v>9.0901</c:v>
                </c:pt>
                <c:pt idx="7">
                  <c:v>10.5562</c:v>
                </c:pt>
                <c:pt idx="8">
                  <c:v>12.636</c:v>
                </c:pt>
              </c:numCache>
            </c:numRef>
          </c:val>
          <c:smooth val="1"/>
        </c:ser>
        <c:ser>
          <c:idx val="1"/>
          <c:order val="1"/>
          <c:tx>
            <c:strRef>
              <c:f>'A6 Lossy Stage Breakdown'!G6</c:f>
              <c:strCache>
                <c:ptCount val="1"/>
                <c:pt idx="0">
                  <c:v>x from zstd</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'A6 Lossy Stage Breakdown'!$A$7:$A$15</c:f>
              <c:strCache>
                <c:ptCount val="9"/>
                <c:pt idx="0">
                  <c:v>0</c:v>
                </c:pt>
                <c:pt idx="1">
                  <c:v>0.01</c:v>
                </c:pt>
                <c:pt idx="2">
                  <c:v>0.1</c:v>
                </c:pt>
                <c:pt idx="3">
                  <c:v>0.5</c:v>
                </c:pt>
                <c:pt idx="4">
                  <c:v>1</c:v>
                </c:pt>
                <c:pt idx="5">
                  <c:v>2</c:v>
                </c:pt>
                <c:pt idx="6">
                  <c:v>5</c:v>
                </c:pt>
                <c:pt idx="7">
                  <c:v>10</c:v>
                </c:pt>
                <c:pt idx="8">
                  <c:v>20</c:v>
                </c:pt>
              </c:strCache>
            </c:strRef>
          </c:cat>
          <c:val>
            <c:numRef>
              <c:f>'A6 Lossy Stage Breakdown'!$G$7:$G$15</c:f>
              <c:numCache>
                <c:formatCode>General</c:formatCode>
                <c:ptCount val="9"/>
                <c:pt idx="0">
                  <c:v>2.3781</c:v>
                </c:pt>
                <c:pt idx="1">
                  <c:v>1.0554</c:v>
                </c:pt>
                <c:pt idx="2">
                  <c:v>1.0109</c:v>
                </c:pt>
                <c:pt idx="3">
                  <c:v>1.0099</c:v>
                </c:pt>
                <c:pt idx="4">
                  <c:v>1.0033</c:v>
                </c:pt>
                <c:pt idx="5">
                  <c:v>1.2148</c:v>
                </c:pt>
                <c:pt idx="6">
                  <c:v>1.0125</c:v>
                </c:pt>
                <c:pt idx="7">
                  <c:v>1.1361</c:v>
                </c:pt>
                <c:pt idx="8">
                  <c:v>1.0814</c:v>
                </c:pt>
              </c:numCache>
            </c:numRef>
          </c:val>
          <c:smooth val="1"/>
        </c:ser>
        <c:hiLowLines>
          <c:spPr>
            <a:ln w="0">
              <a:noFill/>
            </a:ln>
          </c:spPr>
        </c:hiLowLines>
        <c:marker val="0"/>
        <c:axId val="52102571"/>
        <c:axId val="82766099"/>
      </c:lineChart>
      <c:catAx>
        <c:axId val="52102571"/>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accuracy bound (%)</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2766099"/>
        <c:crosses val="autoZero"/>
        <c:auto val="1"/>
        <c:lblAlgn val="ctr"/>
        <c:lblOffset val="100"/>
        <c:noMultiLvlLbl val="0"/>
      </c:catAx>
      <c:valAx>
        <c:axId val="82766099"/>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x</a:t>
                </a:r>
              </a:p>
            </c:rich>
          </c:tx>
          <c:overlay val="0"/>
          <c:spPr>
            <a:noFill/>
            <a:ln w="0">
              <a:noFill/>
            </a:ln>
          </c:spPr>
        </c:title>
        <c:numFmt formatCode="0.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2102571"/>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Share of groups where zstd was kept</a:t>
            </a:r>
          </a:p>
        </c:rich>
      </c:tx>
      <c:overlay val="0"/>
      <c:spPr>
        <a:noFill/>
        <a:ln w="0">
          <a:noFill/>
        </a:ln>
      </c:spPr>
    </c:title>
    <c:autoTitleDeleted val="0"/>
    <c:plotArea>
      <c:barChart>
        <c:barDir val="col"/>
        <c:grouping val="clustered"/>
        <c:varyColors val="0"/>
        <c:ser>
          <c:idx val="0"/>
          <c:order val="0"/>
          <c:tx>
            <c:strRef>
              <c:f>'A6 Lossy Stage Breakdown'!I6</c:f>
              <c:strCache>
                <c:ptCount val="1"/>
                <c:pt idx="0">
                  <c:v>zstd kept</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'A6 Lossy Stage Breakdown'!$A$7:$A$15</c:f>
              <c:strCache>
                <c:ptCount val="9"/>
                <c:pt idx="0">
                  <c:v>0</c:v>
                </c:pt>
                <c:pt idx="1">
                  <c:v>0.01</c:v>
                </c:pt>
                <c:pt idx="2">
                  <c:v>0.1</c:v>
                </c:pt>
                <c:pt idx="3">
                  <c:v>0.5</c:v>
                </c:pt>
                <c:pt idx="4">
                  <c:v>1</c:v>
                </c:pt>
                <c:pt idx="5">
                  <c:v>2</c:v>
                </c:pt>
                <c:pt idx="6">
                  <c:v>5</c:v>
                </c:pt>
                <c:pt idx="7">
                  <c:v>10</c:v>
                </c:pt>
                <c:pt idx="8">
                  <c:v>20</c:v>
                </c:pt>
              </c:strCache>
            </c:strRef>
          </c:cat>
          <c:val>
            <c:numRef>
              <c:f>'A6 Lossy Stage Breakdown'!$I$7:$I$15</c:f>
              <c:numCache>
                <c:formatCode>General</c:formatCode>
                <c:ptCount val="9"/>
                <c:pt idx="0">
                  <c:v>1</c:v>
                </c:pt>
                <c:pt idx="1">
                  <c:v>0.9535</c:v>
                </c:pt>
                <c:pt idx="2">
                  <c:v>0.5116</c:v>
                </c:pt>
                <c:pt idx="3">
                  <c:v>0.407</c:v>
                </c:pt>
                <c:pt idx="4">
                  <c:v>0.1163</c:v>
                </c:pt>
                <c:pt idx="5">
                  <c:v>0.9302</c:v>
                </c:pt>
                <c:pt idx="6">
                  <c:v>0.4302</c:v>
                </c:pt>
                <c:pt idx="7">
                  <c:v>1</c:v>
                </c:pt>
                <c:pt idx="8">
                  <c:v>1</c:v>
                </c:pt>
              </c:numCache>
            </c:numRef>
          </c:val>
        </c:ser>
        <c:gapWidth val="40"/>
        <c:overlap val="0"/>
        <c:axId val="57810440"/>
        <c:axId val="41602115"/>
      </c:barChart>
      <c:catAx>
        <c:axId val="57810440"/>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accuracy bound (%)</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1602115"/>
        <c:crosses val="autoZero"/>
        <c:auto val="1"/>
        <c:lblAlgn val="ctr"/>
        <c:lblOffset val="100"/>
        <c:noMultiLvlLbl val="0"/>
      </c:catAx>
      <c:valAx>
        <c:axId val="41602115"/>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share of groups</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7810440"/>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Standalone: encoded size (MiB)</a:t>
            </a:r>
          </a:p>
        </c:rich>
      </c:tx>
      <c:overlay val="0"/>
      <c:spPr>
        <a:noFill/>
        <a:ln w="0">
          <a:noFill/>
        </a:ln>
      </c:spPr>
    </c:title>
    <c:autoTitleDeleted val="0"/>
    <c:plotArea>
      <c:barChart>
        <c:barDir val="col"/>
        <c:grouping val="clustered"/>
        <c:varyColors val="0"/>
        <c:ser>
          <c:idx val="0"/>
          <c:order val="0"/>
          <c:tx>
            <c:strRef>
              <c:f>'A7 Bytes by Unit'!A7</c:f>
              <c:strCache>
                <c:ptCount val="1"/>
                <c:pt idx="0">
                  <c:v>MemoryStore</c:v>
                </c:pt>
              </c:strCache>
            </c:strRef>
          </c:tx>
          <c:spPr>
            <a:solidFill>
              <a:srgbClr val="4672a8"/>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'A7 Bytes by Unit'!$B$6:$F$6</c:f>
              <c:strCache>
                <c:ptCount val="5"/>
                <c:pt idx="0">
                  <c:v>16 KB</c:v>
                </c:pt>
                <c:pt idx="1">
                  <c:v>64 KB</c:v>
                </c:pt>
                <c:pt idx="2">
                  <c:v>256 KB</c:v>
                </c:pt>
                <c:pt idx="3">
                  <c:v>1024 KB</c:v>
                </c:pt>
                <c:pt idx="4">
                  <c:v>4096 KB</c:v>
                </c:pt>
              </c:strCache>
            </c:strRef>
          </c:cat>
          <c:val>
            <c:numRef>
              <c:f>'A7 Bytes by Unit'!$B$7:$F$7</c:f>
              <c:numCache>
                <c:formatCode>General</c:formatCode>
                <c:ptCount val="5"/>
                <c:pt idx="0">
                  <c:v>5.34060287475586</c:v>
                </c:pt>
                <c:pt idx="1">
                  <c:v>5.34060287475586</c:v>
                </c:pt>
                <c:pt idx="2">
                  <c:v>5.34060287475586</c:v>
                </c:pt>
                <c:pt idx="3">
                  <c:v>5.34060287475586</c:v>
                </c:pt>
                <c:pt idx="4">
                  <c:v>5.34060287475586</c:v>
                </c:pt>
              </c:numCache>
            </c:numRef>
          </c:val>
        </c:ser>
        <c:ser>
          <c:idx val="1"/>
          <c:order val="1"/>
          <c:tx>
            <c:strRef>
              <c:f>'A7 Bytes by Unit'!A8</c:f>
              <c:strCache>
                <c:ptCount val="1"/>
                <c:pt idx="0">
                  <c:v>FileStore</c:v>
                </c:pt>
              </c:strCache>
            </c:strRef>
          </c:tx>
          <c:spPr>
            <a:solidFill>
              <a:srgbClr val="ab4744"/>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'A7 Bytes by Unit'!$B$6:$F$6</c:f>
              <c:strCache>
                <c:ptCount val="5"/>
                <c:pt idx="0">
                  <c:v>16 KB</c:v>
                </c:pt>
                <c:pt idx="1">
                  <c:v>64 KB</c:v>
                </c:pt>
                <c:pt idx="2">
                  <c:v>256 KB</c:v>
                </c:pt>
                <c:pt idx="3">
                  <c:v>1024 KB</c:v>
                </c:pt>
                <c:pt idx="4">
                  <c:v>4096 KB</c:v>
                </c:pt>
              </c:strCache>
            </c:strRef>
          </c:cat>
          <c:val>
            <c:numRef>
              <c:f>'A7 Bytes by Unit'!$B$8:$F$8</c:f>
              <c:numCache>
                <c:formatCode>General</c:formatCode>
                <c:ptCount val="5"/>
                <c:pt idx="0">
                  <c:v>5.34060287475586</c:v>
                </c:pt>
                <c:pt idx="1">
                  <c:v>5.34060287475586</c:v>
                </c:pt>
                <c:pt idx="2">
                  <c:v>5.34060287475586</c:v>
                </c:pt>
                <c:pt idx="3">
                  <c:v>5.34060287475586</c:v>
                </c:pt>
                <c:pt idx="4">
                  <c:v>5.34060287475586</c:v>
                </c:pt>
              </c:numCache>
            </c:numRef>
          </c:val>
        </c:ser>
        <c:ser>
          <c:idx val="2"/>
          <c:order val="2"/>
          <c:tx>
            <c:strRef>
              <c:f>'A7 Bytes by Unit'!A9</c:f>
              <c:strCache>
                <c:ptCount val="1"/>
                <c:pt idx="0">
                  <c:v>CompressedStore</c:v>
                </c:pt>
              </c:strCache>
            </c:strRef>
          </c:tx>
          <c:spPr>
            <a:solidFill>
              <a:srgbClr val="8aa64f"/>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'A7 Bytes by Unit'!$B$6:$F$6</c:f>
              <c:strCache>
                <c:ptCount val="5"/>
                <c:pt idx="0">
                  <c:v>16 KB</c:v>
                </c:pt>
                <c:pt idx="1">
                  <c:v>64 KB</c:v>
                </c:pt>
                <c:pt idx="2">
                  <c:v>256 KB</c:v>
                </c:pt>
                <c:pt idx="3">
                  <c:v>1024 KB</c:v>
                </c:pt>
                <c:pt idx="4">
                  <c:v>4096 KB</c:v>
                </c:pt>
              </c:strCache>
            </c:strRef>
          </c:cat>
          <c:val>
            <c:numRef>
              <c:f>'A7 Bytes by Unit'!$B$9:$F$9</c:f>
              <c:numCache>
                <c:formatCode>General</c:formatCode>
                <c:ptCount val="5"/>
                <c:pt idx="0">
                  <c:v>1.68674564361572</c:v>
                </c:pt>
                <c:pt idx="1">
                  <c:v>1.63989734649658</c:v>
                </c:pt>
                <c:pt idx="2">
                  <c:v>1.63411426544189</c:v>
                </c:pt>
                <c:pt idx="3">
                  <c:v>1.63514709472656</c:v>
                </c:pt>
                <c:pt idx="4">
                  <c:v>1.63320064544678</c:v>
                </c:pt>
              </c:numCache>
            </c:numRef>
          </c:val>
        </c:ser>
        <c:ser>
          <c:idx val="3"/>
          <c:order val="3"/>
          <c:tx>
            <c:strRef>
              <c:f>'A7 Bytes by Unit'!A10</c:f>
              <c:strCache>
                <c:ptCount val="1"/>
                <c:pt idx="0">
                  <c:v>LossyStore lossless</c:v>
                </c:pt>
              </c:strCache>
            </c:strRef>
          </c:tx>
          <c:spPr>
            <a:solidFill>
              <a:srgbClr val="725990"/>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'A7 Bytes by Unit'!$B$6:$F$6</c:f>
              <c:strCache>
                <c:ptCount val="5"/>
                <c:pt idx="0">
                  <c:v>16 KB</c:v>
                </c:pt>
                <c:pt idx="1">
                  <c:v>64 KB</c:v>
                </c:pt>
                <c:pt idx="2">
                  <c:v>256 KB</c:v>
                </c:pt>
                <c:pt idx="3">
                  <c:v>1024 KB</c:v>
                </c:pt>
                <c:pt idx="4">
                  <c:v>4096 KB</c:v>
                </c:pt>
              </c:strCache>
            </c:strRef>
          </c:cat>
          <c:val>
            <c:numRef>
              <c:f>'A7 Bytes by Unit'!$B$10:$F$10</c:f>
              <c:numCache>
                <c:formatCode>General</c:formatCode>
                <c:ptCount val="5"/>
                <c:pt idx="0">
                  <c:v>1.15078449249268</c:v>
                </c:pt>
                <c:pt idx="1">
                  <c:v>1.42958068847656</c:v>
                </c:pt>
                <c:pt idx="2">
                  <c:v>1.30216217041016</c:v>
                </c:pt>
                <c:pt idx="3">
                  <c:v>1.48826789855957</c:v>
                </c:pt>
                <c:pt idx="4">
                  <c:v>1.18790340423584</c:v>
                </c:pt>
              </c:numCache>
            </c:numRef>
          </c:val>
        </c:ser>
        <c:ser>
          <c:idx val="4"/>
          <c:order val="4"/>
          <c:tx>
            <c:strRef>
              <c:f>'A7 Bytes by Unit'!A11</c:f>
              <c:strCache>
                <c:ptCount val="1"/>
                <c:pt idx="0">
                  <c:v>LossyStore 0.1%</c:v>
                </c:pt>
              </c:strCache>
            </c:strRef>
          </c:tx>
          <c:spPr>
            <a:solidFill>
              <a:srgbClr val="4299b0"/>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'A7 Bytes by Unit'!$B$6:$F$6</c:f>
              <c:strCache>
                <c:ptCount val="5"/>
                <c:pt idx="0">
                  <c:v>16 KB</c:v>
                </c:pt>
                <c:pt idx="1">
                  <c:v>64 KB</c:v>
                </c:pt>
                <c:pt idx="2">
                  <c:v>256 KB</c:v>
                </c:pt>
                <c:pt idx="3">
                  <c:v>1024 KB</c:v>
                </c:pt>
                <c:pt idx="4">
                  <c:v>4096 KB</c:v>
                </c:pt>
              </c:strCache>
            </c:strRef>
          </c:cat>
          <c:val>
            <c:numRef>
              <c:f>'A7 Bytes by Unit'!$B$11:$F$11</c:f>
              <c:numCache>
                <c:formatCode>General</c:formatCode>
                <c:ptCount val="5"/>
                <c:pt idx="0">
                  <c:v>0.771383285522461</c:v>
                </c:pt>
                <c:pt idx="1">
                  <c:v>1.08390235900879</c:v>
                </c:pt>
                <c:pt idx="2">
                  <c:v>0.97122859954834</c:v>
                </c:pt>
                <c:pt idx="3">
                  <c:v>1.15727996826172</c:v>
                </c:pt>
                <c:pt idx="4">
                  <c:v>0.855509757995606</c:v>
                </c:pt>
              </c:numCache>
            </c:numRef>
          </c:val>
        </c:ser>
        <c:ser>
          <c:idx val="5"/>
          <c:order val="5"/>
          <c:tx>
            <c:strRef>
              <c:f>'A7 Bytes by Unit'!A12</c:f>
              <c:strCache>
                <c:ptCount val="1"/>
                <c:pt idx="0">
                  <c:v>LossyStore 1%</c:v>
                </c:pt>
              </c:strCache>
            </c:strRef>
          </c:tx>
          <c:spPr>
            <a:solidFill>
              <a:srgbClr val="dc853e"/>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'A7 Bytes by Unit'!$B$6:$F$6</c:f>
              <c:strCache>
                <c:ptCount val="5"/>
                <c:pt idx="0">
                  <c:v>16 KB</c:v>
                </c:pt>
                <c:pt idx="1">
                  <c:v>64 KB</c:v>
                </c:pt>
                <c:pt idx="2">
                  <c:v>256 KB</c:v>
                </c:pt>
                <c:pt idx="3">
                  <c:v>1024 KB</c:v>
                </c:pt>
                <c:pt idx="4">
                  <c:v>4096 KB</c:v>
                </c:pt>
              </c:strCache>
            </c:strRef>
          </c:cat>
          <c:val>
            <c:numRef>
              <c:f>'A7 Bytes by Unit'!$B$12:$F$12</c:f>
              <c:numCache>
                <c:formatCode>General</c:formatCode>
                <c:ptCount val="5"/>
                <c:pt idx="0">
                  <c:v>0.696263313293457</c:v>
                </c:pt>
                <c:pt idx="1">
                  <c:v>1.00497055053711</c:v>
                </c:pt>
                <c:pt idx="2">
                  <c:v>0.877513885498047</c:v>
                </c:pt>
                <c:pt idx="3">
                  <c:v>1.06897449493408</c:v>
                </c:pt>
                <c:pt idx="4">
                  <c:v>0.769621849060059</c:v>
                </c:pt>
              </c:numCache>
            </c:numRef>
          </c:val>
        </c:ser>
        <c:ser>
          <c:idx val="6"/>
          <c:order val="6"/>
          <c:tx>
            <c:strRef>
              <c:f>'A7 Bytes by Unit'!A13</c:f>
              <c:strCache>
                <c:ptCount val="1"/>
                <c:pt idx="0">
                  <c:v>LossyStore 5%</c:v>
                </c:pt>
              </c:strCache>
            </c:strRef>
          </c:tx>
          <c:spPr>
            <a:solidFill>
              <a:srgbClr val="93a9ce"/>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'A7 Bytes by Unit'!$B$6:$F$6</c:f>
              <c:strCache>
                <c:ptCount val="5"/>
                <c:pt idx="0">
                  <c:v>16 KB</c:v>
                </c:pt>
                <c:pt idx="1">
                  <c:v>64 KB</c:v>
                </c:pt>
                <c:pt idx="2">
                  <c:v>256 KB</c:v>
                </c:pt>
                <c:pt idx="3">
                  <c:v>1024 KB</c:v>
                </c:pt>
                <c:pt idx="4">
                  <c:v>4096 KB</c:v>
                </c:pt>
              </c:strCache>
            </c:strRef>
          </c:cat>
          <c:val>
            <c:numRef>
              <c:f>'A7 Bytes by Unit'!$B$13:$F$13</c:f>
              <c:numCache>
                <c:formatCode>General</c:formatCode>
                <c:ptCount val="5"/>
                <c:pt idx="0">
                  <c:v>0.641535758972168</c:v>
                </c:pt>
                <c:pt idx="1">
                  <c:v>0.953729629516602</c:v>
                </c:pt>
                <c:pt idx="2">
                  <c:v>0.821158409118652</c:v>
                </c:pt>
                <c:pt idx="3">
                  <c:v>1.00308990478516</c:v>
                </c:pt>
                <c:pt idx="4">
                  <c:v>0.701102256774902</c:v>
                </c:pt>
              </c:numCache>
            </c:numRef>
          </c:val>
        </c:ser>
        <c:gapWidth val="60"/>
        <c:overlap val="0"/>
        <c:axId val="2591079"/>
        <c:axId val="72228581"/>
      </c:barChart>
      <c:catAx>
        <c:axId val="2591079"/>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unit size (KB)</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2228581"/>
        <c:crosses val="autoZero"/>
        <c:auto val="1"/>
        <c:lblAlgn val="ctr"/>
        <c:lblOffset val="100"/>
        <c:noMultiLvlLbl val="0"/>
      </c:catAx>
      <c:valAx>
        <c:axId val="72228581"/>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MiB</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591079"/>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Standalone: file size on disk (MiB)</a:t>
            </a:r>
          </a:p>
        </c:rich>
      </c:tx>
      <c:overlay val="0"/>
      <c:spPr>
        <a:noFill/>
        <a:ln w="0">
          <a:noFill/>
        </a:ln>
      </c:spPr>
    </c:title>
    <c:autoTitleDeleted val="0"/>
    <c:plotArea>
      <c:barChart>
        <c:barDir val="col"/>
        <c:grouping val="clustered"/>
        <c:varyColors val="0"/>
        <c:ser>
          <c:idx val="0"/>
          <c:order val="0"/>
          <c:tx>
            <c:strRef>
              <c:f>'A7 Bytes by Unit'!A21</c:f>
              <c:strCache>
                <c:ptCount val="1"/>
                <c:pt idx="0">
                  <c:v>MemoryStore</c:v>
                </c:pt>
              </c:strCache>
            </c:strRef>
          </c:tx>
          <c:spPr>
            <a:solidFill>
              <a:srgbClr val="4672a8"/>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'A7 Bytes by Unit'!$B$20:$F$20</c:f>
              <c:strCache>
                <c:ptCount val="5"/>
                <c:pt idx="0">
                  <c:v>16 KB</c:v>
                </c:pt>
                <c:pt idx="1">
                  <c:v>64 KB</c:v>
                </c:pt>
                <c:pt idx="2">
                  <c:v>256 KB</c:v>
                </c:pt>
                <c:pt idx="3">
                  <c:v>1024 KB</c:v>
                </c:pt>
                <c:pt idx="4">
                  <c:v>4096 KB</c:v>
                </c:pt>
              </c:strCache>
            </c:strRef>
          </c:cat>
          <c:val>
            <c:numRef>
              <c:f>'A7 Bytes by Unit'!$B$21:$F$21</c:f>
              <c:numCache>
                <c:formatCode>General</c:formatCode>
                <c:ptCount val="5"/>
                <c:pt idx="0">
                  <c:v>0</c:v>
                </c:pt>
                <c:pt idx="1">
                  <c:v>0</c:v>
                </c:pt>
                <c:pt idx="2">
                  <c:v>0</c:v>
                </c:pt>
                <c:pt idx="3">
                  <c:v>0</c:v>
                </c:pt>
                <c:pt idx="4">
                  <c:v>0</c:v>
                </c:pt>
              </c:numCache>
            </c:numRef>
          </c:val>
        </c:ser>
        <c:ser>
          <c:idx val="1"/>
          <c:order val="1"/>
          <c:tx>
            <c:strRef>
              <c:f>'A7 Bytes by Unit'!A22</c:f>
              <c:strCache>
                <c:ptCount val="1"/>
                <c:pt idx="0">
                  <c:v>FileStore</c:v>
                </c:pt>
              </c:strCache>
            </c:strRef>
          </c:tx>
          <c:spPr>
            <a:solidFill>
              <a:srgbClr val="ab4744"/>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'A7 Bytes by Unit'!$B$20:$F$20</c:f>
              <c:strCache>
                <c:ptCount val="5"/>
                <c:pt idx="0">
                  <c:v>16 KB</c:v>
                </c:pt>
                <c:pt idx="1">
                  <c:v>64 KB</c:v>
                </c:pt>
                <c:pt idx="2">
                  <c:v>256 KB</c:v>
                </c:pt>
                <c:pt idx="3">
                  <c:v>1024 KB</c:v>
                </c:pt>
                <c:pt idx="4">
                  <c:v>4096 KB</c:v>
                </c:pt>
              </c:strCache>
            </c:strRef>
          </c:cat>
          <c:val>
            <c:numRef>
              <c:f>'A7 Bytes by Unit'!$B$22:$F$22</c:f>
              <c:numCache>
                <c:formatCode>General</c:formatCode>
                <c:ptCount val="5"/>
                <c:pt idx="0">
                  <c:v>5.36085510253906</c:v>
                </c:pt>
                <c:pt idx="1">
                  <c:v>5.34620666503906</c:v>
                </c:pt>
                <c:pt idx="2">
                  <c:v>5.34254455566406</c:v>
                </c:pt>
                <c:pt idx="3">
                  <c:v>5.34162902832031</c:v>
                </c:pt>
                <c:pt idx="4">
                  <c:v>5.34140014648438</c:v>
                </c:pt>
              </c:numCache>
            </c:numRef>
          </c:val>
        </c:ser>
        <c:ser>
          <c:idx val="2"/>
          <c:order val="2"/>
          <c:tx>
            <c:strRef>
              <c:f>'A7 Bytes by Unit'!A23</c:f>
              <c:strCache>
                <c:ptCount val="1"/>
                <c:pt idx="0">
                  <c:v>CompressedStore</c:v>
                </c:pt>
              </c:strCache>
            </c:strRef>
          </c:tx>
          <c:spPr>
            <a:solidFill>
              <a:srgbClr val="8aa64f"/>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'A7 Bytes by Unit'!$B$20:$F$20</c:f>
              <c:strCache>
                <c:ptCount val="5"/>
                <c:pt idx="0">
                  <c:v>16 KB</c:v>
                </c:pt>
                <c:pt idx="1">
                  <c:v>64 KB</c:v>
                </c:pt>
                <c:pt idx="2">
                  <c:v>256 KB</c:v>
                </c:pt>
                <c:pt idx="3">
                  <c:v>1024 KB</c:v>
                </c:pt>
                <c:pt idx="4">
                  <c:v>4096 KB</c:v>
                </c:pt>
              </c:strCache>
            </c:strRef>
          </c:cat>
          <c:val>
            <c:numRef>
              <c:f>'A7 Bytes by Unit'!$B$23:$F$23</c:f>
              <c:numCache>
                <c:formatCode>General</c:formatCode>
                <c:ptCount val="5"/>
                <c:pt idx="0">
                  <c:v>1.70047855377197</c:v>
                </c:pt>
                <c:pt idx="1">
                  <c:v>1.64362049102783</c:v>
                </c:pt>
                <c:pt idx="2">
                  <c:v>1.63533496856689</c:v>
                </c:pt>
                <c:pt idx="3">
                  <c:v>1.6357421875</c:v>
                </c:pt>
                <c:pt idx="4">
                  <c:v>1.63363933563232</c:v>
                </c:pt>
              </c:numCache>
            </c:numRef>
          </c:val>
        </c:ser>
        <c:ser>
          <c:idx val="3"/>
          <c:order val="3"/>
          <c:tx>
            <c:strRef>
              <c:f>'A7 Bytes by Unit'!A24</c:f>
              <c:strCache>
                <c:ptCount val="1"/>
                <c:pt idx="0">
                  <c:v>LossyStore lossless</c:v>
                </c:pt>
              </c:strCache>
            </c:strRef>
          </c:tx>
          <c:spPr>
            <a:solidFill>
              <a:srgbClr val="725990"/>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'A7 Bytes by Unit'!$B$20:$F$20</c:f>
              <c:strCache>
                <c:ptCount val="5"/>
                <c:pt idx="0">
                  <c:v>16 KB</c:v>
                </c:pt>
                <c:pt idx="1">
                  <c:v>64 KB</c:v>
                </c:pt>
                <c:pt idx="2">
                  <c:v>256 KB</c:v>
                </c:pt>
                <c:pt idx="3">
                  <c:v>1024 KB</c:v>
                </c:pt>
                <c:pt idx="4">
                  <c:v>4096 KB</c:v>
                </c:pt>
              </c:strCache>
            </c:strRef>
          </c:cat>
          <c:val>
            <c:numRef>
              <c:f>'A7 Bytes by Unit'!$B$24:$F$24</c:f>
              <c:numCache>
                <c:formatCode>General</c:formatCode>
                <c:ptCount val="5"/>
                <c:pt idx="0">
                  <c:v>1.22811794281006</c:v>
                </c:pt>
                <c:pt idx="1">
                  <c:v>1.44929695129395</c:v>
                </c:pt>
                <c:pt idx="2">
                  <c:v>1.30747413635254</c:v>
                </c:pt>
                <c:pt idx="3">
                  <c:v>1.4899787902832</c:v>
                </c:pt>
                <c:pt idx="4">
                  <c:v>1.18871402740479</c:v>
                </c:pt>
              </c:numCache>
            </c:numRef>
          </c:val>
        </c:ser>
        <c:ser>
          <c:idx val="4"/>
          <c:order val="4"/>
          <c:tx>
            <c:strRef>
              <c:f>'A7 Bytes by Unit'!A25</c:f>
              <c:strCache>
                <c:ptCount val="1"/>
                <c:pt idx="0">
                  <c:v>LossyStore 0.1%</c:v>
                </c:pt>
              </c:strCache>
            </c:strRef>
          </c:tx>
          <c:spPr>
            <a:solidFill>
              <a:srgbClr val="4299b0"/>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'A7 Bytes by Unit'!$B$20:$F$20</c:f>
              <c:strCache>
                <c:ptCount val="5"/>
                <c:pt idx="0">
                  <c:v>16 KB</c:v>
                </c:pt>
                <c:pt idx="1">
                  <c:v>64 KB</c:v>
                </c:pt>
                <c:pt idx="2">
                  <c:v>256 KB</c:v>
                </c:pt>
                <c:pt idx="3">
                  <c:v>1024 KB</c:v>
                </c:pt>
                <c:pt idx="4">
                  <c:v>4096 KB</c:v>
                </c:pt>
              </c:strCache>
            </c:strRef>
          </c:cat>
          <c:val>
            <c:numRef>
              <c:f>'A7 Bytes by Unit'!$B$25:$F$25</c:f>
              <c:numCache>
                <c:formatCode>General</c:formatCode>
                <c:ptCount val="5"/>
                <c:pt idx="0">
                  <c:v>0.848716735839844</c:v>
                </c:pt>
                <c:pt idx="1">
                  <c:v>1.10361862182617</c:v>
                </c:pt>
                <c:pt idx="2">
                  <c:v>0.976540565490723</c:v>
                </c:pt>
                <c:pt idx="3">
                  <c:v>1.15899085998535</c:v>
                </c:pt>
                <c:pt idx="4">
                  <c:v>0.856320381164551</c:v>
                </c:pt>
              </c:numCache>
            </c:numRef>
          </c:val>
        </c:ser>
        <c:ser>
          <c:idx val="5"/>
          <c:order val="5"/>
          <c:tx>
            <c:strRef>
              <c:f>'A7 Bytes by Unit'!A26</c:f>
              <c:strCache>
                <c:ptCount val="1"/>
                <c:pt idx="0">
                  <c:v>LossyStore 1%</c:v>
                </c:pt>
              </c:strCache>
            </c:strRef>
          </c:tx>
          <c:spPr>
            <a:solidFill>
              <a:srgbClr val="dc853e"/>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'A7 Bytes by Unit'!$B$20:$F$20</c:f>
              <c:strCache>
                <c:ptCount val="5"/>
                <c:pt idx="0">
                  <c:v>16 KB</c:v>
                </c:pt>
                <c:pt idx="1">
                  <c:v>64 KB</c:v>
                </c:pt>
                <c:pt idx="2">
                  <c:v>256 KB</c:v>
                </c:pt>
                <c:pt idx="3">
                  <c:v>1024 KB</c:v>
                </c:pt>
                <c:pt idx="4">
                  <c:v>4096 KB</c:v>
                </c:pt>
              </c:strCache>
            </c:strRef>
          </c:cat>
          <c:val>
            <c:numRef>
              <c:f>'A7 Bytes by Unit'!$B$26:$F$26</c:f>
              <c:numCache>
                <c:formatCode>General</c:formatCode>
                <c:ptCount val="5"/>
                <c:pt idx="0">
                  <c:v>0.77359676361084</c:v>
                </c:pt>
                <c:pt idx="1">
                  <c:v>1.02468681335449</c:v>
                </c:pt>
                <c:pt idx="2">
                  <c:v>0.88282585144043</c:v>
                </c:pt>
                <c:pt idx="3">
                  <c:v>1.07068538665771</c:v>
                </c:pt>
                <c:pt idx="4">
                  <c:v>0.770432472229004</c:v>
                </c:pt>
              </c:numCache>
            </c:numRef>
          </c:val>
        </c:ser>
        <c:ser>
          <c:idx val="6"/>
          <c:order val="6"/>
          <c:tx>
            <c:strRef>
              <c:f>'A7 Bytes by Unit'!A27</c:f>
              <c:strCache>
                <c:ptCount val="1"/>
                <c:pt idx="0">
                  <c:v>LossyStore 5%</c:v>
                </c:pt>
              </c:strCache>
            </c:strRef>
          </c:tx>
          <c:spPr>
            <a:solidFill>
              <a:srgbClr val="93a9ce"/>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'A7 Bytes by Unit'!$B$20:$F$20</c:f>
              <c:strCache>
                <c:ptCount val="5"/>
                <c:pt idx="0">
                  <c:v>16 KB</c:v>
                </c:pt>
                <c:pt idx="1">
                  <c:v>64 KB</c:v>
                </c:pt>
                <c:pt idx="2">
                  <c:v>256 KB</c:v>
                </c:pt>
                <c:pt idx="3">
                  <c:v>1024 KB</c:v>
                </c:pt>
                <c:pt idx="4">
                  <c:v>4096 KB</c:v>
                </c:pt>
              </c:strCache>
            </c:strRef>
          </c:cat>
          <c:val>
            <c:numRef>
              <c:f>'A7 Bytes by Unit'!$B$27:$F$27</c:f>
              <c:numCache>
                <c:formatCode>General</c:formatCode>
                <c:ptCount val="5"/>
                <c:pt idx="0">
                  <c:v>0.718869209289551</c:v>
                </c:pt>
                <c:pt idx="1">
                  <c:v>0.973445892333984</c:v>
                </c:pt>
                <c:pt idx="2">
                  <c:v>0.826470375061035</c:v>
                </c:pt>
                <c:pt idx="3">
                  <c:v>1.00480079650879</c:v>
                </c:pt>
                <c:pt idx="4">
                  <c:v>0.701912879943848</c:v>
                </c:pt>
              </c:numCache>
            </c:numRef>
          </c:val>
        </c:ser>
        <c:gapWidth val="60"/>
        <c:overlap val="0"/>
        <c:axId val="31863955"/>
        <c:axId val="32027423"/>
      </c:barChart>
      <c:catAx>
        <c:axId val="31863955"/>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unit size (KB)</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2027423"/>
        <c:crosses val="autoZero"/>
        <c:auto val="1"/>
        <c:lblAlgn val="ctr"/>
        <c:lblOffset val="100"/>
        <c:noMultiLvlLbl val="0"/>
      </c:catAx>
      <c:valAx>
        <c:axId val="32027423"/>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MiB</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1863955"/>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Chained: total encoded size (MiB)</a:t>
            </a:r>
          </a:p>
        </c:rich>
      </c:tx>
      <c:overlay val="0"/>
      <c:spPr>
        <a:noFill/>
        <a:ln w="0">
          <a:noFill/>
        </a:ln>
      </c:spPr>
    </c:title>
    <c:autoTitleDeleted val="0"/>
    <c:plotArea>
      <c:barChart>
        <c:barDir val="col"/>
        <c:grouping val="clustered"/>
        <c:varyColors val="0"/>
        <c:ser>
          <c:idx val="0"/>
          <c:order val="0"/>
          <c:tx>
            <c:strRef>
              <c:f>'A7 Bytes by Unit'!A34</c:f>
              <c:strCache>
                <c:ptCount val="1"/>
                <c:pt idx="0">
                  <c:v>-&gt; CompressedStore</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'A7 Bytes by Unit'!$B$33:$F$33</c:f>
              <c:strCache>
                <c:ptCount val="5"/>
                <c:pt idx="0">
                  <c:v>16 KB</c:v>
                </c:pt>
                <c:pt idx="1">
                  <c:v>64 KB</c:v>
                </c:pt>
                <c:pt idx="2">
                  <c:v>256 KB</c:v>
                </c:pt>
                <c:pt idx="3">
                  <c:v>1024 KB</c:v>
                </c:pt>
                <c:pt idx="4">
                  <c:v>4096 KB</c:v>
                </c:pt>
              </c:strCache>
            </c:strRef>
          </c:cat>
          <c:val>
            <c:numRef>
              <c:f>'A7 Bytes by Unit'!$B$34:$F$34</c:f>
              <c:numCache>
                <c:formatCode>General</c:formatCode>
                <c:ptCount val="5"/>
                <c:pt idx="0">
                  <c:v>1.91433238983154</c:v>
                </c:pt>
                <c:pt idx="1">
                  <c:v>1.88225936889648</c:v>
                </c:pt>
                <c:pt idx="2">
                  <c:v>1.87899494171143</c:v>
                </c:pt>
                <c:pt idx="3">
                  <c:v>1.87828731536865</c:v>
                </c:pt>
                <c:pt idx="4">
                  <c:v>1.87633037567139</c:v>
                </c:pt>
              </c:numCache>
            </c:numRef>
          </c:val>
        </c:ser>
        <c:ser>
          <c:idx val="1"/>
          <c:order val="1"/>
          <c:tx>
            <c:strRef>
              <c:f>'A7 Bytes by Unit'!A35</c:f>
              <c:strCache>
                <c:ptCount val="1"/>
                <c:pt idx="0">
                  <c:v>-&gt; LossyStore lossless</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'A7 Bytes by Unit'!$B$33:$F$33</c:f>
              <c:strCache>
                <c:ptCount val="5"/>
                <c:pt idx="0">
                  <c:v>16 KB</c:v>
                </c:pt>
                <c:pt idx="1">
                  <c:v>64 KB</c:v>
                </c:pt>
                <c:pt idx="2">
                  <c:v>256 KB</c:v>
                </c:pt>
                <c:pt idx="3">
                  <c:v>1024 KB</c:v>
                </c:pt>
                <c:pt idx="4">
                  <c:v>4096 KB</c:v>
                </c:pt>
              </c:strCache>
            </c:strRef>
          </c:cat>
          <c:val>
            <c:numRef>
              <c:f>'A7 Bytes by Unit'!$B$35:$F$35</c:f>
              <c:numCache>
                <c:formatCode>General</c:formatCode>
                <c:ptCount val="5"/>
                <c:pt idx="0">
                  <c:v>1.40841388702393</c:v>
                </c:pt>
                <c:pt idx="1">
                  <c:v>1.68509101867676</c:v>
                </c:pt>
                <c:pt idx="2">
                  <c:v>1.56488990783691</c:v>
                </c:pt>
                <c:pt idx="3">
                  <c:v>1.7526683807373</c:v>
                </c:pt>
                <c:pt idx="4">
                  <c:v>1.43854713439941</c:v>
                </c:pt>
              </c:numCache>
            </c:numRef>
          </c:val>
        </c:ser>
        <c:ser>
          <c:idx val="2"/>
          <c:order val="2"/>
          <c:tx>
            <c:strRef>
              <c:f>'A7 Bytes by Unit'!A36</c:f>
              <c:strCache>
                <c:ptCount val="1"/>
                <c:pt idx="0">
                  <c:v>-&gt; LossyStore 0.1%</c:v>
                </c:pt>
              </c:strCache>
            </c:strRef>
          </c:tx>
          <c:spPr>
            <a:solidFill>
              <a:srgbClr val="9bbb59"/>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'A7 Bytes by Unit'!$B$33:$F$33</c:f>
              <c:strCache>
                <c:ptCount val="5"/>
                <c:pt idx="0">
                  <c:v>16 KB</c:v>
                </c:pt>
                <c:pt idx="1">
                  <c:v>64 KB</c:v>
                </c:pt>
                <c:pt idx="2">
                  <c:v>256 KB</c:v>
                </c:pt>
                <c:pt idx="3">
                  <c:v>1024 KB</c:v>
                </c:pt>
                <c:pt idx="4">
                  <c:v>4096 KB</c:v>
                </c:pt>
              </c:strCache>
            </c:strRef>
          </c:cat>
          <c:val>
            <c:numRef>
              <c:f>'A7 Bytes by Unit'!$B$36:$F$36</c:f>
              <c:numCache>
                <c:formatCode>General</c:formatCode>
                <c:ptCount val="5"/>
                <c:pt idx="0">
                  <c:v>1.05982685089111</c:v>
                </c:pt>
                <c:pt idx="1">
                  <c:v>1.36206722259521</c:v>
                </c:pt>
                <c:pt idx="2">
                  <c:v>1.25600719451904</c:v>
                </c:pt>
                <c:pt idx="3">
                  <c:v>1.44336986541748</c:v>
                </c:pt>
                <c:pt idx="4">
                  <c:v>1.12798500061035</c:v>
                </c:pt>
              </c:numCache>
            </c:numRef>
          </c:val>
        </c:ser>
        <c:ser>
          <c:idx val="3"/>
          <c:order val="3"/>
          <c:tx>
            <c:strRef>
              <c:f>'A7 Bytes by Unit'!A37</c:f>
              <c:strCache>
                <c:ptCount val="1"/>
                <c:pt idx="0">
                  <c:v>-&gt; LossyStore 1%</c:v>
                </c:pt>
              </c:strCache>
            </c:strRef>
          </c:tx>
          <c:spPr>
            <a:solidFill>
              <a:srgbClr val="8064a2"/>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'A7 Bytes by Unit'!$B$33:$F$33</c:f>
              <c:strCache>
                <c:ptCount val="5"/>
                <c:pt idx="0">
                  <c:v>16 KB</c:v>
                </c:pt>
                <c:pt idx="1">
                  <c:v>64 KB</c:v>
                </c:pt>
                <c:pt idx="2">
                  <c:v>256 KB</c:v>
                </c:pt>
                <c:pt idx="3">
                  <c:v>1024 KB</c:v>
                </c:pt>
                <c:pt idx="4">
                  <c:v>4096 KB</c:v>
                </c:pt>
              </c:strCache>
            </c:strRef>
          </c:cat>
          <c:val>
            <c:numRef>
              <c:f>'A7 Bytes by Unit'!$B$37:$F$37</c:f>
              <c:numCache>
                <c:formatCode>General</c:formatCode>
                <c:ptCount val="5"/>
                <c:pt idx="0">
                  <c:v>0.989638328552246</c:v>
                </c:pt>
                <c:pt idx="1">
                  <c:v>1.28849697113037</c:v>
                </c:pt>
                <c:pt idx="2">
                  <c:v>1.1681604385376</c:v>
                </c:pt>
                <c:pt idx="3">
                  <c:v>1.36129951477051</c:v>
                </c:pt>
                <c:pt idx="4">
                  <c:v>1.04764270782471</c:v>
                </c:pt>
              </c:numCache>
            </c:numRef>
          </c:val>
        </c:ser>
        <c:ser>
          <c:idx val="4"/>
          <c:order val="4"/>
          <c:tx>
            <c:strRef>
              <c:f>'A7 Bytes by Unit'!A38</c:f>
              <c:strCache>
                <c:ptCount val="1"/>
                <c:pt idx="0">
                  <c:v>-&gt; LossyStore 5%</c:v>
                </c:pt>
              </c:strCache>
            </c:strRef>
          </c:tx>
          <c:spPr>
            <a:solidFill>
              <a:srgbClr val="4bacc6"/>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'A7 Bytes by Unit'!$B$33:$F$33</c:f>
              <c:strCache>
                <c:ptCount val="5"/>
                <c:pt idx="0">
                  <c:v>16 KB</c:v>
                </c:pt>
                <c:pt idx="1">
                  <c:v>64 KB</c:v>
                </c:pt>
                <c:pt idx="2">
                  <c:v>256 KB</c:v>
                </c:pt>
                <c:pt idx="3">
                  <c:v>1024 KB</c:v>
                </c:pt>
                <c:pt idx="4">
                  <c:v>4096 KB</c:v>
                </c:pt>
              </c:strCache>
            </c:strRef>
          </c:cat>
          <c:val>
            <c:numRef>
              <c:f>'A7 Bytes by Unit'!$B$38:$F$38</c:f>
              <c:numCache>
                <c:formatCode>General</c:formatCode>
                <c:ptCount val="5"/>
                <c:pt idx="0">
                  <c:v>0.939950942993164</c:v>
                </c:pt>
                <c:pt idx="1">
                  <c:v>1.2405891418457</c:v>
                </c:pt>
                <c:pt idx="2">
                  <c:v>1.11528301239014</c:v>
                </c:pt>
                <c:pt idx="3">
                  <c:v>1.29910945892334</c:v>
                </c:pt>
                <c:pt idx="4">
                  <c:v>0.983695030212402</c:v>
                </c:pt>
              </c:numCache>
            </c:numRef>
          </c:val>
        </c:ser>
        <c:gapWidth val="60"/>
        <c:overlap val="0"/>
        <c:axId val="20384285"/>
        <c:axId val="3634296"/>
      </c:barChart>
      <c:catAx>
        <c:axId val="20384285"/>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unit size (KB)</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634296"/>
        <c:crosses val="autoZero"/>
        <c:auto val="1"/>
        <c:lblAlgn val="ctr"/>
        <c:lblOffset val="100"/>
        <c:noMultiLvlLbl val="0"/>
      </c:catAx>
      <c:valAx>
        <c:axId val="3634296"/>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MiB</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0384285"/>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Chained: bytes FileStore keeps raw (MiB)</a:t>
            </a:r>
          </a:p>
        </c:rich>
      </c:tx>
      <c:overlay val="0"/>
      <c:spPr>
        <a:noFill/>
        <a:ln w="0">
          <a:noFill/>
        </a:ln>
      </c:spPr>
    </c:title>
    <c:autoTitleDeleted val="0"/>
    <c:plotArea>
      <c:barChart>
        <c:barDir val="col"/>
        <c:grouping val="clustered"/>
        <c:varyColors val="0"/>
        <c:ser>
          <c:idx val="0"/>
          <c:order val="0"/>
          <c:tx>
            <c:strRef>
              <c:f>'A7 Bytes by Unit'!A42</c:f>
              <c:strCache>
                <c:ptCount val="1"/>
                <c:pt idx="0">
                  <c:v>-&gt; CompressedStore</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'A7 Bytes by Unit'!$B$41:$F$41</c:f>
              <c:strCache>
                <c:ptCount val="5"/>
                <c:pt idx="0">
                  <c:v>16 KB</c:v>
                </c:pt>
                <c:pt idx="1">
                  <c:v>64 KB</c:v>
                </c:pt>
                <c:pt idx="2">
                  <c:v>256 KB</c:v>
                </c:pt>
                <c:pt idx="3">
                  <c:v>1024 KB</c:v>
                </c:pt>
                <c:pt idx="4">
                  <c:v>4096 KB</c:v>
                </c:pt>
              </c:strCache>
            </c:strRef>
          </c:cat>
          <c:val>
            <c:numRef>
              <c:f>'A7 Bytes by Unit'!$B$42:$F$42</c:f>
              <c:numCache>
                <c:formatCode>General</c:formatCode>
                <c:ptCount val="5"/>
                <c:pt idx="0">
                  <c:v>0.350234985351563</c:v>
                </c:pt>
                <c:pt idx="1">
                  <c:v>0.350234985351563</c:v>
                </c:pt>
                <c:pt idx="2">
                  <c:v>0.350234985351563</c:v>
                </c:pt>
                <c:pt idx="3">
                  <c:v>0.350234985351563</c:v>
                </c:pt>
                <c:pt idx="4">
                  <c:v>0.350234985351563</c:v>
                </c:pt>
              </c:numCache>
            </c:numRef>
          </c:val>
        </c:ser>
        <c:ser>
          <c:idx val="1"/>
          <c:order val="1"/>
          <c:tx>
            <c:strRef>
              <c:f>'A7 Bytes by Unit'!A43</c:f>
              <c:strCache>
                <c:ptCount val="1"/>
                <c:pt idx="0">
                  <c:v>-&gt; LossyStore lossless</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'A7 Bytes by Unit'!$B$41:$F$41</c:f>
              <c:strCache>
                <c:ptCount val="5"/>
                <c:pt idx="0">
                  <c:v>16 KB</c:v>
                </c:pt>
                <c:pt idx="1">
                  <c:v>64 KB</c:v>
                </c:pt>
                <c:pt idx="2">
                  <c:v>256 KB</c:v>
                </c:pt>
                <c:pt idx="3">
                  <c:v>1024 KB</c:v>
                </c:pt>
                <c:pt idx="4">
                  <c:v>4096 KB</c:v>
                </c:pt>
              </c:strCache>
            </c:strRef>
          </c:cat>
          <c:val>
            <c:numRef>
              <c:f>'A7 Bytes by Unit'!$B$43:$F$43</c:f>
              <c:numCache>
                <c:formatCode>General</c:formatCode>
                <c:ptCount val="5"/>
                <c:pt idx="0">
                  <c:v>0.350234985351563</c:v>
                </c:pt>
                <c:pt idx="1">
                  <c:v>0.350234985351563</c:v>
                </c:pt>
                <c:pt idx="2">
                  <c:v>0.350234985351563</c:v>
                </c:pt>
                <c:pt idx="3">
                  <c:v>0.350234985351563</c:v>
                </c:pt>
                <c:pt idx="4">
                  <c:v>0.350234985351563</c:v>
                </c:pt>
              </c:numCache>
            </c:numRef>
          </c:val>
        </c:ser>
        <c:ser>
          <c:idx val="2"/>
          <c:order val="2"/>
          <c:tx>
            <c:strRef>
              <c:f>'A7 Bytes by Unit'!A44</c:f>
              <c:strCache>
                <c:ptCount val="1"/>
                <c:pt idx="0">
                  <c:v>-&gt; LossyStore 0.1%</c:v>
                </c:pt>
              </c:strCache>
            </c:strRef>
          </c:tx>
          <c:spPr>
            <a:solidFill>
              <a:srgbClr val="9bbb59"/>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'A7 Bytes by Unit'!$B$41:$F$41</c:f>
              <c:strCache>
                <c:ptCount val="5"/>
                <c:pt idx="0">
                  <c:v>16 KB</c:v>
                </c:pt>
                <c:pt idx="1">
                  <c:v>64 KB</c:v>
                </c:pt>
                <c:pt idx="2">
                  <c:v>256 KB</c:v>
                </c:pt>
                <c:pt idx="3">
                  <c:v>1024 KB</c:v>
                </c:pt>
                <c:pt idx="4">
                  <c:v>4096 KB</c:v>
                </c:pt>
              </c:strCache>
            </c:strRef>
          </c:cat>
          <c:val>
            <c:numRef>
              <c:f>'A7 Bytes by Unit'!$B$44:$F$44</c:f>
              <c:numCache>
                <c:formatCode>General</c:formatCode>
                <c:ptCount val="5"/>
                <c:pt idx="0">
                  <c:v>0.350234985351563</c:v>
                </c:pt>
                <c:pt idx="1">
                  <c:v>0.350234985351563</c:v>
                </c:pt>
                <c:pt idx="2">
                  <c:v>0.350234985351563</c:v>
                </c:pt>
                <c:pt idx="3">
                  <c:v>0.350234985351563</c:v>
                </c:pt>
                <c:pt idx="4">
                  <c:v>0.350234985351563</c:v>
                </c:pt>
              </c:numCache>
            </c:numRef>
          </c:val>
        </c:ser>
        <c:ser>
          <c:idx val="3"/>
          <c:order val="3"/>
          <c:tx>
            <c:strRef>
              <c:f>'A7 Bytes by Unit'!A45</c:f>
              <c:strCache>
                <c:ptCount val="1"/>
                <c:pt idx="0">
                  <c:v>-&gt; LossyStore 1%</c:v>
                </c:pt>
              </c:strCache>
            </c:strRef>
          </c:tx>
          <c:spPr>
            <a:solidFill>
              <a:srgbClr val="8064a2"/>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'A7 Bytes by Unit'!$B$41:$F$41</c:f>
              <c:strCache>
                <c:ptCount val="5"/>
                <c:pt idx="0">
                  <c:v>16 KB</c:v>
                </c:pt>
                <c:pt idx="1">
                  <c:v>64 KB</c:v>
                </c:pt>
                <c:pt idx="2">
                  <c:v>256 KB</c:v>
                </c:pt>
                <c:pt idx="3">
                  <c:v>1024 KB</c:v>
                </c:pt>
                <c:pt idx="4">
                  <c:v>4096 KB</c:v>
                </c:pt>
              </c:strCache>
            </c:strRef>
          </c:cat>
          <c:val>
            <c:numRef>
              <c:f>'A7 Bytes by Unit'!$B$45:$F$45</c:f>
              <c:numCache>
                <c:formatCode>General</c:formatCode>
                <c:ptCount val="5"/>
                <c:pt idx="0">
                  <c:v>0.350234985351563</c:v>
                </c:pt>
                <c:pt idx="1">
                  <c:v>0.350234985351563</c:v>
                </c:pt>
                <c:pt idx="2">
                  <c:v>0.350234985351563</c:v>
                </c:pt>
                <c:pt idx="3">
                  <c:v>0.350234985351563</c:v>
                </c:pt>
                <c:pt idx="4">
                  <c:v>0.350234985351563</c:v>
                </c:pt>
              </c:numCache>
            </c:numRef>
          </c:val>
        </c:ser>
        <c:ser>
          <c:idx val="4"/>
          <c:order val="4"/>
          <c:tx>
            <c:strRef>
              <c:f>'A7 Bytes by Unit'!A46</c:f>
              <c:strCache>
                <c:ptCount val="1"/>
                <c:pt idx="0">
                  <c:v>-&gt; LossyStore 5%</c:v>
                </c:pt>
              </c:strCache>
            </c:strRef>
          </c:tx>
          <c:spPr>
            <a:solidFill>
              <a:srgbClr val="4bacc6"/>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'A7 Bytes by Unit'!$B$41:$F$41</c:f>
              <c:strCache>
                <c:ptCount val="5"/>
                <c:pt idx="0">
                  <c:v>16 KB</c:v>
                </c:pt>
                <c:pt idx="1">
                  <c:v>64 KB</c:v>
                </c:pt>
                <c:pt idx="2">
                  <c:v>256 KB</c:v>
                </c:pt>
                <c:pt idx="3">
                  <c:v>1024 KB</c:v>
                </c:pt>
                <c:pt idx="4">
                  <c:v>4096 KB</c:v>
                </c:pt>
              </c:strCache>
            </c:strRef>
          </c:cat>
          <c:val>
            <c:numRef>
              <c:f>'A7 Bytes by Unit'!$B$46:$F$46</c:f>
              <c:numCache>
                <c:formatCode>General</c:formatCode>
                <c:ptCount val="5"/>
                <c:pt idx="0">
                  <c:v>0.350234985351563</c:v>
                </c:pt>
                <c:pt idx="1">
                  <c:v>0.350234985351563</c:v>
                </c:pt>
                <c:pt idx="2">
                  <c:v>0.350234985351563</c:v>
                </c:pt>
                <c:pt idx="3">
                  <c:v>0.350234985351563</c:v>
                </c:pt>
                <c:pt idx="4">
                  <c:v>0.350234985351563</c:v>
                </c:pt>
              </c:numCache>
            </c:numRef>
          </c:val>
        </c:ser>
        <c:gapWidth val="60"/>
        <c:overlap val="0"/>
        <c:axId val="81630060"/>
        <c:axId val="53289181"/>
      </c:barChart>
      <c:catAx>
        <c:axId val="81630060"/>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unit size (KB)</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3289181"/>
        <c:crosses val="autoZero"/>
        <c:auto val="1"/>
        <c:lblAlgn val="ctr"/>
        <c:lblOffset val="100"/>
        <c:noMultiLvlLbl val="0"/>
      </c:catAx>
      <c:valAx>
        <c:axId val="53289181"/>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MiB</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1630060"/>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Standalone: encode time</a:t>
            </a:r>
          </a:p>
        </c:rich>
      </c:tx>
      <c:overlay val="0"/>
      <c:spPr>
        <a:noFill/>
        <a:ln w="0">
          <a:noFill/>
        </a:ln>
      </c:spPr>
    </c:title>
    <c:autoTitleDeleted val="0"/>
    <c:plotArea>
      <c:lineChart>
        <c:grouping val="standard"/>
        <c:varyColors val="0"/>
        <c:ser>
          <c:idx val="0"/>
          <c:order val="0"/>
          <c:tx>
            <c:strRef>
              <c:f>'A8 Timing'!A6</c:f>
              <c:strCache>
                <c:ptCount val="1"/>
                <c:pt idx="0">
                  <c:v>MemoryStore</c:v>
                </c:pt>
              </c:strCache>
            </c:strRef>
          </c:tx>
          <c:spPr>
            <a:solidFill>
              <a:srgbClr val="426fa6"/>
            </a:solidFill>
            <a:ln w="28440">
              <a:solidFill>
                <a:srgbClr val="426fa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'A8 Timing'!$B$5:$F$5</c:f>
              <c:strCache>
                <c:ptCount val="5"/>
                <c:pt idx="0">
                  <c:v>16 KB</c:v>
                </c:pt>
                <c:pt idx="1">
                  <c:v>64 KB</c:v>
                </c:pt>
                <c:pt idx="2">
                  <c:v>256 KB</c:v>
                </c:pt>
                <c:pt idx="3">
                  <c:v>1024 KB</c:v>
                </c:pt>
                <c:pt idx="4">
                  <c:v>4096 KB</c:v>
                </c:pt>
              </c:strCache>
            </c:strRef>
          </c:cat>
          <c:val>
            <c:numRef>
              <c:f>'A8 Timing'!$B$6:$F$6</c:f>
              <c:numCache>
                <c:formatCode>General</c:formatCode>
                <c:ptCount val="5"/>
                <c:pt idx="0">
                  <c:v>0.5524</c:v>
                </c:pt>
                <c:pt idx="1">
                  <c:v>0.5433</c:v>
                </c:pt>
                <c:pt idx="2">
                  <c:v>0.5541</c:v>
                </c:pt>
                <c:pt idx="3">
                  <c:v>0.5631</c:v>
                </c:pt>
                <c:pt idx="4">
                  <c:v>0.553</c:v>
                </c:pt>
              </c:numCache>
            </c:numRef>
          </c:val>
          <c:smooth val="1"/>
        </c:ser>
        <c:ser>
          <c:idx val="1"/>
          <c:order val="1"/>
          <c:tx>
            <c:strRef>
              <c:f>'A8 Timing'!A7</c:f>
              <c:strCache>
                <c:ptCount val="1"/>
                <c:pt idx="0">
                  <c:v>FileStore</c:v>
                </c:pt>
              </c:strCache>
            </c:strRef>
          </c:tx>
          <c:spPr>
            <a:solidFill>
              <a:srgbClr val="aa433f"/>
            </a:solidFill>
            <a:ln w="28440">
              <a:solidFill>
                <a:srgbClr val="aa433f"/>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'A8 Timing'!$B$5:$F$5</c:f>
              <c:strCache>
                <c:ptCount val="5"/>
                <c:pt idx="0">
                  <c:v>16 KB</c:v>
                </c:pt>
                <c:pt idx="1">
                  <c:v>64 KB</c:v>
                </c:pt>
                <c:pt idx="2">
                  <c:v>256 KB</c:v>
                </c:pt>
                <c:pt idx="3">
                  <c:v>1024 KB</c:v>
                </c:pt>
                <c:pt idx="4">
                  <c:v>4096 KB</c:v>
                </c:pt>
              </c:strCache>
            </c:strRef>
          </c:cat>
          <c:val>
            <c:numRef>
              <c:f>'A8 Timing'!$B$7:$F$7</c:f>
              <c:numCache>
                <c:formatCode>General</c:formatCode>
                <c:ptCount val="5"/>
                <c:pt idx="0">
                  <c:v>0.5655</c:v>
                </c:pt>
                <c:pt idx="1">
                  <c:v>0.5518</c:v>
                </c:pt>
                <c:pt idx="2">
                  <c:v>0.5552</c:v>
                </c:pt>
                <c:pt idx="3">
                  <c:v>0.5617</c:v>
                </c:pt>
                <c:pt idx="4">
                  <c:v>0.5609</c:v>
                </c:pt>
              </c:numCache>
            </c:numRef>
          </c:val>
          <c:smooth val="1"/>
        </c:ser>
        <c:ser>
          <c:idx val="2"/>
          <c:order val="2"/>
          <c:tx>
            <c:strRef>
              <c:f>'A8 Timing'!A8</c:f>
              <c:strCache>
                <c:ptCount val="1"/>
                <c:pt idx="0">
                  <c:v>CompressedStore</c:v>
                </c:pt>
              </c:strCache>
            </c:strRef>
          </c:tx>
          <c:spPr>
            <a:solidFill>
              <a:srgbClr val="87a44b"/>
            </a:solidFill>
            <a:ln w="28440">
              <a:solidFill>
                <a:srgbClr val="87a44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'A8 Timing'!$B$5:$F$5</c:f>
              <c:strCache>
                <c:ptCount val="5"/>
                <c:pt idx="0">
                  <c:v>16 KB</c:v>
                </c:pt>
                <c:pt idx="1">
                  <c:v>64 KB</c:v>
                </c:pt>
                <c:pt idx="2">
                  <c:v>256 KB</c:v>
                </c:pt>
                <c:pt idx="3">
                  <c:v>1024 KB</c:v>
                </c:pt>
                <c:pt idx="4">
                  <c:v>4096 KB</c:v>
                </c:pt>
              </c:strCache>
            </c:strRef>
          </c:cat>
          <c:val>
            <c:numRef>
              <c:f>'A8 Timing'!$B$8:$F$8</c:f>
              <c:numCache>
                <c:formatCode>General</c:formatCode>
                <c:ptCount val="5"/>
                <c:pt idx="0">
                  <c:v>0.5819</c:v>
                </c:pt>
                <c:pt idx="1">
                  <c:v>0.5901</c:v>
                </c:pt>
                <c:pt idx="2">
                  <c:v>0.5804</c:v>
                </c:pt>
                <c:pt idx="3">
                  <c:v>0.579</c:v>
                </c:pt>
                <c:pt idx="4">
                  <c:v>0.5787</c:v>
                </c:pt>
              </c:numCache>
            </c:numRef>
          </c:val>
          <c:smooth val="1"/>
        </c:ser>
        <c:ser>
          <c:idx val="3"/>
          <c:order val="3"/>
          <c:tx>
            <c:strRef>
              <c:f>'A8 Timing'!A9</c:f>
              <c:strCache>
                <c:ptCount val="1"/>
                <c:pt idx="0">
                  <c:v>LossyStore lossless</c:v>
                </c:pt>
              </c:strCache>
            </c:strRef>
          </c:tx>
          <c:spPr>
            <a:solidFill>
              <a:srgbClr val="6f568d"/>
            </a:solidFill>
            <a:ln w="28440">
              <a:solidFill>
                <a:srgbClr val="6f568d"/>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'A8 Timing'!$B$5:$F$5</c:f>
              <c:strCache>
                <c:ptCount val="5"/>
                <c:pt idx="0">
                  <c:v>16 KB</c:v>
                </c:pt>
                <c:pt idx="1">
                  <c:v>64 KB</c:v>
                </c:pt>
                <c:pt idx="2">
                  <c:v>256 KB</c:v>
                </c:pt>
                <c:pt idx="3">
                  <c:v>1024 KB</c:v>
                </c:pt>
                <c:pt idx="4">
                  <c:v>4096 KB</c:v>
                </c:pt>
              </c:strCache>
            </c:strRef>
          </c:cat>
          <c:val>
            <c:numRef>
              <c:f>'A8 Timing'!$B$9:$F$9</c:f>
              <c:numCache>
                <c:formatCode>General</c:formatCode>
                <c:ptCount val="5"/>
                <c:pt idx="0">
                  <c:v>0.5962</c:v>
                </c:pt>
                <c:pt idx="1">
                  <c:v>0.5748</c:v>
                </c:pt>
                <c:pt idx="2">
                  <c:v>0.5822</c:v>
                </c:pt>
                <c:pt idx="3">
                  <c:v>0.5791</c:v>
                </c:pt>
                <c:pt idx="4">
                  <c:v>0.5741</c:v>
                </c:pt>
              </c:numCache>
            </c:numRef>
          </c:val>
          <c:smooth val="1"/>
        </c:ser>
        <c:ser>
          <c:idx val="4"/>
          <c:order val="4"/>
          <c:tx>
            <c:strRef>
              <c:f>'A8 Timing'!A10</c:f>
              <c:strCache>
                <c:ptCount val="1"/>
                <c:pt idx="0">
                  <c:v>LossyStore 0.1%</c:v>
                </c:pt>
              </c:strCache>
            </c:strRef>
          </c:tx>
          <c:spPr>
            <a:solidFill>
              <a:srgbClr val="3d97af"/>
            </a:solidFill>
            <a:ln w="28440">
              <a:solidFill>
                <a:srgbClr val="3d97af"/>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'A8 Timing'!$B$5:$F$5</c:f>
              <c:strCache>
                <c:ptCount val="5"/>
                <c:pt idx="0">
                  <c:v>16 KB</c:v>
                </c:pt>
                <c:pt idx="1">
                  <c:v>64 KB</c:v>
                </c:pt>
                <c:pt idx="2">
                  <c:v>256 KB</c:v>
                </c:pt>
                <c:pt idx="3">
                  <c:v>1024 KB</c:v>
                </c:pt>
                <c:pt idx="4">
                  <c:v>4096 KB</c:v>
                </c:pt>
              </c:strCache>
            </c:strRef>
          </c:cat>
          <c:val>
            <c:numRef>
              <c:f>'A8 Timing'!$B$10:$F$10</c:f>
              <c:numCache>
                <c:formatCode>General</c:formatCode>
                <c:ptCount val="5"/>
                <c:pt idx="0">
                  <c:v>0.5848</c:v>
                </c:pt>
                <c:pt idx="1">
                  <c:v>0.5862</c:v>
                </c:pt>
                <c:pt idx="2">
                  <c:v>0.5772</c:v>
                </c:pt>
                <c:pt idx="3">
                  <c:v>0.5878</c:v>
                </c:pt>
                <c:pt idx="4">
                  <c:v>0.5764</c:v>
                </c:pt>
              </c:numCache>
            </c:numRef>
          </c:val>
          <c:smooth val="1"/>
        </c:ser>
        <c:ser>
          <c:idx val="5"/>
          <c:order val="5"/>
          <c:tx>
            <c:strRef>
              <c:f>'A8 Timing'!A11</c:f>
              <c:strCache>
                <c:ptCount val="1"/>
                <c:pt idx="0">
                  <c:v>LossyStore 1%</c:v>
                </c:pt>
              </c:strCache>
            </c:strRef>
          </c:tx>
          <c:spPr>
            <a:solidFill>
              <a:srgbClr val="db8238"/>
            </a:solidFill>
            <a:ln w="28440">
              <a:solidFill>
                <a:srgbClr val="db823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'A8 Timing'!$B$5:$F$5</c:f>
              <c:strCache>
                <c:ptCount val="5"/>
                <c:pt idx="0">
                  <c:v>16 KB</c:v>
                </c:pt>
                <c:pt idx="1">
                  <c:v>64 KB</c:v>
                </c:pt>
                <c:pt idx="2">
                  <c:v>256 KB</c:v>
                </c:pt>
                <c:pt idx="3">
                  <c:v>1024 KB</c:v>
                </c:pt>
                <c:pt idx="4">
                  <c:v>4096 KB</c:v>
                </c:pt>
              </c:strCache>
            </c:strRef>
          </c:cat>
          <c:val>
            <c:numRef>
              <c:f>'A8 Timing'!$B$11:$F$11</c:f>
              <c:numCache>
                <c:formatCode>General</c:formatCode>
                <c:ptCount val="5"/>
                <c:pt idx="0">
                  <c:v>0.59</c:v>
                </c:pt>
                <c:pt idx="1">
                  <c:v>0.5725</c:v>
                </c:pt>
                <c:pt idx="2">
                  <c:v>0.5848</c:v>
                </c:pt>
                <c:pt idx="3">
                  <c:v>0.5993</c:v>
                </c:pt>
                <c:pt idx="4">
                  <c:v>0.5928</c:v>
                </c:pt>
              </c:numCache>
            </c:numRef>
          </c:val>
          <c:smooth val="1"/>
        </c:ser>
        <c:ser>
          <c:idx val="6"/>
          <c:order val="6"/>
          <c:tx>
            <c:strRef>
              <c:f>'A8 Timing'!A12</c:f>
              <c:strCache>
                <c:ptCount val="1"/>
                <c:pt idx="0">
                  <c:v>LossyStore 5%</c:v>
                </c:pt>
              </c:strCache>
            </c:strRef>
          </c:tx>
          <c:spPr>
            <a:solidFill>
              <a:srgbClr val="8ea5ca"/>
            </a:solidFill>
            <a:ln w="28440">
              <a:solidFill>
                <a:srgbClr val="8ea5c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'A8 Timing'!$B$5:$F$5</c:f>
              <c:strCache>
                <c:ptCount val="5"/>
                <c:pt idx="0">
                  <c:v>16 KB</c:v>
                </c:pt>
                <c:pt idx="1">
                  <c:v>64 KB</c:v>
                </c:pt>
                <c:pt idx="2">
                  <c:v>256 KB</c:v>
                </c:pt>
                <c:pt idx="3">
                  <c:v>1024 KB</c:v>
                </c:pt>
                <c:pt idx="4">
                  <c:v>4096 KB</c:v>
                </c:pt>
              </c:strCache>
            </c:strRef>
          </c:cat>
          <c:val>
            <c:numRef>
              <c:f>'A8 Timing'!$B$12:$F$12</c:f>
              <c:numCache>
                <c:formatCode>General</c:formatCode>
                <c:ptCount val="5"/>
                <c:pt idx="0">
                  <c:v>0.6005</c:v>
                </c:pt>
                <c:pt idx="1">
                  <c:v>0.5857</c:v>
                </c:pt>
                <c:pt idx="2">
                  <c:v>0.591</c:v>
                </c:pt>
                <c:pt idx="3">
                  <c:v>0.5736</c:v>
                </c:pt>
                <c:pt idx="4">
                  <c:v>0.5785</c:v>
                </c:pt>
              </c:numCache>
            </c:numRef>
          </c:val>
          <c:smooth val="1"/>
        </c:ser>
        <c:hiLowLines>
          <c:spPr>
            <a:ln w="0">
              <a:noFill/>
            </a:ln>
          </c:spPr>
        </c:hiLowLines>
        <c:marker val="0"/>
        <c:axId val="72184363"/>
        <c:axId val="61472339"/>
      </c:lineChart>
      <c:catAx>
        <c:axId val="72184363"/>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unit size (KB)</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1472339"/>
        <c:crosses val="autoZero"/>
        <c:auto val="1"/>
        <c:lblAlgn val="ctr"/>
        <c:lblOffset val="100"/>
        <c:noMultiLvlLbl val="0"/>
      </c:catAx>
      <c:valAx>
        <c:axId val="61472339"/>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seconds</a:t>
                </a:r>
              </a:p>
            </c:rich>
          </c:tx>
          <c:overlay val="0"/>
          <c:spPr>
            <a:noFill/>
            <a:ln w="0">
              <a:noFill/>
            </a:ln>
          </c:spPr>
        </c:title>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2184363"/>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Standalone: decode time</a:t>
            </a:r>
          </a:p>
        </c:rich>
      </c:tx>
      <c:overlay val="0"/>
      <c:spPr>
        <a:noFill/>
        <a:ln w="0">
          <a:noFill/>
        </a:ln>
      </c:spPr>
    </c:title>
    <c:autoTitleDeleted val="0"/>
    <c:plotArea>
      <c:lineChart>
        <c:grouping val="standard"/>
        <c:varyColors val="0"/>
        <c:ser>
          <c:idx val="0"/>
          <c:order val="0"/>
          <c:tx>
            <c:strRef>
              <c:f>'A8 Timing'!A19</c:f>
              <c:strCache>
                <c:ptCount val="1"/>
                <c:pt idx="0">
                  <c:v>MemoryStore</c:v>
                </c:pt>
              </c:strCache>
            </c:strRef>
          </c:tx>
          <c:spPr>
            <a:solidFill>
              <a:srgbClr val="426fa6"/>
            </a:solidFill>
            <a:ln w="28440">
              <a:solidFill>
                <a:srgbClr val="426fa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'A8 Timing'!$B$18:$F$18</c:f>
              <c:strCache>
                <c:ptCount val="5"/>
                <c:pt idx="0">
                  <c:v>16 KB</c:v>
                </c:pt>
                <c:pt idx="1">
                  <c:v>64 KB</c:v>
                </c:pt>
                <c:pt idx="2">
                  <c:v>256 KB</c:v>
                </c:pt>
                <c:pt idx="3">
                  <c:v>1024 KB</c:v>
                </c:pt>
                <c:pt idx="4">
                  <c:v>4096 KB</c:v>
                </c:pt>
              </c:strCache>
            </c:strRef>
          </c:cat>
          <c:val>
            <c:numRef>
              <c:f>'A8 Timing'!$B$19:$F$19</c:f>
              <c:numCache>
                <c:formatCode>General</c:formatCode>
                <c:ptCount val="5"/>
                <c:pt idx="0">
                  <c:v>0.4543</c:v>
                </c:pt>
                <c:pt idx="1">
                  <c:v>0.4761</c:v>
                </c:pt>
                <c:pt idx="2">
                  <c:v>0.447</c:v>
                </c:pt>
                <c:pt idx="3">
                  <c:v>0.4526</c:v>
                </c:pt>
                <c:pt idx="4">
                  <c:v>0.4386</c:v>
                </c:pt>
              </c:numCache>
            </c:numRef>
          </c:val>
          <c:smooth val="1"/>
        </c:ser>
        <c:ser>
          <c:idx val="1"/>
          <c:order val="1"/>
          <c:tx>
            <c:strRef>
              <c:f>'A8 Timing'!A20</c:f>
              <c:strCache>
                <c:ptCount val="1"/>
                <c:pt idx="0">
                  <c:v>FileStore</c:v>
                </c:pt>
              </c:strCache>
            </c:strRef>
          </c:tx>
          <c:spPr>
            <a:solidFill>
              <a:srgbClr val="aa433f"/>
            </a:solidFill>
            <a:ln w="28440">
              <a:solidFill>
                <a:srgbClr val="aa433f"/>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'A8 Timing'!$B$18:$F$18</c:f>
              <c:strCache>
                <c:ptCount val="5"/>
                <c:pt idx="0">
                  <c:v>16 KB</c:v>
                </c:pt>
                <c:pt idx="1">
                  <c:v>64 KB</c:v>
                </c:pt>
                <c:pt idx="2">
                  <c:v>256 KB</c:v>
                </c:pt>
                <c:pt idx="3">
                  <c:v>1024 KB</c:v>
                </c:pt>
                <c:pt idx="4">
                  <c:v>4096 KB</c:v>
                </c:pt>
              </c:strCache>
            </c:strRef>
          </c:cat>
          <c:val>
            <c:numRef>
              <c:f>'A8 Timing'!$B$20:$F$20</c:f>
              <c:numCache>
                <c:formatCode>General</c:formatCode>
                <c:ptCount val="5"/>
                <c:pt idx="0">
                  <c:v>0.4276</c:v>
                </c:pt>
                <c:pt idx="1">
                  <c:v>0.4364</c:v>
                </c:pt>
                <c:pt idx="2">
                  <c:v>0.4543</c:v>
                </c:pt>
                <c:pt idx="3">
                  <c:v>0.437</c:v>
                </c:pt>
                <c:pt idx="4">
                  <c:v>0.4296</c:v>
                </c:pt>
              </c:numCache>
            </c:numRef>
          </c:val>
          <c:smooth val="1"/>
        </c:ser>
        <c:ser>
          <c:idx val="2"/>
          <c:order val="2"/>
          <c:tx>
            <c:strRef>
              <c:f>'A8 Timing'!A21</c:f>
              <c:strCache>
                <c:ptCount val="1"/>
                <c:pt idx="0">
                  <c:v>CompressedStore</c:v>
                </c:pt>
              </c:strCache>
            </c:strRef>
          </c:tx>
          <c:spPr>
            <a:solidFill>
              <a:srgbClr val="87a44b"/>
            </a:solidFill>
            <a:ln w="28440">
              <a:solidFill>
                <a:srgbClr val="87a44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'A8 Timing'!$B$18:$F$18</c:f>
              <c:strCache>
                <c:ptCount val="5"/>
                <c:pt idx="0">
                  <c:v>16 KB</c:v>
                </c:pt>
                <c:pt idx="1">
                  <c:v>64 KB</c:v>
                </c:pt>
                <c:pt idx="2">
                  <c:v>256 KB</c:v>
                </c:pt>
                <c:pt idx="3">
                  <c:v>1024 KB</c:v>
                </c:pt>
                <c:pt idx="4">
                  <c:v>4096 KB</c:v>
                </c:pt>
              </c:strCache>
            </c:strRef>
          </c:cat>
          <c:val>
            <c:numRef>
              <c:f>'A8 Timing'!$B$21:$F$21</c:f>
              <c:numCache>
                <c:formatCode>General</c:formatCode>
                <c:ptCount val="5"/>
                <c:pt idx="0">
                  <c:v>0.4137</c:v>
                </c:pt>
                <c:pt idx="1">
                  <c:v>0.45</c:v>
                </c:pt>
                <c:pt idx="2">
                  <c:v>0.4496</c:v>
                </c:pt>
                <c:pt idx="3">
                  <c:v>0.4553</c:v>
                </c:pt>
                <c:pt idx="4">
                  <c:v>0.4638</c:v>
                </c:pt>
              </c:numCache>
            </c:numRef>
          </c:val>
          <c:smooth val="1"/>
        </c:ser>
        <c:ser>
          <c:idx val="3"/>
          <c:order val="3"/>
          <c:tx>
            <c:strRef>
              <c:f>'A8 Timing'!A22</c:f>
              <c:strCache>
                <c:ptCount val="1"/>
                <c:pt idx="0">
                  <c:v>LossyStore lossless</c:v>
                </c:pt>
              </c:strCache>
            </c:strRef>
          </c:tx>
          <c:spPr>
            <a:solidFill>
              <a:srgbClr val="6f568d"/>
            </a:solidFill>
            <a:ln w="28440">
              <a:solidFill>
                <a:srgbClr val="6f568d"/>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'A8 Timing'!$B$18:$F$18</c:f>
              <c:strCache>
                <c:ptCount val="5"/>
                <c:pt idx="0">
                  <c:v>16 KB</c:v>
                </c:pt>
                <c:pt idx="1">
                  <c:v>64 KB</c:v>
                </c:pt>
                <c:pt idx="2">
                  <c:v>256 KB</c:v>
                </c:pt>
                <c:pt idx="3">
                  <c:v>1024 KB</c:v>
                </c:pt>
                <c:pt idx="4">
                  <c:v>4096 KB</c:v>
                </c:pt>
              </c:strCache>
            </c:strRef>
          </c:cat>
          <c:val>
            <c:numRef>
              <c:f>'A8 Timing'!$B$22:$F$22</c:f>
              <c:numCache>
                <c:formatCode>General</c:formatCode>
                <c:ptCount val="5"/>
                <c:pt idx="0">
                  <c:v>0.5092</c:v>
                </c:pt>
                <c:pt idx="1">
                  <c:v>0.4405</c:v>
                </c:pt>
                <c:pt idx="2">
                  <c:v>0.5088</c:v>
                </c:pt>
                <c:pt idx="3">
                  <c:v>0.4499</c:v>
                </c:pt>
                <c:pt idx="4">
                  <c:v>0.499</c:v>
                </c:pt>
              </c:numCache>
            </c:numRef>
          </c:val>
          <c:smooth val="1"/>
        </c:ser>
        <c:ser>
          <c:idx val="4"/>
          <c:order val="4"/>
          <c:tx>
            <c:strRef>
              <c:f>'A8 Timing'!A23</c:f>
              <c:strCache>
                <c:ptCount val="1"/>
                <c:pt idx="0">
                  <c:v>LossyStore 0.1%</c:v>
                </c:pt>
              </c:strCache>
            </c:strRef>
          </c:tx>
          <c:spPr>
            <a:solidFill>
              <a:srgbClr val="3d97af"/>
            </a:solidFill>
            <a:ln w="28440">
              <a:solidFill>
                <a:srgbClr val="3d97af"/>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'A8 Timing'!$B$18:$F$18</c:f>
              <c:strCache>
                <c:ptCount val="5"/>
                <c:pt idx="0">
                  <c:v>16 KB</c:v>
                </c:pt>
                <c:pt idx="1">
                  <c:v>64 KB</c:v>
                </c:pt>
                <c:pt idx="2">
                  <c:v>256 KB</c:v>
                </c:pt>
                <c:pt idx="3">
                  <c:v>1024 KB</c:v>
                </c:pt>
                <c:pt idx="4">
                  <c:v>4096 KB</c:v>
                </c:pt>
              </c:strCache>
            </c:strRef>
          </c:cat>
          <c:val>
            <c:numRef>
              <c:f>'A8 Timing'!$B$23:$F$23</c:f>
              <c:numCache>
                <c:formatCode>General</c:formatCode>
                <c:ptCount val="5"/>
                <c:pt idx="0">
                  <c:v>0.3918</c:v>
                </c:pt>
                <c:pt idx="1">
                  <c:v>0.4162</c:v>
                </c:pt>
                <c:pt idx="2">
                  <c:v>0.4122</c:v>
                </c:pt>
                <c:pt idx="3">
                  <c:v>0.4121</c:v>
                </c:pt>
                <c:pt idx="4">
                  <c:v>0.43</c:v>
                </c:pt>
              </c:numCache>
            </c:numRef>
          </c:val>
          <c:smooth val="1"/>
        </c:ser>
        <c:ser>
          <c:idx val="5"/>
          <c:order val="5"/>
          <c:tx>
            <c:strRef>
              <c:f>'A8 Timing'!A24</c:f>
              <c:strCache>
                <c:ptCount val="1"/>
                <c:pt idx="0">
                  <c:v>LossyStore 1%</c:v>
                </c:pt>
              </c:strCache>
            </c:strRef>
          </c:tx>
          <c:spPr>
            <a:solidFill>
              <a:srgbClr val="db8238"/>
            </a:solidFill>
            <a:ln w="28440">
              <a:solidFill>
                <a:srgbClr val="db823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'A8 Timing'!$B$18:$F$18</c:f>
              <c:strCache>
                <c:ptCount val="5"/>
                <c:pt idx="0">
                  <c:v>16 KB</c:v>
                </c:pt>
                <c:pt idx="1">
                  <c:v>64 KB</c:v>
                </c:pt>
                <c:pt idx="2">
                  <c:v>256 KB</c:v>
                </c:pt>
                <c:pt idx="3">
                  <c:v>1024 KB</c:v>
                </c:pt>
                <c:pt idx="4">
                  <c:v>4096 KB</c:v>
                </c:pt>
              </c:strCache>
            </c:strRef>
          </c:cat>
          <c:val>
            <c:numRef>
              <c:f>'A8 Timing'!$B$24:$F$24</c:f>
              <c:numCache>
                <c:formatCode>General</c:formatCode>
                <c:ptCount val="5"/>
                <c:pt idx="0">
                  <c:v>0.3887</c:v>
                </c:pt>
                <c:pt idx="1">
                  <c:v>0.3804</c:v>
                </c:pt>
                <c:pt idx="2">
                  <c:v>0.3945</c:v>
                </c:pt>
                <c:pt idx="3">
                  <c:v>0.4373</c:v>
                </c:pt>
                <c:pt idx="4">
                  <c:v>0.4478</c:v>
                </c:pt>
              </c:numCache>
            </c:numRef>
          </c:val>
          <c:smooth val="1"/>
        </c:ser>
        <c:ser>
          <c:idx val="6"/>
          <c:order val="6"/>
          <c:tx>
            <c:strRef>
              <c:f>'A8 Timing'!A25</c:f>
              <c:strCache>
                <c:ptCount val="1"/>
                <c:pt idx="0">
                  <c:v>LossyStore 5%</c:v>
                </c:pt>
              </c:strCache>
            </c:strRef>
          </c:tx>
          <c:spPr>
            <a:solidFill>
              <a:srgbClr val="8ea5ca"/>
            </a:solidFill>
            <a:ln w="28440">
              <a:solidFill>
                <a:srgbClr val="8ea5c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'A8 Timing'!$B$18:$F$18</c:f>
              <c:strCache>
                <c:ptCount val="5"/>
                <c:pt idx="0">
                  <c:v>16 KB</c:v>
                </c:pt>
                <c:pt idx="1">
                  <c:v>64 KB</c:v>
                </c:pt>
                <c:pt idx="2">
                  <c:v>256 KB</c:v>
                </c:pt>
                <c:pt idx="3">
                  <c:v>1024 KB</c:v>
                </c:pt>
                <c:pt idx="4">
                  <c:v>4096 KB</c:v>
                </c:pt>
              </c:strCache>
            </c:strRef>
          </c:cat>
          <c:val>
            <c:numRef>
              <c:f>'A8 Timing'!$B$25:$F$25</c:f>
              <c:numCache>
                <c:formatCode>General</c:formatCode>
                <c:ptCount val="5"/>
                <c:pt idx="0">
                  <c:v>0.3995</c:v>
                </c:pt>
                <c:pt idx="1">
                  <c:v>0.3759</c:v>
                </c:pt>
                <c:pt idx="2">
                  <c:v>0.4066</c:v>
                </c:pt>
                <c:pt idx="3">
                  <c:v>0.4316</c:v>
                </c:pt>
                <c:pt idx="4">
                  <c:v>0.4488</c:v>
                </c:pt>
              </c:numCache>
            </c:numRef>
          </c:val>
          <c:smooth val="1"/>
        </c:ser>
        <c:hiLowLines>
          <c:spPr>
            <a:ln w="0">
              <a:noFill/>
            </a:ln>
          </c:spPr>
        </c:hiLowLines>
        <c:marker val="0"/>
        <c:axId val="95777678"/>
        <c:axId val="29056937"/>
      </c:lineChart>
      <c:catAx>
        <c:axId val="95777678"/>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unit size (KB)</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9056937"/>
        <c:crosses val="autoZero"/>
        <c:auto val="1"/>
        <c:lblAlgn val="ctr"/>
        <c:lblOffset val="100"/>
        <c:noMultiLvlLbl val="0"/>
      </c:catAx>
      <c:valAx>
        <c:axId val="29056937"/>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seconds</a:t>
                </a:r>
              </a:p>
            </c:rich>
          </c:tx>
          <c:overlay val="0"/>
          <c:spPr>
            <a:noFill/>
            <a:ln w="0">
              <a:noFill/>
            </a:ln>
          </c:spPr>
        </c:title>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5777678"/>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Standalone: encode throughput (MiB/s)</a:t>
            </a:r>
          </a:p>
        </c:rich>
      </c:tx>
      <c:overlay val="0"/>
      <c:spPr>
        <a:noFill/>
        <a:ln w="0">
          <a:noFill/>
        </a:ln>
      </c:spPr>
    </c:title>
    <c:autoTitleDeleted val="0"/>
    <c:plotArea>
      <c:barChart>
        <c:barDir val="col"/>
        <c:grouping val="clustered"/>
        <c:varyColors val="0"/>
        <c:ser>
          <c:idx val="0"/>
          <c:order val="0"/>
          <c:tx>
            <c:strRef>
              <c:f>'A8 Timing'!A34</c:f>
              <c:strCache>
                <c:ptCount val="1"/>
                <c:pt idx="0">
                  <c:v>MemoryStore</c:v>
                </c:pt>
              </c:strCache>
            </c:strRef>
          </c:tx>
          <c:spPr>
            <a:solidFill>
              <a:srgbClr val="4672a8"/>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'A8 Timing'!$B$33:$F$33</c:f>
              <c:strCache>
                <c:ptCount val="5"/>
                <c:pt idx="0">
                  <c:v>16 KB</c:v>
                </c:pt>
                <c:pt idx="1">
                  <c:v>64 KB</c:v>
                </c:pt>
                <c:pt idx="2">
                  <c:v>256 KB</c:v>
                </c:pt>
                <c:pt idx="3">
                  <c:v>1024 KB</c:v>
                </c:pt>
                <c:pt idx="4">
                  <c:v>4096 KB</c:v>
                </c:pt>
              </c:strCache>
            </c:strRef>
          </c:cat>
          <c:val>
            <c:numRef>
              <c:f>'A8 Timing'!$B$34:$F$34</c:f>
              <c:numCache>
                <c:formatCode>General</c:formatCode>
                <c:ptCount val="5"/>
                <c:pt idx="0">
                  <c:v>9.66799941121626</c:v>
                </c:pt>
                <c:pt idx="1">
                  <c:v>9.82993350774132</c:v>
                </c:pt>
                <c:pt idx="2">
                  <c:v>9.63833761912265</c:v>
                </c:pt>
                <c:pt idx="3">
                  <c:v>9.48428853623843</c:v>
                </c:pt>
                <c:pt idx="4">
                  <c:v>9.65750971926918</c:v>
                </c:pt>
              </c:numCache>
            </c:numRef>
          </c:val>
        </c:ser>
        <c:ser>
          <c:idx val="1"/>
          <c:order val="1"/>
          <c:tx>
            <c:strRef>
              <c:f>'A8 Timing'!A35</c:f>
              <c:strCache>
                <c:ptCount val="1"/>
                <c:pt idx="0">
                  <c:v>FileStore</c:v>
                </c:pt>
              </c:strCache>
            </c:strRef>
          </c:tx>
          <c:spPr>
            <a:solidFill>
              <a:srgbClr val="ab4744"/>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'A8 Timing'!$B$33:$F$33</c:f>
              <c:strCache>
                <c:ptCount val="5"/>
                <c:pt idx="0">
                  <c:v>16 KB</c:v>
                </c:pt>
                <c:pt idx="1">
                  <c:v>64 KB</c:v>
                </c:pt>
                <c:pt idx="2">
                  <c:v>256 KB</c:v>
                </c:pt>
                <c:pt idx="3">
                  <c:v>1024 KB</c:v>
                </c:pt>
                <c:pt idx="4">
                  <c:v>4096 KB</c:v>
                </c:pt>
              </c:strCache>
            </c:strRef>
          </c:cat>
          <c:val>
            <c:numRef>
              <c:f>'A8 Timing'!$B$35:$F$35</c:f>
              <c:numCache>
                <c:formatCode>General</c:formatCode>
                <c:ptCount val="5"/>
                <c:pt idx="0">
                  <c:v>9.44403691380347</c:v>
                </c:pt>
                <c:pt idx="1">
                  <c:v>9.67851191510667</c:v>
                </c:pt>
                <c:pt idx="2">
                  <c:v>9.61924148911358</c:v>
                </c:pt>
                <c:pt idx="3">
                  <c:v>9.50792749644981</c:v>
                </c:pt>
                <c:pt idx="4">
                  <c:v>9.52148845561751</c:v>
                </c:pt>
              </c:numCache>
            </c:numRef>
          </c:val>
        </c:ser>
        <c:ser>
          <c:idx val="2"/>
          <c:order val="2"/>
          <c:tx>
            <c:strRef>
              <c:f>'A8 Timing'!A36</c:f>
              <c:strCache>
                <c:ptCount val="1"/>
                <c:pt idx="0">
                  <c:v>CompressedStore</c:v>
                </c:pt>
              </c:strCache>
            </c:strRef>
          </c:tx>
          <c:spPr>
            <a:solidFill>
              <a:srgbClr val="8aa64f"/>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'A8 Timing'!$B$33:$F$33</c:f>
              <c:strCache>
                <c:ptCount val="5"/>
                <c:pt idx="0">
                  <c:v>16 KB</c:v>
                </c:pt>
                <c:pt idx="1">
                  <c:v>64 KB</c:v>
                </c:pt>
                <c:pt idx="2">
                  <c:v>256 KB</c:v>
                </c:pt>
                <c:pt idx="3">
                  <c:v>1024 KB</c:v>
                </c:pt>
                <c:pt idx="4">
                  <c:v>4096 KB</c:v>
                </c:pt>
              </c:strCache>
            </c:strRef>
          </c:cat>
          <c:val>
            <c:numRef>
              <c:f>'A8 Timing'!$B$36:$F$36</c:f>
              <c:numCache>
                <c:formatCode>General</c:formatCode>
                <c:ptCount val="5"/>
                <c:pt idx="0">
                  <c:v>9.17787055294013</c:v>
                </c:pt>
                <c:pt idx="1">
                  <c:v>9.05033532410754</c:v>
                </c:pt>
                <c:pt idx="2">
                  <c:v>9.2015900667744</c:v>
                </c:pt>
                <c:pt idx="3">
                  <c:v>9.22383916192722</c:v>
                </c:pt>
                <c:pt idx="4">
                  <c:v>9.22862083075144</c:v>
                </c:pt>
              </c:numCache>
            </c:numRef>
          </c:val>
        </c:ser>
        <c:ser>
          <c:idx val="3"/>
          <c:order val="3"/>
          <c:tx>
            <c:strRef>
              <c:f>'A8 Timing'!A37</c:f>
              <c:strCache>
                <c:ptCount val="1"/>
                <c:pt idx="0">
                  <c:v>LossyStore lossless</c:v>
                </c:pt>
              </c:strCache>
            </c:strRef>
          </c:tx>
          <c:spPr>
            <a:solidFill>
              <a:srgbClr val="725990"/>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'A8 Timing'!$B$33:$F$33</c:f>
              <c:strCache>
                <c:ptCount val="5"/>
                <c:pt idx="0">
                  <c:v>16 KB</c:v>
                </c:pt>
                <c:pt idx="1">
                  <c:v>64 KB</c:v>
                </c:pt>
                <c:pt idx="2">
                  <c:v>256 KB</c:v>
                </c:pt>
                <c:pt idx="3">
                  <c:v>1024 KB</c:v>
                </c:pt>
                <c:pt idx="4">
                  <c:v>4096 KB</c:v>
                </c:pt>
              </c:strCache>
            </c:strRef>
          </c:cat>
          <c:val>
            <c:numRef>
              <c:f>'A8 Timing'!$B$37:$F$37</c:f>
              <c:numCache>
                <c:formatCode>General</c:formatCode>
                <c:ptCount val="5"/>
                <c:pt idx="0">
                  <c:v>8.95773712639359</c:v>
                </c:pt>
                <c:pt idx="1">
                  <c:v>9.29123673409161</c:v>
                </c:pt>
                <c:pt idx="2">
                  <c:v>9.17314131699735</c:v>
                </c:pt>
                <c:pt idx="3">
                  <c:v>9.22224637326172</c:v>
                </c:pt>
                <c:pt idx="4">
                  <c:v>9.30256553693757</c:v>
                </c:pt>
              </c:numCache>
            </c:numRef>
          </c:val>
        </c:ser>
        <c:ser>
          <c:idx val="4"/>
          <c:order val="4"/>
          <c:tx>
            <c:strRef>
              <c:f>'A8 Timing'!A38</c:f>
              <c:strCache>
                <c:ptCount val="1"/>
                <c:pt idx="0">
                  <c:v>LossyStore 0.1%</c:v>
                </c:pt>
              </c:strCache>
            </c:strRef>
          </c:tx>
          <c:spPr>
            <a:solidFill>
              <a:srgbClr val="4299b0"/>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'A8 Timing'!$B$33:$F$33</c:f>
              <c:strCache>
                <c:ptCount val="5"/>
                <c:pt idx="0">
                  <c:v>16 KB</c:v>
                </c:pt>
                <c:pt idx="1">
                  <c:v>64 KB</c:v>
                </c:pt>
                <c:pt idx="2">
                  <c:v>256 KB</c:v>
                </c:pt>
                <c:pt idx="3">
                  <c:v>1024 KB</c:v>
                </c:pt>
                <c:pt idx="4">
                  <c:v>4096 KB</c:v>
                </c:pt>
              </c:strCache>
            </c:strRef>
          </c:cat>
          <c:val>
            <c:numRef>
              <c:f>'A8 Timing'!$B$38:$F$38</c:f>
              <c:numCache>
                <c:formatCode>General</c:formatCode>
                <c:ptCount val="5"/>
                <c:pt idx="0">
                  <c:v>9.13235785696966</c:v>
                </c:pt>
                <c:pt idx="1">
                  <c:v>9.1105473810233</c:v>
                </c:pt>
                <c:pt idx="2">
                  <c:v>9.25260373311826</c:v>
                </c:pt>
                <c:pt idx="3">
                  <c:v>9.0857483408572</c:v>
                </c:pt>
                <c:pt idx="4">
                  <c:v>9.26544565363612</c:v>
                </c:pt>
              </c:numCache>
            </c:numRef>
          </c:val>
        </c:ser>
        <c:ser>
          <c:idx val="5"/>
          <c:order val="5"/>
          <c:tx>
            <c:strRef>
              <c:f>'A8 Timing'!A39</c:f>
              <c:strCache>
                <c:ptCount val="1"/>
                <c:pt idx="0">
                  <c:v>LossyStore 1%</c:v>
                </c:pt>
              </c:strCache>
            </c:strRef>
          </c:tx>
          <c:spPr>
            <a:solidFill>
              <a:srgbClr val="dc853e"/>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'A8 Timing'!$B$33:$F$33</c:f>
              <c:strCache>
                <c:ptCount val="5"/>
                <c:pt idx="0">
                  <c:v>16 KB</c:v>
                </c:pt>
                <c:pt idx="1">
                  <c:v>64 KB</c:v>
                </c:pt>
                <c:pt idx="2">
                  <c:v>256 KB</c:v>
                </c:pt>
                <c:pt idx="3">
                  <c:v>1024 KB</c:v>
                </c:pt>
                <c:pt idx="4">
                  <c:v>4096 KB</c:v>
                </c:pt>
              </c:strCache>
            </c:strRef>
          </c:cat>
          <c:val>
            <c:numRef>
              <c:f>'A8 Timing'!$B$39:$F$39</c:f>
              <c:numCache>
                <c:formatCode>General</c:formatCode>
                <c:ptCount val="5"/>
                <c:pt idx="0">
                  <c:v>9.05186927924722</c:v>
                </c:pt>
                <c:pt idx="1">
                  <c:v>9.32856397337268</c:v>
                </c:pt>
                <c:pt idx="2">
                  <c:v>9.13235785696966</c:v>
                </c:pt>
                <c:pt idx="3">
                  <c:v>8.91140142625707</c:v>
                </c:pt>
                <c:pt idx="4">
                  <c:v>9.0091141611941</c:v>
                </c:pt>
              </c:numCache>
            </c:numRef>
          </c:val>
        </c:ser>
        <c:ser>
          <c:idx val="6"/>
          <c:order val="6"/>
          <c:tx>
            <c:strRef>
              <c:f>'A8 Timing'!A40</c:f>
              <c:strCache>
                <c:ptCount val="1"/>
                <c:pt idx="0">
                  <c:v>LossyStore 5%</c:v>
                </c:pt>
              </c:strCache>
            </c:strRef>
          </c:tx>
          <c:spPr>
            <a:solidFill>
              <a:srgbClr val="93a9ce"/>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'A8 Timing'!$B$33:$F$33</c:f>
              <c:strCache>
                <c:ptCount val="5"/>
                <c:pt idx="0">
                  <c:v>16 KB</c:v>
                </c:pt>
                <c:pt idx="1">
                  <c:v>64 KB</c:v>
                </c:pt>
                <c:pt idx="2">
                  <c:v>256 KB</c:v>
                </c:pt>
                <c:pt idx="3">
                  <c:v>1024 KB</c:v>
                </c:pt>
                <c:pt idx="4">
                  <c:v>4096 KB</c:v>
                </c:pt>
              </c:strCache>
            </c:strRef>
          </c:cat>
          <c:val>
            <c:numRef>
              <c:f>'A8 Timing'!$B$40:$F$40</c:f>
              <c:numCache>
                <c:formatCode>General</c:formatCode>
                <c:ptCount val="5"/>
                <c:pt idx="0">
                  <c:v>8.89359346337362</c:v>
                </c:pt>
                <c:pt idx="1">
                  <c:v>9.11832486726286</c:v>
                </c:pt>
                <c:pt idx="2">
                  <c:v>9.03655308757337</c:v>
                </c:pt>
                <c:pt idx="3">
                  <c:v>9.31067446784494</c:v>
                </c:pt>
                <c:pt idx="4">
                  <c:v>9.23181136517867</c:v>
                </c:pt>
              </c:numCache>
            </c:numRef>
          </c:val>
        </c:ser>
        <c:gapWidth val="60"/>
        <c:overlap val="0"/>
        <c:axId val="62666125"/>
        <c:axId val="47350645"/>
      </c:barChart>
      <c:catAx>
        <c:axId val="62666125"/>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unit size (KB)</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7350645"/>
        <c:crosses val="autoZero"/>
        <c:auto val="1"/>
        <c:lblAlgn val="ctr"/>
        <c:lblOffset val="100"/>
        <c:noMultiLvlLbl val="0"/>
      </c:catAx>
      <c:valAx>
        <c:axId val="47350645"/>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MiB/s</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2666125"/>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Standalone: decode throughput (MiB/s)</a:t>
            </a:r>
          </a:p>
        </c:rich>
      </c:tx>
      <c:overlay val="0"/>
      <c:spPr>
        <a:noFill/>
        <a:ln w="0">
          <a:noFill/>
        </a:ln>
      </c:spPr>
    </c:title>
    <c:autoTitleDeleted val="0"/>
    <c:plotArea>
      <c:barChart>
        <c:barDir val="col"/>
        <c:grouping val="clustered"/>
        <c:varyColors val="0"/>
        <c:ser>
          <c:idx val="0"/>
          <c:order val="0"/>
          <c:tx>
            <c:strRef>
              <c:f>'A8 Timing'!A44</c:f>
              <c:strCache>
                <c:ptCount val="1"/>
                <c:pt idx="0">
                  <c:v>MemoryStore</c:v>
                </c:pt>
              </c:strCache>
            </c:strRef>
          </c:tx>
          <c:spPr>
            <a:solidFill>
              <a:srgbClr val="4672a8"/>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'A8 Timing'!$B$43:$F$43</c:f>
              <c:strCache>
                <c:ptCount val="5"/>
                <c:pt idx="0">
                  <c:v>16 KB</c:v>
                </c:pt>
                <c:pt idx="1">
                  <c:v>64 KB</c:v>
                </c:pt>
                <c:pt idx="2">
                  <c:v>256 KB</c:v>
                </c:pt>
                <c:pt idx="3">
                  <c:v>1024 KB</c:v>
                </c:pt>
                <c:pt idx="4">
                  <c:v>4096 KB</c:v>
                </c:pt>
              </c:strCache>
            </c:strRef>
          </c:cat>
          <c:val>
            <c:numRef>
              <c:f>'A8 Timing'!$B$44:$F$44</c:f>
              <c:numCache>
                <c:formatCode>General</c:formatCode>
                <c:ptCount val="5"/>
                <c:pt idx="0">
                  <c:v>11.7556743886328</c:v>
                </c:pt>
                <c:pt idx="1">
                  <c:v>11.2173973424824</c:v>
                </c:pt>
                <c:pt idx="2">
                  <c:v>11.9476574379326</c:v>
                </c:pt>
                <c:pt idx="3">
                  <c:v>11.79982959513</c:v>
                </c:pt>
                <c:pt idx="4">
                  <c:v>12.1764771426262</c:v>
                </c:pt>
              </c:numCache>
            </c:numRef>
          </c:val>
        </c:ser>
        <c:ser>
          <c:idx val="1"/>
          <c:order val="1"/>
          <c:tx>
            <c:strRef>
              <c:f>'A8 Timing'!A45</c:f>
              <c:strCache>
                <c:ptCount val="1"/>
                <c:pt idx="0">
                  <c:v>FileStore</c:v>
                </c:pt>
              </c:strCache>
            </c:strRef>
          </c:tx>
          <c:spPr>
            <a:solidFill>
              <a:srgbClr val="ab4744"/>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'A8 Timing'!$B$43:$F$43</c:f>
              <c:strCache>
                <c:ptCount val="5"/>
                <c:pt idx="0">
                  <c:v>16 KB</c:v>
                </c:pt>
                <c:pt idx="1">
                  <c:v>64 KB</c:v>
                </c:pt>
                <c:pt idx="2">
                  <c:v>256 KB</c:v>
                </c:pt>
                <c:pt idx="3">
                  <c:v>1024 KB</c:v>
                </c:pt>
                <c:pt idx="4">
                  <c:v>4096 KB</c:v>
                </c:pt>
              </c:strCache>
            </c:strRef>
          </c:cat>
          <c:val>
            <c:numRef>
              <c:f>'A8 Timing'!$B$45:$F$45</c:f>
              <c:numCache>
                <c:formatCode>General</c:formatCode>
                <c:ptCount val="5"/>
                <c:pt idx="0">
                  <c:v>12.489716732357</c:v>
                </c:pt>
                <c:pt idx="1">
                  <c:v>12.2378617661683</c:v>
                </c:pt>
                <c:pt idx="2">
                  <c:v>11.7556743886328</c:v>
                </c:pt>
                <c:pt idx="3">
                  <c:v>12.2210592099676</c:v>
                </c:pt>
                <c:pt idx="4">
                  <c:v>12.4315709375136</c:v>
                </c:pt>
              </c:numCache>
            </c:numRef>
          </c:val>
        </c:ser>
        <c:ser>
          <c:idx val="2"/>
          <c:order val="2"/>
          <c:tx>
            <c:strRef>
              <c:f>'A8 Timing'!A46</c:f>
              <c:strCache>
                <c:ptCount val="1"/>
                <c:pt idx="0">
                  <c:v>CompressedStore</c:v>
                </c:pt>
              </c:strCache>
            </c:strRef>
          </c:tx>
          <c:spPr>
            <a:solidFill>
              <a:srgbClr val="8aa64f"/>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'A8 Timing'!$B$43:$F$43</c:f>
              <c:strCache>
                <c:ptCount val="5"/>
                <c:pt idx="0">
                  <c:v>16 KB</c:v>
                </c:pt>
                <c:pt idx="1">
                  <c:v>64 KB</c:v>
                </c:pt>
                <c:pt idx="2">
                  <c:v>256 KB</c:v>
                </c:pt>
                <c:pt idx="3">
                  <c:v>1024 KB</c:v>
                </c:pt>
                <c:pt idx="4">
                  <c:v>4096 KB</c:v>
                </c:pt>
              </c:strCache>
            </c:strRef>
          </c:cat>
          <c:val>
            <c:numRef>
              <c:f>'A8 Timing'!$B$46:$F$46</c:f>
              <c:numCache>
                <c:formatCode>General</c:formatCode>
                <c:ptCount val="5"/>
                <c:pt idx="0">
                  <c:v>12.9093615536762</c:v>
                </c:pt>
                <c:pt idx="1">
                  <c:v>11.8680063883464</c:v>
                </c:pt>
                <c:pt idx="2">
                  <c:v>11.8785651128911</c:v>
                </c:pt>
                <c:pt idx="3">
                  <c:v>11.7298547655521</c:v>
                </c:pt>
                <c:pt idx="4">
                  <c:v>11.5148833004654</c:v>
                </c:pt>
              </c:numCache>
            </c:numRef>
          </c:val>
        </c:ser>
        <c:ser>
          <c:idx val="3"/>
          <c:order val="3"/>
          <c:tx>
            <c:strRef>
              <c:f>'A8 Timing'!A47</c:f>
              <c:strCache>
                <c:ptCount val="1"/>
                <c:pt idx="0">
                  <c:v>LossyStore lossless</c:v>
                </c:pt>
              </c:strCache>
            </c:strRef>
          </c:tx>
          <c:spPr>
            <a:solidFill>
              <a:srgbClr val="725990"/>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'A8 Timing'!$B$43:$F$43</c:f>
              <c:strCache>
                <c:ptCount val="5"/>
                <c:pt idx="0">
                  <c:v>16 KB</c:v>
                </c:pt>
                <c:pt idx="1">
                  <c:v>64 KB</c:v>
                </c:pt>
                <c:pt idx="2">
                  <c:v>256 KB</c:v>
                </c:pt>
                <c:pt idx="3">
                  <c:v>1024 KB</c:v>
                </c:pt>
                <c:pt idx="4">
                  <c:v>4096 KB</c:v>
                </c:pt>
              </c:strCache>
            </c:strRef>
          </c:cat>
          <c:val>
            <c:numRef>
              <c:f>'A8 Timing'!$B$47:$F$47</c:f>
              <c:numCache>
                <c:formatCode>General</c:formatCode>
                <c:ptCount val="5"/>
                <c:pt idx="0">
                  <c:v>10.4882224563155</c:v>
                </c:pt>
                <c:pt idx="1">
                  <c:v>12.1239565828737</c:v>
                </c:pt>
                <c:pt idx="2">
                  <c:v>10.4964679142214</c:v>
                </c:pt>
                <c:pt idx="3">
                  <c:v>11.870644309304</c:v>
                </c:pt>
                <c:pt idx="4">
                  <c:v>10.7026109714546</c:v>
                </c:pt>
              </c:numCache>
            </c:numRef>
          </c:val>
        </c:ser>
        <c:ser>
          <c:idx val="4"/>
          <c:order val="4"/>
          <c:tx>
            <c:strRef>
              <c:f>'A8 Timing'!A48</c:f>
              <c:strCache>
                <c:ptCount val="1"/>
                <c:pt idx="0">
                  <c:v>LossyStore 0.1%</c:v>
                </c:pt>
              </c:strCache>
            </c:strRef>
          </c:tx>
          <c:spPr>
            <a:solidFill>
              <a:srgbClr val="4299b0"/>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'A8 Timing'!$B$43:$F$43</c:f>
              <c:strCache>
                <c:ptCount val="5"/>
                <c:pt idx="0">
                  <c:v>16 KB</c:v>
                </c:pt>
                <c:pt idx="1">
                  <c:v>64 KB</c:v>
                </c:pt>
                <c:pt idx="2">
                  <c:v>256 KB</c:v>
                </c:pt>
                <c:pt idx="3">
                  <c:v>1024 KB</c:v>
                </c:pt>
                <c:pt idx="4">
                  <c:v>4096 KB</c:v>
                </c:pt>
              </c:strCache>
            </c:strRef>
          </c:cat>
          <c:val>
            <c:numRef>
              <c:f>'A8 Timing'!$B$48:$F$48</c:f>
              <c:numCache>
                <c:formatCode>General</c:formatCode>
                <c:ptCount val="5"/>
                <c:pt idx="0">
                  <c:v>13.630941487381</c:v>
                </c:pt>
                <c:pt idx="1">
                  <c:v>12.8318185361746</c:v>
                </c:pt>
                <c:pt idx="2">
                  <c:v>12.9563388519065</c:v>
                </c:pt>
                <c:pt idx="3">
                  <c:v>12.9594828312445</c:v>
                </c:pt>
                <c:pt idx="4">
                  <c:v>12.4200066854787</c:v>
                </c:pt>
              </c:numCache>
            </c:numRef>
          </c:val>
        </c:ser>
        <c:ser>
          <c:idx val="5"/>
          <c:order val="5"/>
          <c:tx>
            <c:strRef>
              <c:f>'A8 Timing'!A49</c:f>
              <c:strCache>
                <c:ptCount val="1"/>
                <c:pt idx="0">
                  <c:v>LossyStore 1%</c:v>
                </c:pt>
              </c:strCache>
            </c:strRef>
          </c:tx>
          <c:spPr>
            <a:solidFill>
              <a:srgbClr val="dc853e"/>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'A8 Timing'!$B$43:$F$43</c:f>
              <c:strCache>
                <c:ptCount val="5"/>
                <c:pt idx="0">
                  <c:v>16 KB</c:v>
                </c:pt>
                <c:pt idx="1">
                  <c:v>64 KB</c:v>
                </c:pt>
                <c:pt idx="2">
                  <c:v>256 KB</c:v>
                </c:pt>
                <c:pt idx="3">
                  <c:v>1024 KB</c:v>
                </c:pt>
                <c:pt idx="4">
                  <c:v>4096 KB</c:v>
                </c:pt>
              </c:strCache>
            </c:strRef>
          </c:cat>
          <c:val>
            <c:numRef>
              <c:f>'A8 Timing'!$B$49:$F$49</c:f>
              <c:numCache>
                <c:formatCode>General</c:formatCode>
                <c:ptCount val="5"/>
                <c:pt idx="0">
                  <c:v>13.7396523662358</c:v>
                </c:pt>
                <c:pt idx="1">
                  <c:v>14.0394397338482</c:v>
                </c:pt>
                <c:pt idx="2">
                  <c:v>13.5376498726384</c:v>
                </c:pt>
                <c:pt idx="3">
                  <c:v>12.2126752224008</c:v>
                </c:pt>
                <c:pt idx="4">
                  <c:v>11.9263128065115</c:v>
                </c:pt>
              </c:numCache>
            </c:numRef>
          </c:val>
        </c:ser>
        <c:ser>
          <c:idx val="6"/>
          <c:order val="6"/>
          <c:tx>
            <c:strRef>
              <c:f>'A8 Timing'!A50</c:f>
              <c:strCache>
                <c:ptCount val="1"/>
                <c:pt idx="0">
                  <c:v>LossyStore 5%</c:v>
                </c:pt>
              </c:strCache>
            </c:strRef>
          </c:tx>
          <c:spPr>
            <a:solidFill>
              <a:srgbClr val="93a9ce"/>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'A8 Timing'!$B$43:$F$43</c:f>
              <c:strCache>
                <c:ptCount val="5"/>
                <c:pt idx="0">
                  <c:v>16 KB</c:v>
                </c:pt>
                <c:pt idx="1">
                  <c:v>64 KB</c:v>
                </c:pt>
                <c:pt idx="2">
                  <c:v>256 KB</c:v>
                </c:pt>
                <c:pt idx="3">
                  <c:v>1024 KB</c:v>
                </c:pt>
                <c:pt idx="4">
                  <c:v>4096 KB</c:v>
                </c:pt>
              </c:strCache>
            </c:strRef>
          </c:cat>
          <c:val>
            <c:numRef>
              <c:f>'A8 Timing'!$B$50:$F$50</c:f>
              <c:numCache>
                <c:formatCode>General</c:formatCode>
                <c:ptCount val="5"/>
                <c:pt idx="0">
                  <c:v>13.368217458713</c:v>
                </c:pt>
                <c:pt idx="1">
                  <c:v>14.2075096428727</c:v>
                </c:pt>
                <c:pt idx="2">
                  <c:v>13.1347832630493</c:v>
                </c:pt>
                <c:pt idx="3">
                  <c:v>12.373964028628</c:v>
                </c:pt>
                <c:pt idx="4">
                  <c:v>11.8997390257484</c:v>
                </c:pt>
              </c:numCache>
            </c:numRef>
          </c:val>
        </c:ser>
        <c:gapWidth val="60"/>
        <c:overlap val="0"/>
        <c:axId val="62839636"/>
        <c:axId val="8635999"/>
      </c:barChart>
      <c:catAx>
        <c:axId val="62839636"/>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unit size (KB)</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635999"/>
        <c:crosses val="autoZero"/>
        <c:auto val="1"/>
        <c:lblAlgn val="ctr"/>
        <c:lblOffset val="100"/>
        <c:noMultiLvlLbl val="0"/>
      </c:catAx>
      <c:valAx>
        <c:axId val="8635999"/>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MiB/s</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2839636"/>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Chained: encode time</a:t>
            </a:r>
          </a:p>
        </c:rich>
      </c:tx>
      <c:overlay val="0"/>
      <c:spPr>
        <a:noFill/>
        <a:ln w="0">
          <a:noFill/>
        </a:ln>
      </c:spPr>
    </c:title>
    <c:autoTitleDeleted val="0"/>
    <c:plotArea>
      <c:lineChart>
        <c:grouping val="standard"/>
        <c:varyColors val="0"/>
        <c:ser>
          <c:idx val="0"/>
          <c:order val="0"/>
          <c:tx>
            <c:strRef>
              <c:f>'A8 Timing'!A57</c:f>
              <c:strCache>
                <c:ptCount val="1"/>
                <c:pt idx="0">
                  <c:v>-&gt; CompressedStore</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'A8 Timing'!$B$56:$F$56</c:f>
              <c:strCache>
                <c:ptCount val="5"/>
                <c:pt idx="0">
                  <c:v>16 KB</c:v>
                </c:pt>
                <c:pt idx="1">
                  <c:v>64 KB</c:v>
                </c:pt>
                <c:pt idx="2">
                  <c:v>256 KB</c:v>
                </c:pt>
                <c:pt idx="3">
                  <c:v>1024 KB</c:v>
                </c:pt>
                <c:pt idx="4">
                  <c:v>4096 KB</c:v>
                </c:pt>
              </c:strCache>
            </c:strRef>
          </c:cat>
          <c:val>
            <c:numRef>
              <c:f>'A8 Timing'!$B$57:$F$57</c:f>
              <c:numCache>
                <c:formatCode>General</c:formatCode>
                <c:ptCount val="5"/>
                <c:pt idx="0">
                  <c:v>0.6233</c:v>
                </c:pt>
                <c:pt idx="1">
                  <c:v>0.6157</c:v>
                </c:pt>
                <c:pt idx="2">
                  <c:v>0.6113</c:v>
                </c:pt>
                <c:pt idx="3">
                  <c:v>0.6332</c:v>
                </c:pt>
                <c:pt idx="4">
                  <c:v>0.6462</c:v>
                </c:pt>
              </c:numCache>
            </c:numRef>
          </c:val>
          <c:smooth val="1"/>
        </c:ser>
        <c:ser>
          <c:idx val="1"/>
          <c:order val="1"/>
          <c:tx>
            <c:strRef>
              <c:f>'A8 Timing'!A58</c:f>
              <c:strCache>
                <c:ptCount val="1"/>
                <c:pt idx="0">
                  <c:v>-&gt; LossyStore lossless</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'A8 Timing'!$B$56:$F$56</c:f>
              <c:strCache>
                <c:ptCount val="5"/>
                <c:pt idx="0">
                  <c:v>16 KB</c:v>
                </c:pt>
                <c:pt idx="1">
                  <c:v>64 KB</c:v>
                </c:pt>
                <c:pt idx="2">
                  <c:v>256 KB</c:v>
                </c:pt>
                <c:pt idx="3">
                  <c:v>1024 KB</c:v>
                </c:pt>
                <c:pt idx="4">
                  <c:v>4096 KB</c:v>
                </c:pt>
              </c:strCache>
            </c:strRef>
          </c:cat>
          <c:val>
            <c:numRef>
              <c:f>'A8 Timing'!$B$58:$F$58</c:f>
              <c:numCache>
                <c:formatCode>General</c:formatCode>
                <c:ptCount val="5"/>
                <c:pt idx="0">
                  <c:v>0.6125</c:v>
                </c:pt>
                <c:pt idx="1">
                  <c:v>0.6137</c:v>
                </c:pt>
                <c:pt idx="2">
                  <c:v>0.6183</c:v>
                </c:pt>
                <c:pt idx="3">
                  <c:v>0.6429</c:v>
                </c:pt>
                <c:pt idx="4">
                  <c:v>0.6177</c:v>
                </c:pt>
              </c:numCache>
            </c:numRef>
          </c:val>
          <c:smooth val="1"/>
        </c:ser>
        <c:ser>
          <c:idx val="2"/>
          <c:order val="2"/>
          <c:tx>
            <c:strRef>
              <c:f>'A8 Timing'!A59</c:f>
              <c:strCache>
                <c:ptCount val="1"/>
                <c:pt idx="0">
                  <c:v>-&gt; LossyStore 0.1%</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'A8 Timing'!$B$56:$F$56</c:f>
              <c:strCache>
                <c:ptCount val="5"/>
                <c:pt idx="0">
                  <c:v>16 KB</c:v>
                </c:pt>
                <c:pt idx="1">
                  <c:v>64 KB</c:v>
                </c:pt>
                <c:pt idx="2">
                  <c:v>256 KB</c:v>
                </c:pt>
                <c:pt idx="3">
                  <c:v>1024 KB</c:v>
                </c:pt>
                <c:pt idx="4">
                  <c:v>4096 KB</c:v>
                </c:pt>
              </c:strCache>
            </c:strRef>
          </c:cat>
          <c:val>
            <c:numRef>
              <c:f>'A8 Timing'!$B$59:$F$59</c:f>
              <c:numCache>
                <c:formatCode>General</c:formatCode>
                <c:ptCount val="5"/>
                <c:pt idx="0">
                  <c:v>0.6123</c:v>
                </c:pt>
                <c:pt idx="1">
                  <c:v>0.6499</c:v>
                </c:pt>
                <c:pt idx="2">
                  <c:v>0.6256</c:v>
                </c:pt>
                <c:pt idx="3">
                  <c:v>0.6189</c:v>
                </c:pt>
                <c:pt idx="4">
                  <c:v>0.6185</c:v>
                </c:pt>
              </c:numCache>
            </c:numRef>
          </c:val>
          <c:smooth val="1"/>
        </c:ser>
        <c:ser>
          <c:idx val="3"/>
          <c:order val="3"/>
          <c:tx>
            <c:strRef>
              <c:f>'A8 Timing'!A60</c:f>
              <c:strCache>
                <c:ptCount val="1"/>
                <c:pt idx="0">
                  <c:v>-&gt; LossyStore 1%</c:v>
                </c:pt>
              </c:strCache>
            </c:strRef>
          </c:tx>
          <c:spPr>
            <a:solidFill>
              <a:srgbClr val="7d5fa0"/>
            </a:solidFill>
            <a:ln w="28440">
              <a:solidFill>
                <a:srgbClr val="7d5fa0"/>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'A8 Timing'!$B$56:$F$56</c:f>
              <c:strCache>
                <c:ptCount val="5"/>
                <c:pt idx="0">
                  <c:v>16 KB</c:v>
                </c:pt>
                <c:pt idx="1">
                  <c:v>64 KB</c:v>
                </c:pt>
                <c:pt idx="2">
                  <c:v>256 KB</c:v>
                </c:pt>
                <c:pt idx="3">
                  <c:v>1024 KB</c:v>
                </c:pt>
                <c:pt idx="4">
                  <c:v>4096 KB</c:v>
                </c:pt>
              </c:strCache>
            </c:strRef>
          </c:cat>
          <c:val>
            <c:numRef>
              <c:f>'A8 Timing'!$B$60:$F$60</c:f>
              <c:numCache>
                <c:formatCode>General</c:formatCode>
                <c:ptCount val="5"/>
                <c:pt idx="0">
                  <c:v>0.6625</c:v>
                </c:pt>
                <c:pt idx="1">
                  <c:v>0.6157</c:v>
                </c:pt>
                <c:pt idx="2">
                  <c:v>0.6113</c:v>
                </c:pt>
                <c:pt idx="3">
                  <c:v>0.5999</c:v>
                </c:pt>
                <c:pt idx="4">
                  <c:v>0.5952</c:v>
                </c:pt>
              </c:numCache>
            </c:numRef>
          </c:val>
          <c:smooth val="1"/>
        </c:ser>
        <c:ser>
          <c:idx val="4"/>
          <c:order val="4"/>
          <c:tx>
            <c:strRef>
              <c:f>'A8 Timing'!A61</c:f>
              <c:strCache>
                <c:ptCount val="1"/>
                <c:pt idx="0">
                  <c:v>-&gt; LossyStore 5%</c:v>
                </c:pt>
              </c:strCache>
            </c:strRef>
          </c:tx>
          <c:spPr>
            <a:solidFill>
              <a:srgbClr val="46aac4"/>
            </a:solidFill>
            <a:ln w="28440">
              <a:solidFill>
                <a:srgbClr val="46aac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'A8 Timing'!$B$56:$F$56</c:f>
              <c:strCache>
                <c:ptCount val="5"/>
                <c:pt idx="0">
                  <c:v>16 KB</c:v>
                </c:pt>
                <c:pt idx="1">
                  <c:v>64 KB</c:v>
                </c:pt>
                <c:pt idx="2">
                  <c:v>256 KB</c:v>
                </c:pt>
                <c:pt idx="3">
                  <c:v>1024 KB</c:v>
                </c:pt>
                <c:pt idx="4">
                  <c:v>4096 KB</c:v>
                </c:pt>
              </c:strCache>
            </c:strRef>
          </c:cat>
          <c:val>
            <c:numRef>
              <c:f>'A8 Timing'!$B$61:$F$61</c:f>
              <c:numCache>
                <c:formatCode>General</c:formatCode>
                <c:ptCount val="5"/>
                <c:pt idx="0">
                  <c:v>0.6186</c:v>
                </c:pt>
                <c:pt idx="1">
                  <c:v>0.6215</c:v>
                </c:pt>
                <c:pt idx="2">
                  <c:v>0.601</c:v>
                </c:pt>
                <c:pt idx="3">
                  <c:v>0.6299</c:v>
                </c:pt>
                <c:pt idx="4">
                  <c:v>0.6383</c:v>
                </c:pt>
              </c:numCache>
            </c:numRef>
          </c:val>
          <c:smooth val="1"/>
        </c:ser>
        <c:hiLowLines>
          <c:spPr>
            <a:ln w="0">
              <a:noFill/>
            </a:ln>
          </c:spPr>
        </c:hiLowLines>
        <c:marker val="0"/>
        <c:axId val="92741378"/>
        <c:axId val="34502091"/>
      </c:lineChart>
      <c:catAx>
        <c:axId val="92741378"/>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unit size (KB)</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4502091"/>
        <c:crosses val="autoZero"/>
        <c:auto val="1"/>
        <c:lblAlgn val="ctr"/>
        <c:lblOffset val="100"/>
        <c:noMultiLvlLbl val="0"/>
      </c:catAx>
      <c:valAx>
        <c:axId val="34502091"/>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seconds</a:t>
                </a:r>
              </a:p>
            </c:rich>
          </c:tx>
          <c:overlay val="0"/>
          <c:spPr>
            <a:noFill/>
            <a:ln w="0">
              <a:noFill/>
            </a:ln>
          </c:spPr>
        </c:title>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2741378"/>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Chained: decode time</a:t>
            </a:r>
          </a:p>
        </c:rich>
      </c:tx>
      <c:overlay val="0"/>
      <c:spPr>
        <a:noFill/>
        <a:ln w="0">
          <a:noFill/>
        </a:ln>
      </c:spPr>
    </c:title>
    <c:autoTitleDeleted val="0"/>
    <c:plotArea>
      <c:lineChart>
        <c:grouping val="standard"/>
        <c:varyColors val="0"/>
        <c:ser>
          <c:idx val="0"/>
          <c:order val="0"/>
          <c:tx>
            <c:strRef>
              <c:f>'A8 Timing'!A65</c:f>
              <c:strCache>
                <c:ptCount val="1"/>
                <c:pt idx="0">
                  <c:v>-&gt; CompressedStore</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'A8 Timing'!$B$64:$F$64</c:f>
              <c:strCache>
                <c:ptCount val="5"/>
                <c:pt idx="0">
                  <c:v>16 KB</c:v>
                </c:pt>
                <c:pt idx="1">
                  <c:v>64 KB</c:v>
                </c:pt>
                <c:pt idx="2">
                  <c:v>256 KB</c:v>
                </c:pt>
                <c:pt idx="3">
                  <c:v>1024 KB</c:v>
                </c:pt>
                <c:pt idx="4">
                  <c:v>4096 KB</c:v>
                </c:pt>
              </c:strCache>
            </c:strRef>
          </c:cat>
          <c:val>
            <c:numRef>
              <c:f>'A8 Timing'!$B$65:$F$65</c:f>
              <c:numCache>
                <c:formatCode>General</c:formatCode>
                <c:ptCount val="5"/>
                <c:pt idx="0">
                  <c:v>0.4889</c:v>
                </c:pt>
                <c:pt idx="1">
                  <c:v>0.459</c:v>
                </c:pt>
                <c:pt idx="2">
                  <c:v>0.4967</c:v>
                </c:pt>
                <c:pt idx="3">
                  <c:v>0.4473</c:v>
                </c:pt>
                <c:pt idx="4">
                  <c:v>0.5026</c:v>
                </c:pt>
              </c:numCache>
            </c:numRef>
          </c:val>
          <c:smooth val="1"/>
        </c:ser>
        <c:ser>
          <c:idx val="1"/>
          <c:order val="1"/>
          <c:tx>
            <c:strRef>
              <c:f>'A8 Timing'!A66</c:f>
              <c:strCache>
                <c:ptCount val="1"/>
                <c:pt idx="0">
                  <c:v>-&gt; LossyStore lossless</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'A8 Timing'!$B$64:$F$64</c:f>
              <c:strCache>
                <c:ptCount val="5"/>
                <c:pt idx="0">
                  <c:v>16 KB</c:v>
                </c:pt>
                <c:pt idx="1">
                  <c:v>64 KB</c:v>
                </c:pt>
                <c:pt idx="2">
                  <c:v>256 KB</c:v>
                </c:pt>
                <c:pt idx="3">
                  <c:v>1024 KB</c:v>
                </c:pt>
                <c:pt idx="4">
                  <c:v>4096 KB</c:v>
                </c:pt>
              </c:strCache>
            </c:strRef>
          </c:cat>
          <c:val>
            <c:numRef>
              <c:f>'A8 Timing'!$B$66:$F$66</c:f>
              <c:numCache>
                <c:formatCode>General</c:formatCode>
                <c:ptCount val="5"/>
                <c:pt idx="0">
                  <c:v>0.4387</c:v>
                </c:pt>
                <c:pt idx="1">
                  <c:v>0.4674</c:v>
                </c:pt>
                <c:pt idx="2">
                  <c:v>0.4789</c:v>
                </c:pt>
                <c:pt idx="3">
                  <c:v>0.4449</c:v>
                </c:pt>
                <c:pt idx="4">
                  <c:v>0.4561</c:v>
                </c:pt>
              </c:numCache>
            </c:numRef>
          </c:val>
          <c:smooth val="1"/>
        </c:ser>
        <c:ser>
          <c:idx val="2"/>
          <c:order val="2"/>
          <c:tx>
            <c:strRef>
              <c:f>'A8 Timing'!A67</c:f>
              <c:strCache>
                <c:ptCount val="1"/>
                <c:pt idx="0">
                  <c:v>-&gt; LossyStore 0.1%</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'A8 Timing'!$B$64:$F$64</c:f>
              <c:strCache>
                <c:ptCount val="5"/>
                <c:pt idx="0">
                  <c:v>16 KB</c:v>
                </c:pt>
                <c:pt idx="1">
                  <c:v>64 KB</c:v>
                </c:pt>
                <c:pt idx="2">
                  <c:v>256 KB</c:v>
                </c:pt>
                <c:pt idx="3">
                  <c:v>1024 KB</c:v>
                </c:pt>
                <c:pt idx="4">
                  <c:v>4096 KB</c:v>
                </c:pt>
              </c:strCache>
            </c:strRef>
          </c:cat>
          <c:val>
            <c:numRef>
              <c:f>'A8 Timing'!$B$67:$F$67</c:f>
              <c:numCache>
                <c:formatCode>General</c:formatCode>
                <c:ptCount val="5"/>
                <c:pt idx="0">
                  <c:v>0.4349</c:v>
                </c:pt>
                <c:pt idx="1">
                  <c:v>0.4197</c:v>
                </c:pt>
                <c:pt idx="2">
                  <c:v>0.4179</c:v>
                </c:pt>
                <c:pt idx="3">
                  <c:v>0.4188</c:v>
                </c:pt>
                <c:pt idx="4">
                  <c:v>0.4551</c:v>
                </c:pt>
              </c:numCache>
            </c:numRef>
          </c:val>
          <c:smooth val="1"/>
        </c:ser>
        <c:ser>
          <c:idx val="3"/>
          <c:order val="3"/>
          <c:tx>
            <c:strRef>
              <c:f>'A8 Timing'!A68</c:f>
              <c:strCache>
                <c:ptCount val="1"/>
                <c:pt idx="0">
                  <c:v>-&gt; LossyStore 1%</c:v>
                </c:pt>
              </c:strCache>
            </c:strRef>
          </c:tx>
          <c:spPr>
            <a:solidFill>
              <a:srgbClr val="7d5fa0"/>
            </a:solidFill>
            <a:ln w="28440">
              <a:solidFill>
                <a:srgbClr val="7d5fa0"/>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'A8 Timing'!$B$64:$F$64</c:f>
              <c:strCache>
                <c:ptCount val="5"/>
                <c:pt idx="0">
                  <c:v>16 KB</c:v>
                </c:pt>
                <c:pt idx="1">
                  <c:v>64 KB</c:v>
                </c:pt>
                <c:pt idx="2">
                  <c:v>256 KB</c:v>
                </c:pt>
                <c:pt idx="3">
                  <c:v>1024 KB</c:v>
                </c:pt>
                <c:pt idx="4">
                  <c:v>4096 KB</c:v>
                </c:pt>
              </c:strCache>
            </c:strRef>
          </c:cat>
          <c:val>
            <c:numRef>
              <c:f>'A8 Timing'!$B$68:$F$68</c:f>
              <c:numCache>
                <c:formatCode>General</c:formatCode>
                <c:ptCount val="5"/>
                <c:pt idx="0">
                  <c:v>0.421</c:v>
                </c:pt>
                <c:pt idx="1">
                  <c:v>0.3857</c:v>
                </c:pt>
                <c:pt idx="2">
                  <c:v>0.4016</c:v>
                </c:pt>
                <c:pt idx="3">
                  <c:v>0.4075</c:v>
                </c:pt>
                <c:pt idx="4">
                  <c:v>0.453</c:v>
                </c:pt>
              </c:numCache>
            </c:numRef>
          </c:val>
          <c:smooth val="1"/>
        </c:ser>
        <c:ser>
          <c:idx val="4"/>
          <c:order val="4"/>
          <c:tx>
            <c:strRef>
              <c:f>'A8 Timing'!A69</c:f>
              <c:strCache>
                <c:ptCount val="1"/>
                <c:pt idx="0">
                  <c:v>-&gt; LossyStore 5%</c:v>
                </c:pt>
              </c:strCache>
            </c:strRef>
          </c:tx>
          <c:spPr>
            <a:solidFill>
              <a:srgbClr val="46aac4"/>
            </a:solidFill>
            <a:ln w="28440">
              <a:solidFill>
                <a:srgbClr val="46aac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'A8 Timing'!$B$64:$F$64</c:f>
              <c:strCache>
                <c:ptCount val="5"/>
                <c:pt idx="0">
                  <c:v>16 KB</c:v>
                </c:pt>
                <c:pt idx="1">
                  <c:v>64 KB</c:v>
                </c:pt>
                <c:pt idx="2">
                  <c:v>256 KB</c:v>
                </c:pt>
                <c:pt idx="3">
                  <c:v>1024 KB</c:v>
                </c:pt>
                <c:pt idx="4">
                  <c:v>4096 KB</c:v>
                </c:pt>
              </c:strCache>
            </c:strRef>
          </c:cat>
          <c:val>
            <c:numRef>
              <c:f>'A8 Timing'!$B$69:$F$69</c:f>
              <c:numCache>
                <c:formatCode>General</c:formatCode>
                <c:ptCount val="5"/>
                <c:pt idx="0">
                  <c:v>0.4119</c:v>
                </c:pt>
                <c:pt idx="1">
                  <c:v>0.4162</c:v>
                </c:pt>
                <c:pt idx="2">
                  <c:v>0.4176</c:v>
                </c:pt>
                <c:pt idx="3">
                  <c:v>0.42</c:v>
                </c:pt>
                <c:pt idx="4">
                  <c:v>0.4394</c:v>
                </c:pt>
              </c:numCache>
            </c:numRef>
          </c:val>
          <c:smooth val="1"/>
        </c:ser>
        <c:hiLowLines>
          <c:spPr>
            <a:ln w="0">
              <a:noFill/>
            </a:ln>
          </c:spPr>
        </c:hiLowLines>
        <c:marker val="0"/>
        <c:axId val="73719321"/>
        <c:axId val="81215871"/>
      </c:lineChart>
      <c:catAx>
        <c:axId val="73719321"/>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unit size (KB)</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1215871"/>
        <c:crosses val="autoZero"/>
        <c:auto val="1"/>
        <c:lblAlgn val="ctr"/>
        <c:lblOffset val="100"/>
        <c:noMultiLvlLbl val="0"/>
      </c:catAx>
      <c:valAx>
        <c:axId val="81215871"/>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seconds</a:t>
                </a:r>
              </a:p>
            </c:rich>
          </c:tx>
          <c:overlay val="0"/>
          <c:spPr>
            <a:noFill/>
            <a:ln w="0">
              <a:noFill/>
            </a:ln>
          </c:spPr>
        </c:title>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3719321"/>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Compression ratio by unit size (standalone)</a:t>
            </a:r>
          </a:p>
        </c:rich>
      </c:tx>
      <c:overlay val="0"/>
      <c:spPr>
        <a:noFill/>
        <a:ln w="0">
          <a:noFill/>
        </a:ln>
      </c:spPr>
    </c:title>
    <c:autoTitleDeleted val="0"/>
    <c:plotArea>
      <c:lineChart>
        <c:grouping val="standard"/>
        <c:varyColors val="0"/>
        <c:ser>
          <c:idx val="0"/>
          <c:order val="0"/>
          <c:tx>
            <c:strRef>
              <c:f>'A1 Ratio by Unit'!A7</c:f>
              <c:strCache>
                <c:ptCount val="1"/>
                <c:pt idx="0">
                  <c:v>MemoryStore</c:v>
                </c:pt>
              </c:strCache>
            </c:strRef>
          </c:tx>
          <c:spPr>
            <a:solidFill>
              <a:srgbClr val="426fa6"/>
            </a:solidFill>
            <a:ln w="28440">
              <a:solidFill>
                <a:srgbClr val="426fa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'A1 Ratio by Unit'!$B$6:$F$6</c:f>
              <c:strCache>
                <c:ptCount val="5"/>
                <c:pt idx="0">
                  <c:v>16 KB</c:v>
                </c:pt>
                <c:pt idx="1">
                  <c:v>64 KB</c:v>
                </c:pt>
                <c:pt idx="2">
                  <c:v>256 KB</c:v>
                </c:pt>
                <c:pt idx="3">
                  <c:v>1024 KB</c:v>
                </c:pt>
                <c:pt idx="4">
                  <c:v>4096 KB</c:v>
                </c:pt>
              </c:strCache>
            </c:strRef>
          </c:cat>
          <c:val>
            <c:numRef>
              <c:f>'A1 Ratio by Unit'!$B$7:$F$7</c:f>
              <c:numCache>
                <c:formatCode>General</c:formatCode>
                <c:ptCount val="5"/>
                <c:pt idx="0">
                  <c:v>1</c:v>
                </c:pt>
                <c:pt idx="1">
                  <c:v>1</c:v>
                </c:pt>
                <c:pt idx="2">
                  <c:v>1</c:v>
                </c:pt>
                <c:pt idx="3">
                  <c:v>1</c:v>
                </c:pt>
                <c:pt idx="4">
                  <c:v>1</c:v>
                </c:pt>
              </c:numCache>
            </c:numRef>
          </c:val>
          <c:smooth val="1"/>
        </c:ser>
        <c:ser>
          <c:idx val="1"/>
          <c:order val="1"/>
          <c:tx>
            <c:strRef>
              <c:f>'A1 Ratio by Unit'!A8</c:f>
              <c:strCache>
                <c:ptCount val="1"/>
                <c:pt idx="0">
                  <c:v>FileStore</c:v>
                </c:pt>
              </c:strCache>
            </c:strRef>
          </c:tx>
          <c:spPr>
            <a:solidFill>
              <a:srgbClr val="aa433f"/>
            </a:solidFill>
            <a:ln w="28440">
              <a:solidFill>
                <a:srgbClr val="aa433f"/>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'A1 Ratio by Unit'!$B$6:$F$6</c:f>
              <c:strCache>
                <c:ptCount val="5"/>
                <c:pt idx="0">
                  <c:v>16 KB</c:v>
                </c:pt>
                <c:pt idx="1">
                  <c:v>64 KB</c:v>
                </c:pt>
                <c:pt idx="2">
                  <c:v>256 KB</c:v>
                </c:pt>
                <c:pt idx="3">
                  <c:v>1024 KB</c:v>
                </c:pt>
                <c:pt idx="4">
                  <c:v>4096 KB</c:v>
                </c:pt>
              </c:strCache>
            </c:strRef>
          </c:cat>
          <c:val>
            <c:numRef>
              <c:f>'A1 Ratio by Unit'!$B$8:$F$8</c:f>
              <c:numCache>
                <c:formatCode>General</c:formatCode>
                <c:ptCount val="5"/>
                <c:pt idx="0">
                  <c:v>1</c:v>
                </c:pt>
                <c:pt idx="1">
                  <c:v>1</c:v>
                </c:pt>
                <c:pt idx="2">
                  <c:v>1</c:v>
                </c:pt>
                <c:pt idx="3">
                  <c:v>1</c:v>
                </c:pt>
                <c:pt idx="4">
                  <c:v>1</c:v>
                </c:pt>
              </c:numCache>
            </c:numRef>
          </c:val>
          <c:smooth val="1"/>
        </c:ser>
        <c:ser>
          <c:idx val="2"/>
          <c:order val="2"/>
          <c:tx>
            <c:strRef>
              <c:f>'A1 Ratio by Unit'!A9</c:f>
              <c:strCache>
                <c:ptCount val="1"/>
                <c:pt idx="0">
                  <c:v>CompressedStore</c:v>
                </c:pt>
              </c:strCache>
            </c:strRef>
          </c:tx>
          <c:spPr>
            <a:solidFill>
              <a:srgbClr val="87a44b"/>
            </a:solidFill>
            <a:ln w="28440">
              <a:solidFill>
                <a:srgbClr val="87a44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'A1 Ratio by Unit'!$B$6:$F$6</c:f>
              <c:strCache>
                <c:ptCount val="5"/>
                <c:pt idx="0">
                  <c:v>16 KB</c:v>
                </c:pt>
                <c:pt idx="1">
                  <c:v>64 KB</c:v>
                </c:pt>
                <c:pt idx="2">
                  <c:v>256 KB</c:v>
                </c:pt>
                <c:pt idx="3">
                  <c:v>1024 KB</c:v>
                </c:pt>
                <c:pt idx="4">
                  <c:v>4096 KB</c:v>
                </c:pt>
              </c:strCache>
            </c:strRef>
          </c:cat>
          <c:val>
            <c:numRef>
              <c:f>'A1 Ratio by Unit'!$B$9:$F$9</c:f>
              <c:numCache>
                <c:formatCode>General</c:formatCode>
                <c:ptCount val="5"/>
                <c:pt idx="0">
                  <c:v>3.1662</c:v>
                </c:pt>
                <c:pt idx="1">
                  <c:v>3.2567</c:v>
                </c:pt>
                <c:pt idx="2">
                  <c:v>3.2682</c:v>
                </c:pt>
                <c:pt idx="3">
                  <c:v>3.2661</c:v>
                </c:pt>
                <c:pt idx="4">
                  <c:v>3.27</c:v>
                </c:pt>
              </c:numCache>
            </c:numRef>
          </c:val>
          <c:smooth val="1"/>
        </c:ser>
        <c:ser>
          <c:idx val="3"/>
          <c:order val="3"/>
          <c:tx>
            <c:strRef>
              <c:f>'A1 Ratio by Unit'!A10</c:f>
              <c:strCache>
                <c:ptCount val="1"/>
                <c:pt idx="0">
                  <c:v>LossyStore lossless</c:v>
                </c:pt>
              </c:strCache>
            </c:strRef>
          </c:tx>
          <c:spPr>
            <a:solidFill>
              <a:srgbClr val="6f568d"/>
            </a:solidFill>
            <a:ln w="28440">
              <a:solidFill>
                <a:srgbClr val="6f568d"/>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'A1 Ratio by Unit'!$B$6:$F$6</c:f>
              <c:strCache>
                <c:ptCount val="5"/>
                <c:pt idx="0">
                  <c:v>16 KB</c:v>
                </c:pt>
                <c:pt idx="1">
                  <c:v>64 KB</c:v>
                </c:pt>
                <c:pt idx="2">
                  <c:v>256 KB</c:v>
                </c:pt>
                <c:pt idx="3">
                  <c:v>1024 KB</c:v>
                </c:pt>
                <c:pt idx="4">
                  <c:v>4096 KB</c:v>
                </c:pt>
              </c:strCache>
            </c:strRef>
          </c:cat>
          <c:val>
            <c:numRef>
              <c:f>'A1 Ratio by Unit'!$B$10:$F$10</c:f>
              <c:numCache>
                <c:formatCode>General</c:formatCode>
                <c:ptCount val="5"/>
                <c:pt idx="0">
                  <c:v>4.6408</c:v>
                </c:pt>
                <c:pt idx="1">
                  <c:v>3.7358</c:v>
                </c:pt>
                <c:pt idx="2">
                  <c:v>4.1013</c:v>
                </c:pt>
                <c:pt idx="3">
                  <c:v>3.5885</c:v>
                </c:pt>
                <c:pt idx="4">
                  <c:v>4.4958</c:v>
                </c:pt>
              </c:numCache>
            </c:numRef>
          </c:val>
          <c:smooth val="1"/>
        </c:ser>
        <c:ser>
          <c:idx val="4"/>
          <c:order val="4"/>
          <c:tx>
            <c:strRef>
              <c:f>'A1 Ratio by Unit'!A11</c:f>
              <c:strCache>
                <c:ptCount val="1"/>
                <c:pt idx="0">
                  <c:v>LossyStore 0.1%</c:v>
                </c:pt>
              </c:strCache>
            </c:strRef>
          </c:tx>
          <c:spPr>
            <a:solidFill>
              <a:srgbClr val="3d97af"/>
            </a:solidFill>
            <a:ln w="28440">
              <a:solidFill>
                <a:srgbClr val="3d97af"/>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'A1 Ratio by Unit'!$B$6:$F$6</c:f>
              <c:strCache>
                <c:ptCount val="5"/>
                <c:pt idx="0">
                  <c:v>16 KB</c:v>
                </c:pt>
                <c:pt idx="1">
                  <c:v>64 KB</c:v>
                </c:pt>
                <c:pt idx="2">
                  <c:v>256 KB</c:v>
                </c:pt>
                <c:pt idx="3">
                  <c:v>1024 KB</c:v>
                </c:pt>
                <c:pt idx="4">
                  <c:v>4096 KB</c:v>
                </c:pt>
              </c:strCache>
            </c:strRef>
          </c:cat>
          <c:val>
            <c:numRef>
              <c:f>'A1 Ratio by Unit'!$B$11:$F$11</c:f>
              <c:numCache>
                <c:formatCode>General</c:formatCode>
                <c:ptCount val="5"/>
                <c:pt idx="0">
                  <c:v>6.9234</c:v>
                </c:pt>
                <c:pt idx="1">
                  <c:v>4.9272</c:v>
                </c:pt>
                <c:pt idx="2">
                  <c:v>5.4988</c:v>
                </c:pt>
                <c:pt idx="3">
                  <c:v>4.6148</c:v>
                </c:pt>
                <c:pt idx="4">
                  <c:v>6.2426</c:v>
                </c:pt>
              </c:numCache>
            </c:numRef>
          </c:val>
          <c:smooth val="1"/>
        </c:ser>
        <c:ser>
          <c:idx val="5"/>
          <c:order val="5"/>
          <c:tx>
            <c:strRef>
              <c:f>'A1 Ratio by Unit'!A12</c:f>
              <c:strCache>
                <c:ptCount val="1"/>
                <c:pt idx="0">
                  <c:v>LossyStore 1%</c:v>
                </c:pt>
              </c:strCache>
            </c:strRef>
          </c:tx>
          <c:spPr>
            <a:solidFill>
              <a:srgbClr val="db8238"/>
            </a:solidFill>
            <a:ln w="28440">
              <a:solidFill>
                <a:srgbClr val="db823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'A1 Ratio by Unit'!$B$6:$F$6</c:f>
              <c:strCache>
                <c:ptCount val="5"/>
                <c:pt idx="0">
                  <c:v>16 KB</c:v>
                </c:pt>
                <c:pt idx="1">
                  <c:v>64 KB</c:v>
                </c:pt>
                <c:pt idx="2">
                  <c:v>256 KB</c:v>
                </c:pt>
                <c:pt idx="3">
                  <c:v>1024 KB</c:v>
                </c:pt>
                <c:pt idx="4">
                  <c:v>4096 KB</c:v>
                </c:pt>
              </c:strCache>
            </c:strRef>
          </c:cat>
          <c:val>
            <c:numRef>
              <c:f>'A1 Ratio by Unit'!$B$12:$F$12</c:f>
              <c:numCache>
                <c:formatCode>General</c:formatCode>
                <c:ptCount val="5"/>
                <c:pt idx="0">
                  <c:v>7.6704</c:v>
                </c:pt>
                <c:pt idx="1">
                  <c:v>5.3142</c:v>
                </c:pt>
                <c:pt idx="2">
                  <c:v>6.0861</c:v>
                </c:pt>
                <c:pt idx="3">
                  <c:v>4.996</c:v>
                </c:pt>
                <c:pt idx="4">
                  <c:v>6.9393</c:v>
                </c:pt>
              </c:numCache>
            </c:numRef>
          </c:val>
          <c:smooth val="1"/>
        </c:ser>
        <c:ser>
          <c:idx val="6"/>
          <c:order val="6"/>
          <c:tx>
            <c:strRef>
              <c:f>'A1 Ratio by Unit'!A13</c:f>
              <c:strCache>
                <c:ptCount val="1"/>
                <c:pt idx="0">
                  <c:v>LossyStore 5%</c:v>
                </c:pt>
              </c:strCache>
            </c:strRef>
          </c:tx>
          <c:spPr>
            <a:solidFill>
              <a:srgbClr val="8ea5ca"/>
            </a:solidFill>
            <a:ln w="28440">
              <a:solidFill>
                <a:srgbClr val="8ea5c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'A1 Ratio by Unit'!$B$6:$F$6</c:f>
              <c:strCache>
                <c:ptCount val="5"/>
                <c:pt idx="0">
                  <c:v>16 KB</c:v>
                </c:pt>
                <c:pt idx="1">
                  <c:v>64 KB</c:v>
                </c:pt>
                <c:pt idx="2">
                  <c:v>256 KB</c:v>
                </c:pt>
                <c:pt idx="3">
                  <c:v>1024 KB</c:v>
                </c:pt>
                <c:pt idx="4">
                  <c:v>4096 KB</c:v>
                </c:pt>
              </c:strCache>
            </c:strRef>
          </c:cat>
          <c:val>
            <c:numRef>
              <c:f>'A1 Ratio by Unit'!$B$13:$F$13</c:f>
              <c:numCache>
                <c:formatCode>General</c:formatCode>
                <c:ptCount val="5"/>
                <c:pt idx="0">
                  <c:v>8.3247</c:v>
                </c:pt>
                <c:pt idx="1">
                  <c:v>5.5997</c:v>
                </c:pt>
                <c:pt idx="2">
                  <c:v>6.5037</c:v>
                </c:pt>
                <c:pt idx="3">
                  <c:v>5.3242</c:v>
                </c:pt>
                <c:pt idx="4">
                  <c:v>7.6174</c:v>
                </c:pt>
              </c:numCache>
            </c:numRef>
          </c:val>
          <c:smooth val="1"/>
        </c:ser>
        <c:hiLowLines>
          <c:spPr>
            <a:ln w="0">
              <a:noFill/>
            </a:ln>
          </c:spPr>
        </c:hiLowLines>
        <c:marker val="0"/>
        <c:axId val="92556317"/>
        <c:axId val="7396283"/>
      </c:lineChart>
      <c:catAx>
        <c:axId val="92556317"/>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unit size (KB)</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396283"/>
        <c:crosses val="autoZero"/>
        <c:auto val="1"/>
        <c:lblAlgn val="ctr"/>
        <c:lblOffset val="100"/>
        <c:noMultiLvlLbl val="0"/>
      </c:catAx>
      <c:valAx>
        <c:axId val="7396283"/>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ratio</a:t>
                </a:r>
              </a:p>
            </c:rich>
          </c:tx>
          <c:overlay val="0"/>
          <c:spPr>
            <a:noFill/>
            <a:ln w="0">
              <a:noFill/>
            </a:ln>
          </c:spPr>
        </c:title>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2556317"/>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Encoded size by unit size (standalone, MiB)</a:t>
            </a:r>
          </a:p>
        </c:rich>
      </c:tx>
      <c:overlay val="0"/>
      <c:spPr>
        <a:noFill/>
        <a:ln w="0">
          <a:noFill/>
        </a:ln>
      </c:spPr>
    </c:title>
    <c:autoTitleDeleted val="0"/>
    <c:plotArea>
      <c:barChart>
        <c:barDir val="col"/>
        <c:grouping val="clustered"/>
        <c:varyColors val="0"/>
        <c:ser>
          <c:idx val="0"/>
          <c:order val="0"/>
          <c:tx>
            <c:strRef>
              <c:f>'A7 Bytes by Unit'!A7</c:f>
              <c:strCache>
                <c:ptCount val="1"/>
                <c:pt idx="0">
                  <c:v>MemoryStore</c:v>
                </c:pt>
              </c:strCache>
            </c:strRef>
          </c:tx>
          <c:spPr>
            <a:solidFill>
              <a:srgbClr val="4672a8"/>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'A7 Bytes by Unit'!$B$6:$F$6</c:f>
              <c:strCache>
                <c:ptCount val="5"/>
                <c:pt idx="0">
                  <c:v>16 KB</c:v>
                </c:pt>
                <c:pt idx="1">
                  <c:v>64 KB</c:v>
                </c:pt>
                <c:pt idx="2">
                  <c:v>256 KB</c:v>
                </c:pt>
                <c:pt idx="3">
                  <c:v>1024 KB</c:v>
                </c:pt>
                <c:pt idx="4">
                  <c:v>4096 KB</c:v>
                </c:pt>
              </c:strCache>
            </c:strRef>
          </c:cat>
          <c:val>
            <c:numRef>
              <c:f>'A7 Bytes by Unit'!$B$7:$F$7</c:f>
              <c:numCache>
                <c:formatCode>General</c:formatCode>
                <c:ptCount val="5"/>
                <c:pt idx="0">
                  <c:v>5.34060287475586</c:v>
                </c:pt>
                <c:pt idx="1">
                  <c:v>5.34060287475586</c:v>
                </c:pt>
                <c:pt idx="2">
                  <c:v>5.34060287475586</c:v>
                </c:pt>
                <c:pt idx="3">
                  <c:v>5.34060287475586</c:v>
                </c:pt>
                <c:pt idx="4">
                  <c:v>5.34060287475586</c:v>
                </c:pt>
              </c:numCache>
            </c:numRef>
          </c:val>
        </c:ser>
        <c:ser>
          <c:idx val="1"/>
          <c:order val="1"/>
          <c:tx>
            <c:strRef>
              <c:f>'A7 Bytes by Unit'!A8</c:f>
              <c:strCache>
                <c:ptCount val="1"/>
                <c:pt idx="0">
                  <c:v>FileStore</c:v>
                </c:pt>
              </c:strCache>
            </c:strRef>
          </c:tx>
          <c:spPr>
            <a:solidFill>
              <a:srgbClr val="ab4744"/>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'A7 Bytes by Unit'!$B$6:$F$6</c:f>
              <c:strCache>
                <c:ptCount val="5"/>
                <c:pt idx="0">
                  <c:v>16 KB</c:v>
                </c:pt>
                <c:pt idx="1">
                  <c:v>64 KB</c:v>
                </c:pt>
                <c:pt idx="2">
                  <c:v>256 KB</c:v>
                </c:pt>
                <c:pt idx="3">
                  <c:v>1024 KB</c:v>
                </c:pt>
                <c:pt idx="4">
                  <c:v>4096 KB</c:v>
                </c:pt>
              </c:strCache>
            </c:strRef>
          </c:cat>
          <c:val>
            <c:numRef>
              <c:f>'A7 Bytes by Unit'!$B$8:$F$8</c:f>
              <c:numCache>
                <c:formatCode>General</c:formatCode>
                <c:ptCount val="5"/>
                <c:pt idx="0">
                  <c:v>5.34060287475586</c:v>
                </c:pt>
                <c:pt idx="1">
                  <c:v>5.34060287475586</c:v>
                </c:pt>
                <c:pt idx="2">
                  <c:v>5.34060287475586</c:v>
                </c:pt>
                <c:pt idx="3">
                  <c:v>5.34060287475586</c:v>
                </c:pt>
                <c:pt idx="4">
                  <c:v>5.34060287475586</c:v>
                </c:pt>
              </c:numCache>
            </c:numRef>
          </c:val>
        </c:ser>
        <c:ser>
          <c:idx val="2"/>
          <c:order val="2"/>
          <c:tx>
            <c:strRef>
              <c:f>'A7 Bytes by Unit'!A9</c:f>
              <c:strCache>
                <c:ptCount val="1"/>
                <c:pt idx="0">
                  <c:v>CompressedStore</c:v>
                </c:pt>
              </c:strCache>
            </c:strRef>
          </c:tx>
          <c:spPr>
            <a:solidFill>
              <a:srgbClr val="8aa64f"/>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'A7 Bytes by Unit'!$B$6:$F$6</c:f>
              <c:strCache>
                <c:ptCount val="5"/>
                <c:pt idx="0">
                  <c:v>16 KB</c:v>
                </c:pt>
                <c:pt idx="1">
                  <c:v>64 KB</c:v>
                </c:pt>
                <c:pt idx="2">
                  <c:v>256 KB</c:v>
                </c:pt>
                <c:pt idx="3">
                  <c:v>1024 KB</c:v>
                </c:pt>
                <c:pt idx="4">
                  <c:v>4096 KB</c:v>
                </c:pt>
              </c:strCache>
            </c:strRef>
          </c:cat>
          <c:val>
            <c:numRef>
              <c:f>'A7 Bytes by Unit'!$B$9:$F$9</c:f>
              <c:numCache>
                <c:formatCode>General</c:formatCode>
                <c:ptCount val="5"/>
                <c:pt idx="0">
                  <c:v>1.68674564361572</c:v>
                </c:pt>
                <c:pt idx="1">
                  <c:v>1.63989734649658</c:v>
                </c:pt>
                <c:pt idx="2">
                  <c:v>1.63411426544189</c:v>
                </c:pt>
                <c:pt idx="3">
                  <c:v>1.63514709472656</c:v>
                </c:pt>
                <c:pt idx="4">
                  <c:v>1.63320064544678</c:v>
                </c:pt>
              </c:numCache>
            </c:numRef>
          </c:val>
        </c:ser>
        <c:ser>
          <c:idx val="3"/>
          <c:order val="3"/>
          <c:tx>
            <c:strRef>
              <c:f>'A7 Bytes by Unit'!A10</c:f>
              <c:strCache>
                <c:ptCount val="1"/>
                <c:pt idx="0">
                  <c:v>LossyStore lossless</c:v>
                </c:pt>
              </c:strCache>
            </c:strRef>
          </c:tx>
          <c:spPr>
            <a:solidFill>
              <a:srgbClr val="725990"/>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'A7 Bytes by Unit'!$B$6:$F$6</c:f>
              <c:strCache>
                <c:ptCount val="5"/>
                <c:pt idx="0">
                  <c:v>16 KB</c:v>
                </c:pt>
                <c:pt idx="1">
                  <c:v>64 KB</c:v>
                </c:pt>
                <c:pt idx="2">
                  <c:v>256 KB</c:v>
                </c:pt>
                <c:pt idx="3">
                  <c:v>1024 KB</c:v>
                </c:pt>
                <c:pt idx="4">
                  <c:v>4096 KB</c:v>
                </c:pt>
              </c:strCache>
            </c:strRef>
          </c:cat>
          <c:val>
            <c:numRef>
              <c:f>'A7 Bytes by Unit'!$B$10:$F$10</c:f>
              <c:numCache>
                <c:formatCode>General</c:formatCode>
                <c:ptCount val="5"/>
                <c:pt idx="0">
                  <c:v>1.15078449249268</c:v>
                </c:pt>
                <c:pt idx="1">
                  <c:v>1.42958068847656</c:v>
                </c:pt>
                <c:pt idx="2">
                  <c:v>1.30216217041016</c:v>
                </c:pt>
                <c:pt idx="3">
                  <c:v>1.48826789855957</c:v>
                </c:pt>
                <c:pt idx="4">
                  <c:v>1.18790340423584</c:v>
                </c:pt>
              </c:numCache>
            </c:numRef>
          </c:val>
        </c:ser>
        <c:ser>
          <c:idx val="4"/>
          <c:order val="4"/>
          <c:tx>
            <c:strRef>
              <c:f>'A7 Bytes by Unit'!A11</c:f>
              <c:strCache>
                <c:ptCount val="1"/>
                <c:pt idx="0">
                  <c:v>LossyStore 0.1%</c:v>
                </c:pt>
              </c:strCache>
            </c:strRef>
          </c:tx>
          <c:spPr>
            <a:solidFill>
              <a:srgbClr val="4299b0"/>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'A7 Bytes by Unit'!$B$6:$F$6</c:f>
              <c:strCache>
                <c:ptCount val="5"/>
                <c:pt idx="0">
                  <c:v>16 KB</c:v>
                </c:pt>
                <c:pt idx="1">
                  <c:v>64 KB</c:v>
                </c:pt>
                <c:pt idx="2">
                  <c:v>256 KB</c:v>
                </c:pt>
                <c:pt idx="3">
                  <c:v>1024 KB</c:v>
                </c:pt>
                <c:pt idx="4">
                  <c:v>4096 KB</c:v>
                </c:pt>
              </c:strCache>
            </c:strRef>
          </c:cat>
          <c:val>
            <c:numRef>
              <c:f>'A7 Bytes by Unit'!$B$11:$F$11</c:f>
              <c:numCache>
                <c:formatCode>General</c:formatCode>
                <c:ptCount val="5"/>
                <c:pt idx="0">
                  <c:v>0.771383285522461</c:v>
                </c:pt>
                <c:pt idx="1">
                  <c:v>1.08390235900879</c:v>
                </c:pt>
                <c:pt idx="2">
                  <c:v>0.97122859954834</c:v>
                </c:pt>
                <c:pt idx="3">
                  <c:v>1.15727996826172</c:v>
                </c:pt>
                <c:pt idx="4">
                  <c:v>0.855509757995606</c:v>
                </c:pt>
              </c:numCache>
            </c:numRef>
          </c:val>
        </c:ser>
        <c:ser>
          <c:idx val="5"/>
          <c:order val="5"/>
          <c:tx>
            <c:strRef>
              <c:f>'A7 Bytes by Unit'!A12</c:f>
              <c:strCache>
                <c:ptCount val="1"/>
                <c:pt idx="0">
                  <c:v>LossyStore 1%</c:v>
                </c:pt>
              </c:strCache>
            </c:strRef>
          </c:tx>
          <c:spPr>
            <a:solidFill>
              <a:srgbClr val="dc853e"/>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'A7 Bytes by Unit'!$B$6:$F$6</c:f>
              <c:strCache>
                <c:ptCount val="5"/>
                <c:pt idx="0">
                  <c:v>16 KB</c:v>
                </c:pt>
                <c:pt idx="1">
                  <c:v>64 KB</c:v>
                </c:pt>
                <c:pt idx="2">
                  <c:v>256 KB</c:v>
                </c:pt>
                <c:pt idx="3">
                  <c:v>1024 KB</c:v>
                </c:pt>
                <c:pt idx="4">
                  <c:v>4096 KB</c:v>
                </c:pt>
              </c:strCache>
            </c:strRef>
          </c:cat>
          <c:val>
            <c:numRef>
              <c:f>'A7 Bytes by Unit'!$B$12:$F$12</c:f>
              <c:numCache>
                <c:formatCode>General</c:formatCode>
                <c:ptCount val="5"/>
                <c:pt idx="0">
                  <c:v>0.696263313293457</c:v>
                </c:pt>
                <c:pt idx="1">
                  <c:v>1.00497055053711</c:v>
                </c:pt>
                <c:pt idx="2">
                  <c:v>0.877513885498047</c:v>
                </c:pt>
                <c:pt idx="3">
                  <c:v>1.06897449493408</c:v>
                </c:pt>
                <c:pt idx="4">
                  <c:v>0.769621849060059</c:v>
                </c:pt>
              </c:numCache>
            </c:numRef>
          </c:val>
        </c:ser>
        <c:ser>
          <c:idx val="6"/>
          <c:order val="6"/>
          <c:tx>
            <c:strRef>
              <c:f>'A7 Bytes by Unit'!A13</c:f>
              <c:strCache>
                <c:ptCount val="1"/>
                <c:pt idx="0">
                  <c:v>LossyStore 5%</c:v>
                </c:pt>
              </c:strCache>
            </c:strRef>
          </c:tx>
          <c:spPr>
            <a:solidFill>
              <a:srgbClr val="93a9ce"/>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'A7 Bytes by Unit'!$B$6:$F$6</c:f>
              <c:strCache>
                <c:ptCount val="5"/>
                <c:pt idx="0">
                  <c:v>16 KB</c:v>
                </c:pt>
                <c:pt idx="1">
                  <c:v>64 KB</c:v>
                </c:pt>
                <c:pt idx="2">
                  <c:v>256 KB</c:v>
                </c:pt>
                <c:pt idx="3">
                  <c:v>1024 KB</c:v>
                </c:pt>
                <c:pt idx="4">
                  <c:v>4096 KB</c:v>
                </c:pt>
              </c:strCache>
            </c:strRef>
          </c:cat>
          <c:val>
            <c:numRef>
              <c:f>'A7 Bytes by Unit'!$B$13:$F$13</c:f>
              <c:numCache>
                <c:formatCode>General</c:formatCode>
                <c:ptCount val="5"/>
                <c:pt idx="0">
                  <c:v>0.641535758972168</c:v>
                </c:pt>
                <c:pt idx="1">
                  <c:v>0.953729629516602</c:v>
                </c:pt>
                <c:pt idx="2">
                  <c:v>0.821158409118652</c:v>
                </c:pt>
                <c:pt idx="3">
                  <c:v>1.00308990478516</c:v>
                </c:pt>
                <c:pt idx="4">
                  <c:v>0.701102256774902</c:v>
                </c:pt>
              </c:numCache>
            </c:numRef>
          </c:val>
        </c:ser>
        <c:gapWidth val="45"/>
        <c:overlap val="0"/>
        <c:axId val="25775203"/>
        <c:axId val="2257191"/>
      </c:barChart>
      <c:catAx>
        <c:axId val="25775203"/>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unit size (KB)</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257191"/>
        <c:crosses val="autoZero"/>
        <c:auto val="1"/>
        <c:lblAlgn val="ctr"/>
        <c:lblOffset val="100"/>
        <c:noMultiLvlLbl val="0"/>
      </c:catAx>
      <c:valAx>
        <c:axId val="2257191"/>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MiB</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5775203"/>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Float column: ratio against the accuracy bound</a:t>
            </a:r>
          </a:p>
        </c:rich>
      </c:tx>
      <c:overlay val="0"/>
      <c:spPr>
        <a:noFill/>
        <a:ln w="0">
          <a:noFill/>
        </a:ln>
      </c:spPr>
    </c:title>
    <c:autoTitleDeleted val="0"/>
    <c:plotArea>
      <c:lineChart>
        <c:grouping val="standard"/>
        <c:varyColors val="0"/>
        <c:ser>
          <c:idx val="0"/>
          <c:order val="0"/>
          <c:tx>
            <c:strRef>
              <c:f>'A5 Float Column Detail'!D6</c:f>
              <c:strCache>
                <c:ptCount val="1"/>
                <c:pt idx="0">
                  <c:v>x vs FLOAT64</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'A5 Float Column Detail'!$A$7:$A$15</c:f>
              <c:strCache>
                <c:ptCount val="9"/>
                <c:pt idx="0">
                  <c:v>0</c:v>
                </c:pt>
                <c:pt idx="1">
                  <c:v>0.01</c:v>
                </c:pt>
                <c:pt idx="2">
                  <c:v>0.1</c:v>
                </c:pt>
                <c:pt idx="3">
                  <c:v>0.5</c:v>
                </c:pt>
                <c:pt idx="4">
                  <c:v>1</c:v>
                </c:pt>
                <c:pt idx="5">
                  <c:v>2</c:v>
                </c:pt>
                <c:pt idx="6">
                  <c:v>5</c:v>
                </c:pt>
                <c:pt idx="7">
                  <c:v>10</c:v>
                </c:pt>
                <c:pt idx="8">
                  <c:v>20</c:v>
                </c:pt>
              </c:strCache>
            </c:strRef>
          </c:cat>
          <c:val>
            <c:numRef>
              <c:f>'A5 Float Column Detail'!$D$7:$D$15</c:f>
              <c:numCache>
                <c:formatCode>General</c:formatCode>
                <c:ptCount val="9"/>
                <c:pt idx="0">
                  <c:v>2.29277435773979</c:v>
                </c:pt>
                <c:pt idx="1">
                  <c:v>3.95662570755242</c:v>
                </c:pt>
                <c:pt idx="2">
                  <c:v>4.77076015719576</c:v>
                </c:pt>
                <c:pt idx="3">
                  <c:v>5.79908447411628</c:v>
                </c:pt>
                <c:pt idx="4">
                  <c:v>6.33385587383022</c:v>
                </c:pt>
                <c:pt idx="5">
                  <c:v>8.31639569212857</c:v>
                </c:pt>
                <c:pt idx="6">
                  <c:v>8.04501161492745</c:v>
                </c:pt>
                <c:pt idx="7">
                  <c:v>10.0983830045064</c:v>
                </c:pt>
                <c:pt idx="8">
                  <c:v>11.2579104015536</c:v>
                </c:pt>
              </c:numCache>
            </c:numRef>
          </c:val>
          <c:smooth val="1"/>
        </c:ser>
        <c:hiLowLines>
          <c:spPr>
            <a:ln w="0">
              <a:noFill/>
            </a:ln>
          </c:spPr>
        </c:hiLowLines>
        <c:marker val="0"/>
        <c:axId val="21914737"/>
        <c:axId val="35172682"/>
      </c:lineChart>
      <c:catAx>
        <c:axId val="21914737"/>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accuracy bound (%)</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5172682"/>
        <c:crosses val="autoZero"/>
        <c:auto val="1"/>
        <c:lblAlgn val="ctr"/>
        <c:lblOffset val="100"/>
        <c:noMultiLvlLbl val="0"/>
      </c:catAx>
      <c:valAx>
        <c:axId val="35172682"/>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x vs unencoded FLOAT64</a:t>
                </a:r>
              </a:p>
            </c:rich>
          </c:tx>
          <c:overlay val="0"/>
          <c:spPr>
            <a:noFill/>
            <a:ln w="0">
              <a:noFill/>
            </a:ln>
          </c:spPr>
        </c:title>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1914737"/>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Bits per value removed by the zstd pass</a:t>
            </a:r>
          </a:p>
        </c:rich>
      </c:tx>
      <c:overlay val="0"/>
      <c:spPr>
        <a:noFill/>
        <a:ln w="0">
          <a:noFill/>
        </a:ln>
      </c:spPr>
    </c:title>
    <c:autoTitleDeleted val="0"/>
    <c:plotArea>
      <c:barChart>
        <c:barDir val="col"/>
        <c:grouping val="clustered"/>
        <c:varyColors val="0"/>
        <c:ser>
          <c:idx val="0"/>
          <c:order val="0"/>
          <c:tx>
            <c:strRef>
              <c:f>'A6 Lossy Stage Breakdown'!E7</c:f>
              <c:strCache>
                <c:ptCount val="1"/>
                <c:pt idx="0">
                  <c:v>37.0875</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'A6 Lossy Stage Breakdown'!$A$8:$A$15</c:f>
              <c:strCache>
                <c:ptCount val="8"/>
                <c:pt idx="0">
                  <c:v>0.01</c:v>
                </c:pt>
                <c:pt idx="1">
                  <c:v>0.1</c:v>
                </c:pt>
                <c:pt idx="2">
                  <c:v>0.5</c:v>
                </c:pt>
                <c:pt idx="3">
                  <c:v>1</c:v>
                </c:pt>
                <c:pt idx="4">
                  <c:v>2</c:v>
                </c:pt>
                <c:pt idx="5">
                  <c:v>5</c:v>
                </c:pt>
                <c:pt idx="6">
                  <c:v>10</c:v>
                </c:pt>
                <c:pt idx="7">
                  <c:v>20</c:v>
                </c:pt>
              </c:strCache>
            </c:strRef>
          </c:cat>
          <c:val>
            <c:numRef>
              <c:f>'A6 Lossy Stage Breakdown'!$E$8:$E$15</c:f>
              <c:numCache>
                <c:formatCode>General</c:formatCode>
                <c:ptCount val="8"/>
                <c:pt idx="0">
                  <c:v>0.841100000000001</c:v>
                </c:pt>
                <c:pt idx="1">
                  <c:v>0.135400000000001</c:v>
                </c:pt>
                <c:pt idx="2">
                  <c:v>0.0995999999999988</c:v>
                </c:pt>
                <c:pt idx="3">
                  <c:v>0.0303000000000004</c:v>
                </c:pt>
                <c:pt idx="4">
                  <c:v>1.4378</c:v>
                </c:pt>
                <c:pt idx="5">
                  <c:v>0.0866000000000007</c:v>
                </c:pt>
                <c:pt idx="6">
                  <c:v>0.7264</c:v>
                </c:pt>
                <c:pt idx="7">
                  <c:v>0.3813</c:v>
                </c:pt>
              </c:numCache>
            </c:numRef>
          </c:val>
        </c:ser>
        <c:gapWidth val="45"/>
        <c:overlap val="0"/>
        <c:axId val="12078005"/>
        <c:axId val="30573346"/>
      </c:barChart>
      <c:catAx>
        <c:axId val="12078005"/>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accuracy bound (%)</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0573346"/>
        <c:crosses val="autoZero"/>
        <c:auto val="1"/>
        <c:lblAlgn val="ctr"/>
        <c:lblOffset val="100"/>
        <c:noMultiLvlLbl val="0"/>
      </c:catAx>
      <c:valAx>
        <c:axId val="30573346"/>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bits per value</a:t>
                </a:r>
              </a:p>
            </c:rich>
          </c:tx>
          <c:overlay val="0"/>
          <c:spPr>
            <a:noFill/>
            <a:ln w="0">
              <a:noFill/>
            </a:ln>
          </c:spPr>
        </c:title>
        <c:numFmt formatCode="0.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2078005"/>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Decode time by unit size (standalone)</a:t>
            </a:r>
          </a:p>
        </c:rich>
      </c:tx>
      <c:overlay val="0"/>
      <c:spPr>
        <a:noFill/>
        <a:ln w="0">
          <a:noFill/>
        </a:ln>
      </c:spPr>
    </c:title>
    <c:autoTitleDeleted val="0"/>
    <c:plotArea>
      <c:lineChart>
        <c:grouping val="standard"/>
        <c:varyColors val="0"/>
        <c:ser>
          <c:idx val="0"/>
          <c:order val="0"/>
          <c:tx>
            <c:strRef>
              <c:f>'A8 Timing'!A19</c:f>
              <c:strCache>
                <c:ptCount val="1"/>
                <c:pt idx="0">
                  <c:v>MemoryStore</c:v>
                </c:pt>
              </c:strCache>
            </c:strRef>
          </c:tx>
          <c:spPr>
            <a:solidFill>
              <a:srgbClr val="426fa6"/>
            </a:solidFill>
            <a:ln w="28440">
              <a:solidFill>
                <a:srgbClr val="426fa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'A8 Timing'!$B$18:$F$18</c:f>
              <c:strCache>
                <c:ptCount val="5"/>
                <c:pt idx="0">
                  <c:v>16 KB</c:v>
                </c:pt>
                <c:pt idx="1">
                  <c:v>64 KB</c:v>
                </c:pt>
                <c:pt idx="2">
                  <c:v>256 KB</c:v>
                </c:pt>
                <c:pt idx="3">
                  <c:v>1024 KB</c:v>
                </c:pt>
                <c:pt idx="4">
                  <c:v>4096 KB</c:v>
                </c:pt>
              </c:strCache>
            </c:strRef>
          </c:cat>
          <c:val>
            <c:numRef>
              <c:f>'A8 Timing'!$B$19:$F$19</c:f>
              <c:numCache>
                <c:formatCode>General</c:formatCode>
                <c:ptCount val="5"/>
                <c:pt idx="0">
                  <c:v>0.4543</c:v>
                </c:pt>
                <c:pt idx="1">
                  <c:v>0.4761</c:v>
                </c:pt>
                <c:pt idx="2">
                  <c:v>0.447</c:v>
                </c:pt>
                <c:pt idx="3">
                  <c:v>0.4526</c:v>
                </c:pt>
                <c:pt idx="4">
                  <c:v>0.4386</c:v>
                </c:pt>
              </c:numCache>
            </c:numRef>
          </c:val>
          <c:smooth val="1"/>
        </c:ser>
        <c:ser>
          <c:idx val="1"/>
          <c:order val="1"/>
          <c:tx>
            <c:strRef>
              <c:f>'A8 Timing'!A20</c:f>
              <c:strCache>
                <c:ptCount val="1"/>
                <c:pt idx="0">
                  <c:v>FileStore</c:v>
                </c:pt>
              </c:strCache>
            </c:strRef>
          </c:tx>
          <c:spPr>
            <a:solidFill>
              <a:srgbClr val="aa433f"/>
            </a:solidFill>
            <a:ln w="28440">
              <a:solidFill>
                <a:srgbClr val="aa433f"/>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'A8 Timing'!$B$18:$F$18</c:f>
              <c:strCache>
                <c:ptCount val="5"/>
                <c:pt idx="0">
                  <c:v>16 KB</c:v>
                </c:pt>
                <c:pt idx="1">
                  <c:v>64 KB</c:v>
                </c:pt>
                <c:pt idx="2">
                  <c:v>256 KB</c:v>
                </c:pt>
                <c:pt idx="3">
                  <c:v>1024 KB</c:v>
                </c:pt>
                <c:pt idx="4">
                  <c:v>4096 KB</c:v>
                </c:pt>
              </c:strCache>
            </c:strRef>
          </c:cat>
          <c:val>
            <c:numRef>
              <c:f>'A8 Timing'!$B$20:$F$20</c:f>
              <c:numCache>
                <c:formatCode>General</c:formatCode>
                <c:ptCount val="5"/>
                <c:pt idx="0">
                  <c:v>0.4276</c:v>
                </c:pt>
                <c:pt idx="1">
                  <c:v>0.4364</c:v>
                </c:pt>
                <c:pt idx="2">
                  <c:v>0.4543</c:v>
                </c:pt>
                <c:pt idx="3">
                  <c:v>0.437</c:v>
                </c:pt>
                <c:pt idx="4">
                  <c:v>0.4296</c:v>
                </c:pt>
              </c:numCache>
            </c:numRef>
          </c:val>
          <c:smooth val="1"/>
        </c:ser>
        <c:ser>
          <c:idx val="2"/>
          <c:order val="2"/>
          <c:tx>
            <c:strRef>
              <c:f>'A8 Timing'!A21</c:f>
              <c:strCache>
                <c:ptCount val="1"/>
                <c:pt idx="0">
                  <c:v>CompressedStore</c:v>
                </c:pt>
              </c:strCache>
            </c:strRef>
          </c:tx>
          <c:spPr>
            <a:solidFill>
              <a:srgbClr val="87a44b"/>
            </a:solidFill>
            <a:ln w="28440">
              <a:solidFill>
                <a:srgbClr val="87a44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'A8 Timing'!$B$18:$F$18</c:f>
              <c:strCache>
                <c:ptCount val="5"/>
                <c:pt idx="0">
                  <c:v>16 KB</c:v>
                </c:pt>
                <c:pt idx="1">
                  <c:v>64 KB</c:v>
                </c:pt>
                <c:pt idx="2">
                  <c:v>256 KB</c:v>
                </c:pt>
                <c:pt idx="3">
                  <c:v>1024 KB</c:v>
                </c:pt>
                <c:pt idx="4">
                  <c:v>4096 KB</c:v>
                </c:pt>
              </c:strCache>
            </c:strRef>
          </c:cat>
          <c:val>
            <c:numRef>
              <c:f>'A8 Timing'!$B$21:$F$21</c:f>
              <c:numCache>
                <c:formatCode>General</c:formatCode>
                <c:ptCount val="5"/>
                <c:pt idx="0">
                  <c:v>0.4137</c:v>
                </c:pt>
                <c:pt idx="1">
                  <c:v>0.45</c:v>
                </c:pt>
                <c:pt idx="2">
                  <c:v>0.4496</c:v>
                </c:pt>
                <c:pt idx="3">
                  <c:v>0.4553</c:v>
                </c:pt>
                <c:pt idx="4">
                  <c:v>0.4638</c:v>
                </c:pt>
              </c:numCache>
            </c:numRef>
          </c:val>
          <c:smooth val="1"/>
        </c:ser>
        <c:ser>
          <c:idx val="3"/>
          <c:order val="3"/>
          <c:tx>
            <c:strRef>
              <c:f>'A8 Timing'!A22</c:f>
              <c:strCache>
                <c:ptCount val="1"/>
                <c:pt idx="0">
                  <c:v>LossyStore lossless</c:v>
                </c:pt>
              </c:strCache>
            </c:strRef>
          </c:tx>
          <c:spPr>
            <a:solidFill>
              <a:srgbClr val="6f568d"/>
            </a:solidFill>
            <a:ln w="28440">
              <a:solidFill>
                <a:srgbClr val="6f568d"/>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'A8 Timing'!$B$18:$F$18</c:f>
              <c:strCache>
                <c:ptCount val="5"/>
                <c:pt idx="0">
                  <c:v>16 KB</c:v>
                </c:pt>
                <c:pt idx="1">
                  <c:v>64 KB</c:v>
                </c:pt>
                <c:pt idx="2">
                  <c:v>256 KB</c:v>
                </c:pt>
                <c:pt idx="3">
                  <c:v>1024 KB</c:v>
                </c:pt>
                <c:pt idx="4">
                  <c:v>4096 KB</c:v>
                </c:pt>
              </c:strCache>
            </c:strRef>
          </c:cat>
          <c:val>
            <c:numRef>
              <c:f>'A8 Timing'!$B$22:$F$22</c:f>
              <c:numCache>
                <c:formatCode>General</c:formatCode>
                <c:ptCount val="5"/>
                <c:pt idx="0">
                  <c:v>0.5092</c:v>
                </c:pt>
                <c:pt idx="1">
                  <c:v>0.4405</c:v>
                </c:pt>
                <c:pt idx="2">
                  <c:v>0.5088</c:v>
                </c:pt>
                <c:pt idx="3">
                  <c:v>0.4499</c:v>
                </c:pt>
                <c:pt idx="4">
                  <c:v>0.499</c:v>
                </c:pt>
              </c:numCache>
            </c:numRef>
          </c:val>
          <c:smooth val="1"/>
        </c:ser>
        <c:ser>
          <c:idx val="4"/>
          <c:order val="4"/>
          <c:tx>
            <c:strRef>
              <c:f>'A8 Timing'!A23</c:f>
              <c:strCache>
                <c:ptCount val="1"/>
                <c:pt idx="0">
                  <c:v>LossyStore 0.1%</c:v>
                </c:pt>
              </c:strCache>
            </c:strRef>
          </c:tx>
          <c:spPr>
            <a:solidFill>
              <a:srgbClr val="3d97af"/>
            </a:solidFill>
            <a:ln w="28440">
              <a:solidFill>
                <a:srgbClr val="3d97af"/>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'A8 Timing'!$B$18:$F$18</c:f>
              <c:strCache>
                <c:ptCount val="5"/>
                <c:pt idx="0">
                  <c:v>16 KB</c:v>
                </c:pt>
                <c:pt idx="1">
                  <c:v>64 KB</c:v>
                </c:pt>
                <c:pt idx="2">
                  <c:v>256 KB</c:v>
                </c:pt>
                <c:pt idx="3">
                  <c:v>1024 KB</c:v>
                </c:pt>
                <c:pt idx="4">
                  <c:v>4096 KB</c:v>
                </c:pt>
              </c:strCache>
            </c:strRef>
          </c:cat>
          <c:val>
            <c:numRef>
              <c:f>'A8 Timing'!$B$23:$F$23</c:f>
              <c:numCache>
                <c:formatCode>General</c:formatCode>
                <c:ptCount val="5"/>
                <c:pt idx="0">
                  <c:v>0.3918</c:v>
                </c:pt>
                <c:pt idx="1">
                  <c:v>0.4162</c:v>
                </c:pt>
                <c:pt idx="2">
                  <c:v>0.4122</c:v>
                </c:pt>
                <c:pt idx="3">
                  <c:v>0.4121</c:v>
                </c:pt>
                <c:pt idx="4">
                  <c:v>0.43</c:v>
                </c:pt>
              </c:numCache>
            </c:numRef>
          </c:val>
          <c:smooth val="1"/>
        </c:ser>
        <c:ser>
          <c:idx val="5"/>
          <c:order val="5"/>
          <c:tx>
            <c:strRef>
              <c:f>'A8 Timing'!A24</c:f>
              <c:strCache>
                <c:ptCount val="1"/>
                <c:pt idx="0">
                  <c:v>LossyStore 1%</c:v>
                </c:pt>
              </c:strCache>
            </c:strRef>
          </c:tx>
          <c:spPr>
            <a:solidFill>
              <a:srgbClr val="db8238"/>
            </a:solidFill>
            <a:ln w="28440">
              <a:solidFill>
                <a:srgbClr val="db823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'A8 Timing'!$B$18:$F$18</c:f>
              <c:strCache>
                <c:ptCount val="5"/>
                <c:pt idx="0">
                  <c:v>16 KB</c:v>
                </c:pt>
                <c:pt idx="1">
                  <c:v>64 KB</c:v>
                </c:pt>
                <c:pt idx="2">
                  <c:v>256 KB</c:v>
                </c:pt>
                <c:pt idx="3">
                  <c:v>1024 KB</c:v>
                </c:pt>
                <c:pt idx="4">
                  <c:v>4096 KB</c:v>
                </c:pt>
              </c:strCache>
            </c:strRef>
          </c:cat>
          <c:val>
            <c:numRef>
              <c:f>'A8 Timing'!$B$24:$F$24</c:f>
              <c:numCache>
                <c:formatCode>General</c:formatCode>
                <c:ptCount val="5"/>
                <c:pt idx="0">
                  <c:v>0.3887</c:v>
                </c:pt>
                <c:pt idx="1">
                  <c:v>0.3804</c:v>
                </c:pt>
                <c:pt idx="2">
                  <c:v>0.3945</c:v>
                </c:pt>
                <c:pt idx="3">
                  <c:v>0.4373</c:v>
                </c:pt>
                <c:pt idx="4">
                  <c:v>0.4478</c:v>
                </c:pt>
              </c:numCache>
            </c:numRef>
          </c:val>
          <c:smooth val="1"/>
        </c:ser>
        <c:ser>
          <c:idx val="6"/>
          <c:order val="6"/>
          <c:tx>
            <c:strRef>
              <c:f>'A8 Timing'!A25</c:f>
              <c:strCache>
                <c:ptCount val="1"/>
                <c:pt idx="0">
                  <c:v>LossyStore 5%</c:v>
                </c:pt>
              </c:strCache>
            </c:strRef>
          </c:tx>
          <c:spPr>
            <a:solidFill>
              <a:srgbClr val="8ea5ca"/>
            </a:solidFill>
            <a:ln w="28440">
              <a:solidFill>
                <a:srgbClr val="8ea5c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'A8 Timing'!$B$18:$F$18</c:f>
              <c:strCache>
                <c:ptCount val="5"/>
                <c:pt idx="0">
                  <c:v>16 KB</c:v>
                </c:pt>
                <c:pt idx="1">
                  <c:v>64 KB</c:v>
                </c:pt>
                <c:pt idx="2">
                  <c:v>256 KB</c:v>
                </c:pt>
                <c:pt idx="3">
                  <c:v>1024 KB</c:v>
                </c:pt>
                <c:pt idx="4">
                  <c:v>4096 KB</c:v>
                </c:pt>
              </c:strCache>
            </c:strRef>
          </c:cat>
          <c:val>
            <c:numRef>
              <c:f>'A8 Timing'!$B$25:$F$25</c:f>
              <c:numCache>
                <c:formatCode>General</c:formatCode>
                <c:ptCount val="5"/>
                <c:pt idx="0">
                  <c:v>0.3995</c:v>
                </c:pt>
                <c:pt idx="1">
                  <c:v>0.3759</c:v>
                </c:pt>
                <c:pt idx="2">
                  <c:v>0.4066</c:v>
                </c:pt>
                <c:pt idx="3">
                  <c:v>0.4316</c:v>
                </c:pt>
                <c:pt idx="4">
                  <c:v>0.4488</c:v>
                </c:pt>
              </c:numCache>
            </c:numRef>
          </c:val>
          <c:smooth val="1"/>
        </c:ser>
        <c:hiLowLines>
          <c:spPr>
            <a:ln w="0">
              <a:noFill/>
            </a:ln>
          </c:spPr>
        </c:hiLowLines>
        <c:marker val="0"/>
        <c:axId val="80031123"/>
        <c:axId val="57769421"/>
      </c:lineChart>
      <c:catAx>
        <c:axId val="80031123"/>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unit size (KB)</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7769421"/>
        <c:crosses val="autoZero"/>
        <c:auto val="1"/>
        <c:lblAlgn val="ctr"/>
        <c:lblOffset val="100"/>
        <c:noMultiLvlLbl val="0"/>
      </c:catAx>
      <c:valAx>
        <c:axId val="57769421"/>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seconds</a:t>
                </a:r>
              </a:p>
            </c:rich>
          </c:tx>
          <c:overlay val="0"/>
          <c:spPr>
            <a:noFill/>
            <a:ln w="0">
              <a:noFill/>
            </a:ln>
          </c:spPr>
        </c:title>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0031123"/>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Chained ratio as a fraction of standalone</a:t>
            </a:r>
          </a:p>
        </c:rich>
      </c:tx>
      <c:overlay val="0"/>
      <c:spPr>
        <a:noFill/>
        <a:ln w="0">
          <a:noFill/>
        </a:ln>
      </c:spPr>
    </c:title>
    <c:autoTitleDeleted val="0"/>
    <c:plotArea>
      <c:barChart>
        <c:barDir val="col"/>
        <c:grouping val="clustered"/>
        <c:varyColors val="0"/>
        <c:ser>
          <c:idx val="0"/>
          <c:order val="0"/>
          <c:tx>
            <c:strRef>
              <c:f>'A2 Chaining Cost'!A27</c:f>
              <c:strCache>
                <c:ptCount val="1"/>
                <c:pt idx="0">
                  <c:v>-&gt; CompressedStore</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'A2 Chaining Cost'!$B$26:$F$26</c:f>
              <c:strCache>
                <c:ptCount val="5"/>
                <c:pt idx="0">
                  <c:v>16 KB</c:v>
                </c:pt>
                <c:pt idx="1">
                  <c:v>64 KB</c:v>
                </c:pt>
                <c:pt idx="2">
                  <c:v>256 KB</c:v>
                </c:pt>
                <c:pt idx="3">
                  <c:v>1024 KB</c:v>
                </c:pt>
                <c:pt idx="4">
                  <c:v>4096 KB</c:v>
                </c:pt>
              </c:strCache>
            </c:strRef>
          </c:cat>
          <c:val>
            <c:numRef>
              <c:f>'A2 Chaining Cost'!$B$27:$F$27</c:f>
              <c:numCache>
                <c:formatCode>General</c:formatCode>
                <c:ptCount val="5"/>
                <c:pt idx="0">
                  <c:v>0.881119322847578</c:v>
                </c:pt>
                <c:pt idx="1">
                  <c:v>0.871219332453097</c:v>
                </c:pt>
                <c:pt idx="2">
                  <c:v>0.869683617893642</c:v>
                </c:pt>
                <c:pt idx="3">
                  <c:v>0.870548972780993</c:v>
                </c:pt>
                <c:pt idx="4">
                  <c:v>0.870428134556575</c:v>
                </c:pt>
              </c:numCache>
            </c:numRef>
          </c:val>
        </c:ser>
        <c:ser>
          <c:idx val="1"/>
          <c:order val="1"/>
          <c:tx>
            <c:strRef>
              <c:f>'A2 Chaining Cost'!A28</c:f>
              <c:strCache>
                <c:ptCount val="1"/>
                <c:pt idx="0">
                  <c:v>-&gt; LossyStore lossless</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'A2 Chaining Cost'!$B$26:$F$26</c:f>
              <c:strCache>
                <c:ptCount val="5"/>
                <c:pt idx="0">
                  <c:v>16 KB</c:v>
                </c:pt>
                <c:pt idx="1">
                  <c:v>64 KB</c:v>
                </c:pt>
                <c:pt idx="2">
                  <c:v>256 KB</c:v>
                </c:pt>
                <c:pt idx="3">
                  <c:v>1024 KB</c:v>
                </c:pt>
                <c:pt idx="4">
                  <c:v>4096 KB</c:v>
                </c:pt>
              </c:strCache>
            </c:strRef>
          </c:cat>
          <c:val>
            <c:numRef>
              <c:f>'A2 Chaining Cost'!$B$28:$F$28</c:f>
              <c:numCache>
                <c:formatCode>General</c:formatCode>
                <c:ptCount val="5"/>
                <c:pt idx="0">
                  <c:v>0.817078951904844</c:v>
                </c:pt>
                <c:pt idx="1">
                  <c:v>0.848359119867231</c:v>
                </c:pt>
                <c:pt idx="2">
                  <c:v>0.832126398946675</c:v>
                </c:pt>
                <c:pt idx="3">
                  <c:v>0.849129162602759</c:v>
                </c:pt>
                <c:pt idx="4">
                  <c:v>0.825770719338049</c:v>
                </c:pt>
              </c:numCache>
            </c:numRef>
          </c:val>
        </c:ser>
        <c:ser>
          <c:idx val="2"/>
          <c:order val="2"/>
          <c:tx>
            <c:strRef>
              <c:f>'A2 Chaining Cost'!A29</c:f>
              <c:strCache>
                <c:ptCount val="1"/>
                <c:pt idx="0">
                  <c:v>-&gt; LossyStore 0.1%</c:v>
                </c:pt>
              </c:strCache>
            </c:strRef>
          </c:tx>
          <c:spPr>
            <a:solidFill>
              <a:srgbClr val="9bbb59"/>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'A2 Chaining Cost'!$B$26:$F$26</c:f>
              <c:strCache>
                <c:ptCount val="5"/>
                <c:pt idx="0">
                  <c:v>16 KB</c:v>
                </c:pt>
                <c:pt idx="1">
                  <c:v>64 KB</c:v>
                </c:pt>
                <c:pt idx="2">
                  <c:v>256 KB</c:v>
                </c:pt>
                <c:pt idx="3">
                  <c:v>1024 KB</c:v>
                </c:pt>
                <c:pt idx="4">
                  <c:v>4096 KB</c:v>
                </c:pt>
              </c:strCache>
            </c:strRef>
          </c:cat>
          <c:val>
            <c:numRef>
              <c:f>'A2 Chaining Cost'!$B$29:$F$29</c:f>
              <c:numCache>
                <c:formatCode>General</c:formatCode>
                <c:ptCount val="5"/>
                <c:pt idx="0">
                  <c:v>0.727836034318399</c:v>
                </c:pt>
                <c:pt idx="1">
                  <c:v>0.795786653677545</c:v>
                </c:pt>
                <c:pt idx="2">
                  <c:v>0.773259620280788</c:v>
                </c:pt>
                <c:pt idx="3">
                  <c:v>0.801789893386496</c:v>
                </c:pt>
                <c:pt idx="4">
                  <c:v>0.758433985839234</c:v>
                </c:pt>
              </c:numCache>
            </c:numRef>
          </c:val>
        </c:ser>
        <c:ser>
          <c:idx val="3"/>
          <c:order val="3"/>
          <c:tx>
            <c:strRef>
              <c:f>'A2 Chaining Cost'!A30</c:f>
              <c:strCache>
                <c:ptCount val="1"/>
                <c:pt idx="0">
                  <c:v>-&gt; LossyStore 1%</c:v>
                </c:pt>
              </c:strCache>
            </c:strRef>
          </c:tx>
          <c:spPr>
            <a:solidFill>
              <a:srgbClr val="8064a2"/>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'A2 Chaining Cost'!$B$26:$F$26</c:f>
              <c:strCache>
                <c:ptCount val="5"/>
                <c:pt idx="0">
                  <c:v>16 KB</c:v>
                </c:pt>
                <c:pt idx="1">
                  <c:v>64 KB</c:v>
                </c:pt>
                <c:pt idx="2">
                  <c:v>256 KB</c:v>
                </c:pt>
                <c:pt idx="3">
                  <c:v>1024 KB</c:v>
                </c:pt>
                <c:pt idx="4">
                  <c:v>4096 KB</c:v>
                </c:pt>
              </c:strCache>
            </c:strRef>
          </c:cat>
          <c:val>
            <c:numRef>
              <c:f>'A2 Chaining Cost'!$B$30:$F$30</c:f>
              <c:numCache>
                <c:formatCode>General</c:formatCode>
                <c:ptCount val="5"/>
                <c:pt idx="0">
                  <c:v>0.703548706716729</c:v>
                </c:pt>
                <c:pt idx="1">
                  <c:v>0.779948063678447</c:v>
                </c:pt>
                <c:pt idx="2">
                  <c:v>0.751187131332052</c:v>
                </c:pt>
                <c:pt idx="3">
                  <c:v>0.785268214571657</c:v>
                </c:pt>
                <c:pt idx="4">
                  <c:v>0.734613001311371</c:v>
                </c:pt>
              </c:numCache>
            </c:numRef>
          </c:val>
        </c:ser>
        <c:ser>
          <c:idx val="4"/>
          <c:order val="4"/>
          <c:tx>
            <c:strRef>
              <c:f>'A2 Chaining Cost'!A31</c:f>
              <c:strCache>
                <c:ptCount val="1"/>
                <c:pt idx="0">
                  <c:v>-&gt; LossyStore 5%</c:v>
                </c:pt>
              </c:strCache>
            </c:strRef>
          </c:tx>
          <c:spPr>
            <a:solidFill>
              <a:srgbClr val="4bacc6"/>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'A2 Chaining Cost'!$B$26:$F$26</c:f>
              <c:strCache>
                <c:ptCount val="5"/>
                <c:pt idx="0">
                  <c:v>16 KB</c:v>
                </c:pt>
                <c:pt idx="1">
                  <c:v>64 KB</c:v>
                </c:pt>
                <c:pt idx="2">
                  <c:v>256 KB</c:v>
                </c:pt>
                <c:pt idx="3">
                  <c:v>1024 KB</c:v>
                </c:pt>
                <c:pt idx="4">
                  <c:v>4096 KB</c:v>
                </c:pt>
              </c:strCache>
            </c:strRef>
          </c:cat>
          <c:val>
            <c:numRef>
              <c:f>'A2 Chaining Cost'!$B$31:$F$31</c:f>
              <c:numCache>
                <c:formatCode>General</c:formatCode>
                <c:ptCount val="5"/>
                <c:pt idx="0">
                  <c:v>0.682523093925307</c:v>
                </c:pt>
                <c:pt idx="1">
                  <c:v>0.768773327142525</c:v>
                </c:pt>
                <c:pt idx="2">
                  <c:v>0.736288574196227</c:v>
                </c:pt>
                <c:pt idx="3">
                  <c:v>0.772134780812141</c:v>
                </c:pt>
                <c:pt idx="4">
                  <c:v>0.71272350145719</c:v>
                </c:pt>
              </c:numCache>
            </c:numRef>
          </c:val>
        </c:ser>
        <c:gapWidth val="45"/>
        <c:overlap val="0"/>
        <c:axId val="42290193"/>
        <c:axId val="89532368"/>
      </c:barChart>
      <c:catAx>
        <c:axId val="42290193"/>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unit size (KB)</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9532368"/>
        <c:crosses val="autoZero"/>
        <c:auto val="1"/>
        <c:lblAlgn val="ctr"/>
        <c:lblOffset val="100"/>
        <c:noMultiLvlLbl val="0"/>
      </c:catAx>
      <c:valAx>
        <c:axId val="89532368"/>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x</a:t>
                </a:r>
              </a:p>
            </c:rich>
          </c:tx>
          <c:overlay val="0"/>
          <c:spPr>
            <a:noFill/>
            <a:ln w="0">
              <a:noFill/>
            </a:ln>
          </c:spPr>
        </c:title>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2290193"/>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_rels/drawing2.xml.rels><?xml version="1.0" encoding="UTF-8"?>
<Relationships xmlns="http://schemas.openxmlformats.org/package/2006/relationships"><Relationship Id="rId1" Type="http://schemas.openxmlformats.org/officeDocument/2006/relationships/chart" Target="../charts/chart5.xml"/><Relationship Id="rId2" Type="http://schemas.openxmlformats.org/officeDocument/2006/relationships/chart" Target="../charts/chart6.xml"/>
</Relationships>
</file>

<file path=xl/drawings/_rels/drawing3.xml.rels><?xml version="1.0" encoding="UTF-8"?>
<Relationships xmlns="http://schemas.openxmlformats.org/package/2006/relationships"><Relationship Id="rId1" Type="http://schemas.openxmlformats.org/officeDocument/2006/relationships/chart" Target="../charts/chart7.xml"/><Relationship Id="rId2" Type="http://schemas.openxmlformats.org/officeDocument/2006/relationships/chart" Target="../charts/chart8.xml"/>
</Relationships>
</file>

<file path=xl/drawings/_rels/drawing4.xml.rels><?xml version="1.0" encoding="UTF-8"?>
<Relationships xmlns="http://schemas.openxmlformats.org/package/2006/relationships"><Relationship Id="rId1" Type="http://schemas.openxmlformats.org/officeDocument/2006/relationships/chart" Target="../charts/chart9.xml"/><Relationship Id="rId2" Type="http://schemas.openxmlformats.org/officeDocument/2006/relationships/chart" Target="../charts/chart10.xml"/><Relationship Id="rId3" Type="http://schemas.openxmlformats.org/officeDocument/2006/relationships/chart" Target="../charts/chart11.xml"/><Relationship Id="rId4" Type="http://schemas.openxmlformats.org/officeDocument/2006/relationships/chart" Target="../charts/chart12.xml"/>
</Relationships>
</file>

<file path=xl/drawings/_rels/drawing5.xml.rels><?xml version="1.0" encoding="UTF-8"?>
<Relationships xmlns="http://schemas.openxmlformats.org/package/2006/relationships"><Relationship Id="rId1" Type="http://schemas.openxmlformats.org/officeDocument/2006/relationships/chart" Target="../charts/chart13.xml"/><Relationship Id="rId2" Type="http://schemas.openxmlformats.org/officeDocument/2006/relationships/chart" Target="../charts/chart14.xml"/><Relationship Id="rId3" Type="http://schemas.openxmlformats.org/officeDocument/2006/relationships/chart" Target="../charts/chart15.xml"/>
</Relationships>
</file>

<file path=xl/drawings/_rels/drawing6.xml.rels><?xml version="1.0" encoding="UTF-8"?>
<Relationships xmlns="http://schemas.openxmlformats.org/package/2006/relationships"><Relationship Id="rId1" Type="http://schemas.openxmlformats.org/officeDocument/2006/relationships/chart" Target="../charts/chart16.xml"/><Relationship Id="rId2" Type="http://schemas.openxmlformats.org/officeDocument/2006/relationships/chart" Target="../charts/chart17.xml"/><Relationship Id="rId3" Type="http://schemas.openxmlformats.org/officeDocument/2006/relationships/chart" Target="../charts/chart18.xml"/><Relationship Id="rId4" Type="http://schemas.openxmlformats.org/officeDocument/2006/relationships/chart" Target="../charts/chart19.xml"/>
</Relationships>
</file>

<file path=xl/drawings/_rels/drawing7.xml.rels><?xml version="1.0" encoding="UTF-8"?>
<Relationships xmlns="http://schemas.openxmlformats.org/package/2006/relationships"><Relationship Id="rId1" Type="http://schemas.openxmlformats.org/officeDocument/2006/relationships/chart" Target="../charts/chart20.xml"/><Relationship Id="rId2" Type="http://schemas.openxmlformats.org/officeDocument/2006/relationships/chart" Target="../charts/chart21.xml"/><Relationship Id="rId3" Type="http://schemas.openxmlformats.org/officeDocument/2006/relationships/chart" Target="../charts/chart22.xml"/><Relationship Id="rId4" Type="http://schemas.openxmlformats.org/officeDocument/2006/relationships/chart" Target="../charts/chart23.xml"/>
</Relationships>
</file>

<file path=xl/drawings/_rels/drawing8.xml.rels><?xml version="1.0" encoding="UTF-8"?>
<Relationships xmlns="http://schemas.openxmlformats.org/package/2006/relationships"><Relationship Id="rId1" Type="http://schemas.openxmlformats.org/officeDocument/2006/relationships/chart" Target="../charts/chart24.xml"/><Relationship Id="rId2" Type="http://schemas.openxmlformats.org/officeDocument/2006/relationships/chart" Target="../charts/chart25.xml"/><Relationship Id="rId3" Type="http://schemas.openxmlformats.org/officeDocument/2006/relationships/chart" Target="../charts/chart26.xml"/><Relationship Id="rId4" Type="http://schemas.openxmlformats.org/officeDocument/2006/relationships/chart" Target="../charts/chart27.xml"/><Relationship Id="rId5" Type="http://schemas.openxmlformats.org/officeDocument/2006/relationships/chart" Target="../charts/chart28.xml"/><Relationship Id="rId6" Type="http://schemas.openxmlformats.org/officeDocument/2006/relationships/chart" Target="../charts/chart29.xml"/>
</Relationships>
</file>

<file path=xl/drawings/_rels/drawing9.xml.rels><?xml version="1.0" encoding="UTF-8"?>
<Relationships xmlns="http://schemas.openxmlformats.org/package/2006/relationships"><Relationship Id="rId1" Type="http://schemas.openxmlformats.org/officeDocument/2006/relationships/chart" Target="../charts/chart30.xml"/><Relationship Id="rId2" Type="http://schemas.openxmlformats.org/officeDocument/2006/relationships/chart" Target="../charts/chart31.xml"/><Relationship Id="rId3" Type="http://schemas.openxmlformats.org/officeDocument/2006/relationships/chart" Target="../charts/chart32.xml"/><Relationship Id="rId4" Type="http://schemas.openxmlformats.org/officeDocument/2006/relationships/chart" Target="../charts/chart33.xml"/><Relationship Id="rId5" Type="http://schemas.openxmlformats.org/officeDocument/2006/relationships/chart" Target="../charts/chart34.xml"/><Relationship Id="rId6" Type="http://schemas.openxmlformats.org/officeDocument/2006/relationships/chart" Target="../charts/chart3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0</xdr:colOff>
      <xdr:row>2</xdr:row>
      <xdr:rowOff>0</xdr:rowOff>
    </xdr:from>
    <xdr:to>
      <xdr:col>16</xdr:col>
      <xdr:colOff>10440</xdr:colOff>
      <xdr:row>19</xdr:row>
      <xdr:rowOff>1080</xdr:rowOff>
    </xdr:to>
    <xdr:graphicFrame>
      <xdr:nvGraphicFramePr>
        <xdr:cNvPr id="0" name="Chart 1"/>
        <xdr:cNvGraphicFramePr/>
      </xdr:nvGraphicFramePr>
      <xdr:xfrm>
        <a:off x="7918560" y="380880"/>
        <a:ext cx="683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0</xdr:colOff>
      <xdr:row>23</xdr:row>
      <xdr:rowOff>0</xdr:rowOff>
    </xdr:from>
    <xdr:to>
      <xdr:col>16</xdr:col>
      <xdr:colOff>10440</xdr:colOff>
      <xdr:row>40</xdr:row>
      <xdr:rowOff>1080</xdr:rowOff>
    </xdr:to>
    <xdr:graphicFrame>
      <xdr:nvGraphicFramePr>
        <xdr:cNvPr id="1" name="Chart 2"/>
        <xdr:cNvGraphicFramePr/>
      </xdr:nvGraphicFramePr>
      <xdr:xfrm>
        <a:off x="7918560" y="4381560"/>
        <a:ext cx="6839640" cy="323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7</xdr:col>
      <xdr:colOff>0</xdr:colOff>
      <xdr:row>44</xdr:row>
      <xdr:rowOff>0</xdr:rowOff>
    </xdr:from>
    <xdr:to>
      <xdr:col>16</xdr:col>
      <xdr:colOff>10440</xdr:colOff>
      <xdr:row>61</xdr:row>
      <xdr:rowOff>1080</xdr:rowOff>
    </xdr:to>
    <xdr:graphicFrame>
      <xdr:nvGraphicFramePr>
        <xdr:cNvPr id="2" name="Chart 3"/>
        <xdr:cNvGraphicFramePr/>
      </xdr:nvGraphicFramePr>
      <xdr:xfrm>
        <a:off x="7918560" y="8381880"/>
        <a:ext cx="6839640" cy="323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7</xdr:col>
      <xdr:colOff>0</xdr:colOff>
      <xdr:row>44</xdr:row>
      <xdr:rowOff>0</xdr:rowOff>
    </xdr:from>
    <xdr:to>
      <xdr:col>16</xdr:col>
      <xdr:colOff>10440</xdr:colOff>
      <xdr:row>61</xdr:row>
      <xdr:rowOff>1080</xdr:rowOff>
    </xdr:to>
    <xdr:graphicFrame>
      <xdr:nvGraphicFramePr>
        <xdr:cNvPr id="3" name="Chart 4"/>
        <xdr:cNvGraphicFramePr/>
      </xdr:nvGraphicFramePr>
      <xdr:xfrm>
        <a:off x="7918560" y="8381880"/>
        <a:ext cx="6839640" cy="323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0</xdr:colOff>
      <xdr:row>2</xdr:row>
      <xdr:rowOff>0</xdr:rowOff>
    </xdr:from>
    <xdr:to>
      <xdr:col>16</xdr:col>
      <xdr:colOff>10440</xdr:colOff>
      <xdr:row>19</xdr:row>
      <xdr:rowOff>1080</xdr:rowOff>
    </xdr:to>
    <xdr:graphicFrame>
      <xdr:nvGraphicFramePr>
        <xdr:cNvPr id="4" name="Chart 1"/>
        <xdr:cNvGraphicFramePr/>
      </xdr:nvGraphicFramePr>
      <xdr:xfrm>
        <a:off x="7918560" y="380880"/>
        <a:ext cx="683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0</xdr:colOff>
      <xdr:row>23</xdr:row>
      <xdr:rowOff>0</xdr:rowOff>
    </xdr:from>
    <xdr:to>
      <xdr:col>16</xdr:col>
      <xdr:colOff>10440</xdr:colOff>
      <xdr:row>40</xdr:row>
      <xdr:rowOff>1080</xdr:rowOff>
    </xdr:to>
    <xdr:graphicFrame>
      <xdr:nvGraphicFramePr>
        <xdr:cNvPr id="5" name="Chart 2"/>
        <xdr:cNvGraphicFramePr/>
      </xdr:nvGraphicFramePr>
      <xdr:xfrm>
        <a:off x="7918560" y="4381560"/>
        <a:ext cx="6839640" cy="323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0</xdr:colOff>
      <xdr:row>2</xdr:row>
      <xdr:rowOff>0</xdr:rowOff>
    </xdr:from>
    <xdr:to>
      <xdr:col>14</xdr:col>
      <xdr:colOff>336960</xdr:colOff>
      <xdr:row>19</xdr:row>
      <xdr:rowOff>1080</xdr:rowOff>
    </xdr:to>
    <xdr:graphicFrame>
      <xdr:nvGraphicFramePr>
        <xdr:cNvPr id="6" name="Chart 1"/>
        <xdr:cNvGraphicFramePr/>
      </xdr:nvGraphicFramePr>
      <xdr:xfrm>
        <a:off x="9067680" y="380880"/>
        <a:ext cx="683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0</xdr:colOff>
      <xdr:row>23</xdr:row>
      <xdr:rowOff>0</xdr:rowOff>
    </xdr:from>
    <xdr:to>
      <xdr:col>14</xdr:col>
      <xdr:colOff>336960</xdr:colOff>
      <xdr:row>40</xdr:row>
      <xdr:rowOff>1080</xdr:rowOff>
    </xdr:to>
    <xdr:graphicFrame>
      <xdr:nvGraphicFramePr>
        <xdr:cNvPr id="7" name="Chart 2"/>
        <xdr:cNvGraphicFramePr/>
      </xdr:nvGraphicFramePr>
      <xdr:xfrm>
        <a:off x="9067680" y="4381560"/>
        <a:ext cx="6839640" cy="323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0</xdr:colOff>
      <xdr:row>2</xdr:row>
      <xdr:rowOff>0</xdr:rowOff>
    </xdr:from>
    <xdr:to>
      <xdr:col>16</xdr:col>
      <xdr:colOff>10440</xdr:colOff>
      <xdr:row>19</xdr:row>
      <xdr:rowOff>1080</xdr:rowOff>
    </xdr:to>
    <xdr:graphicFrame>
      <xdr:nvGraphicFramePr>
        <xdr:cNvPr id="8" name="Chart 1"/>
        <xdr:cNvGraphicFramePr/>
      </xdr:nvGraphicFramePr>
      <xdr:xfrm>
        <a:off x="7918560" y="380880"/>
        <a:ext cx="683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0</xdr:colOff>
      <xdr:row>23</xdr:row>
      <xdr:rowOff>0</xdr:rowOff>
    </xdr:from>
    <xdr:to>
      <xdr:col>16</xdr:col>
      <xdr:colOff>10440</xdr:colOff>
      <xdr:row>40</xdr:row>
      <xdr:rowOff>1080</xdr:rowOff>
    </xdr:to>
    <xdr:graphicFrame>
      <xdr:nvGraphicFramePr>
        <xdr:cNvPr id="9" name="Chart 2"/>
        <xdr:cNvGraphicFramePr/>
      </xdr:nvGraphicFramePr>
      <xdr:xfrm>
        <a:off x="7918560" y="4381560"/>
        <a:ext cx="6839640" cy="323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7</xdr:col>
      <xdr:colOff>0</xdr:colOff>
      <xdr:row>44</xdr:row>
      <xdr:rowOff>0</xdr:rowOff>
    </xdr:from>
    <xdr:to>
      <xdr:col>16</xdr:col>
      <xdr:colOff>10440</xdr:colOff>
      <xdr:row>61</xdr:row>
      <xdr:rowOff>1080</xdr:rowOff>
    </xdr:to>
    <xdr:graphicFrame>
      <xdr:nvGraphicFramePr>
        <xdr:cNvPr id="10" name="Chart 3"/>
        <xdr:cNvGraphicFramePr/>
      </xdr:nvGraphicFramePr>
      <xdr:xfrm>
        <a:off x="7918560" y="8381880"/>
        <a:ext cx="6839640" cy="323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7</xdr:col>
      <xdr:colOff>0</xdr:colOff>
      <xdr:row>65</xdr:row>
      <xdr:rowOff>0</xdr:rowOff>
    </xdr:from>
    <xdr:to>
      <xdr:col>16</xdr:col>
      <xdr:colOff>10440</xdr:colOff>
      <xdr:row>82</xdr:row>
      <xdr:rowOff>1080</xdr:rowOff>
    </xdr:to>
    <xdr:graphicFrame>
      <xdr:nvGraphicFramePr>
        <xdr:cNvPr id="11" name="Chart 4"/>
        <xdr:cNvGraphicFramePr/>
      </xdr:nvGraphicFramePr>
      <xdr:xfrm>
        <a:off x="7918560" y="12382560"/>
        <a:ext cx="6839640" cy="323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9</xdr:col>
      <xdr:colOff>0</xdr:colOff>
      <xdr:row>2</xdr:row>
      <xdr:rowOff>0</xdr:rowOff>
    </xdr:from>
    <xdr:to>
      <xdr:col>18</xdr:col>
      <xdr:colOff>10440</xdr:colOff>
      <xdr:row>19</xdr:row>
      <xdr:rowOff>1080</xdr:rowOff>
    </xdr:to>
    <xdr:graphicFrame>
      <xdr:nvGraphicFramePr>
        <xdr:cNvPr id="12" name="Chart 1"/>
        <xdr:cNvGraphicFramePr/>
      </xdr:nvGraphicFramePr>
      <xdr:xfrm>
        <a:off x="12404880" y="380880"/>
        <a:ext cx="683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0</xdr:colOff>
      <xdr:row>21</xdr:row>
      <xdr:rowOff>0</xdr:rowOff>
    </xdr:from>
    <xdr:to>
      <xdr:col>18</xdr:col>
      <xdr:colOff>10440</xdr:colOff>
      <xdr:row>38</xdr:row>
      <xdr:rowOff>1440</xdr:rowOff>
    </xdr:to>
    <xdr:graphicFrame>
      <xdr:nvGraphicFramePr>
        <xdr:cNvPr id="13" name="Chart 2"/>
        <xdr:cNvGraphicFramePr/>
      </xdr:nvGraphicFramePr>
      <xdr:xfrm>
        <a:off x="12404880" y="4000680"/>
        <a:ext cx="6839640" cy="323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9</xdr:col>
      <xdr:colOff>0</xdr:colOff>
      <xdr:row>40</xdr:row>
      <xdr:rowOff>0</xdr:rowOff>
    </xdr:from>
    <xdr:to>
      <xdr:col>18</xdr:col>
      <xdr:colOff>10440</xdr:colOff>
      <xdr:row>57</xdr:row>
      <xdr:rowOff>1080</xdr:rowOff>
    </xdr:to>
    <xdr:graphicFrame>
      <xdr:nvGraphicFramePr>
        <xdr:cNvPr id="14" name="Chart 3"/>
        <xdr:cNvGraphicFramePr/>
      </xdr:nvGraphicFramePr>
      <xdr:xfrm>
        <a:off x="12404880" y="7620120"/>
        <a:ext cx="6839640" cy="323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9</xdr:col>
      <xdr:colOff>0</xdr:colOff>
      <xdr:row>2</xdr:row>
      <xdr:rowOff>0</xdr:rowOff>
    </xdr:from>
    <xdr:to>
      <xdr:col>18</xdr:col>
      <xdr:colOff>10440</xdr:colOff>
      <xdr:row>19</xdr:row>
      <xdr:rowOff>1080</xdr:rowOff>
    </xdr:to>
    <xdr:graphicFrame>
      <xdr:nvGraphicFramePr>
        <xdr:cNvPr id="15" name="Chart 1"/>
        <xdr:cNvGraphicFramePr/>
      </xdr:nvGraphicFramePr>
      <xdr:xfrm>
        <a:off x="12404880" y="380880"/>
        <a:ext cx="683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0</xdr:colOff>
      <xdr:row>21</xdr:row>
      <xdr:rowOff>0</xdr:rowOff>
    </xdr:from>
    <xdr:to>
      <xdr:col>18</xdr:col>
      <xdr:colOff>10440</xdr:colOff>
      <xdr:row>38</xdr:row>
      <xdr:rowOff>1440</xdr:rowOff>
    </xdr:to>
    <xdr:graphicFrame>
      <xdr:nvGraphicFramePr>
        <xdr:cNvPr id="16" name="Chart 2"/>
        <xdr:cNvGraphicFramePr/>
      </xdr:nvGraphicFramePr>
      <xdr:xfrm>
        <a:off x="12404880" y="4000680"/>
        <a:ext cx="6839640" cy="323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9</xdr:col>
      <xdr:colOff>0</xdr:colOff>
      <xdr:row>40</xdr:row>
      <xdr:rowOff>0</xdr:rowOff>
    </xdr:from>
    <xdr:to>
      <xdr:col>18</xdr:col>
      <xdr:colOff>10440</xdr:colOff>
      <xdr:row>57</xdr:row>
      <xdr:rowOff>1080</xdr:rowOff>
    </xdr:to>
    <xdr:graphicFrame>
      <xdr:nvGraphicFramePr>
        <xdr:cNvPr id="17" name="Chart 3"/>
        <xdr:cNvGraphicFramePr/>
      </xdr:nvGraphicFramePr>
      <xdr:xfrm>
        <a:off x="12404880" y="7620120"/>
        <a:ext cx="6839640" cy="323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9</xdr:col>
      <xdr:colOff>0</xdr:colOff>
      <xdr:row>59</xdr:row>
      <xdr:rowOff>0</xdr:rowOff>
    </xdr:from>
    <xdr:to>
      <xdr:col>18</xdr:col>
      <xdr:colOff>10440</xdr:colOff>
      <xdr:row>76</xdr:row>
      <xdr:rowOff>1080</xdr:rowOff>
    </xdr:to>
    <xdr:graphicFrame>
      <xdr:nvGraphicFramePr>
        <xdr:cNvPr id="18" name="Chart 4"/>
        <xdr:cNvGraphicFramePr/>
      </xdr:nvGraphicFramePr>
      <xdr:xfrm>
        <a:off x="12404880" y="11239560"/>
        <a:ext cx="6839640" cy="323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0</xdr:colOff>
      <xdr:row>2</xdr:row>
      <xdr:rowOff>0</xdr:rowOff>
    </xdr:from>
    <xdr:to>
      <xdr:col>16</xdr:col>
      <xdr:colOff>10440</xdr:colOff>
      <xdr:row>19</xdr:row>
      <xdr:rowOff>1080</xdr:rowOff>
    </xdr:to>
    <xdr:graphicFrame>
      <xdr:nvGraphicFramePr>
        <xdr:cNvPr id="19" name="Chart 1"/>
        <xdr:cNvGraphicFramePr/>
      </xdr:nvGraphicFramePr>
      <xdr:xfrm>
        <a:off x="8848800" y="380880"/>
        <a:ext cx="683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0</xdr:colOff>
      <xdr:row>23</xdr:row>
      <xdr:rowOff>0</xdr:rowOff>
    </xdr:from>
    <xdr:to>
      <xdr:col>16</xdr:col>
      <xdr:colOff>10440</xdr:colOff>
      <xdr:row>40</xdr:row>
      <xdr:rowOff>1080</xdr:rowOff>
    </xdr:to>
    <xdr:graphicFrame>
      <xdr:nvGraphicFramePr>
        <xdr:cNvPr id="20" name="Chart 2"/>
        <xdr:cNvGraphicFramePr/>
      </xdr:nvGraphicFramePr>
      <xdr:xfrm>
        <a:off x="8848800" y="4381560"/>
        <a:ext cx="6839640" cy="323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7</xdr:col>
      <xdr:colOff>0</xdr:colOff>
      <xdr:row>44</xdr:row>
      <xdr:rowOff>0</xdr:rowOff>
    </xdr:from>
    <xdr:to>
      <xdr:col>16</xdr:col>
      <xdr:colOff>10440</xdr:colOff>
      <xdr:row>61</xdr:row>
      <xdr:rowOff>1080</xdr:rowOff>
    </xdr:to>
    <xdr:graphicFrame>
      <xdr:nvGraphicFramePr>
        <xdr:cNvPr id="21" name="Chart 3"/>
        <xdr:cNvGraphicFramePr/>
      </xdr:nvGraphicFramePr>
      <xdr:xfrm>
        <a:off x="8848800" y="8381880"/>
        <a:ext cx="6839640" cy="323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7</xdr:col>
      <xdr:colOff>0</xdr:colOff>
      <xdr:row>65</xdr:row>
      <xdr:rowOff>0</xdr:rowOff>
    </xdr:from>
    <xdr:to>
      <xdr:col>16</xdr:col>
      <xdr:colOff>10440</xdr:colOff>
      <xdr:row>82</xdr:row>
      <xdr:rowOff>1080</xdr:rowOff>
    </xdr:to>
    <xdr:graphicFrame>
      <xdr:nvGraphicFramePr>
        <xdr:cNvPr id="22" name="Chart 4"/>
        <xdr:cNvGraphicFramePr/>
      </xdr:nvGraphicFramePr>
      <xdr:xfrm>
        <a:off x="8848800" y="12382560"/>
        <a:ext cx="6839640" cy="323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8.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0</xdr:colOff>
      <xdr:row>2</xdr:row>
      <xdr:rowOff>0</xdr:rowOff>
    </xdr:from>
    <xdr:to>
      <xdr:col>16</xdr:col>
      <xdr:colOff>10440</xdr:colOff>
      <xdr:row>19</xdr:row>
      <xdr:rowOff>1080</xdr:rowOff>
    </xdr:to>
    <xdr:graphicFrame>
      <xdr:nvGraphicFramePr>
        <xdr:cNvPr id="23" name="Chart 1"/>
        <xdr:cNvGraphicFramePr/>
      </xdr:nvGraphicFramePr>
      <xdr:xfrm>
        <a:off x="8848800" y="380880"/>
        <a:ext cx="683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0</xdr:colOff>
      <xdr:row>23</xdr:row>
      <xdr:rowOff>0</xdr:rowOff>
    </xdr:from>
    <xdr:to>
      <xdr:col>16</xdr:col>
      <xdr:colOff>10440</xdr:colOff>
      <xdr:row>40</xdr:row>
      <xdr:rowOff>1080</xdr:rowOff>
    </xdr:to>
    <xdr:graphicFrame>
      <xdr:nvGraphicFramePr>
        <xdr:cNvPr id="24" name="Chart 2"/>
        <xdr:cNvGraphicFramePr/>
      </xdr:nvGraphicFramePr>
      <xdr:xfrm>
        <a:off x="8848800" y="4381560"/>
        <a:ext cx="6839640" cy="323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7</xdr:col>
      <xdr:colOff>0</xdr:colOff>
      <xdr:row>44</xdr:row>
      <xdr:rowOff>0</xdr:rowOff>
    </xdr:from>
    <xdr:to>
      <xdr:col>16</xdr:col>
      <xdr:colOff>10440</xdr:colOff>
      <xdr:row>61</xdr:row>
      <xdr:rowOff>1080</xdr:rowOff>
    </xdr:to>
    <xdr:graphicFrame>
      <xdr:nvGraphicFramePr>
        <xdr:cNvPr id="25" name="Chart 3"/>
        <xdr:cNvGraphicFramePr/>
      </xdr:nvGraphicFramePr>
      <xdr:xfrm>
        <a:off x="8848800" y="8381880"/>
        <a:ext cx="6839640" cy="323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7</xdr:col>
      <xdr:colOff>0</xdr:colOff>
      <xdr:row>65</xdr:row>
      <xdr:rowOff>0</xdr:rowOff>
    </xdr:from>
    <xdr:to>
      <xdr:col>16</xdr:col>
      <xdr:colOff>10440</xdr:colOff>
      <xdr:row>82</xdr:row>
      <xdr:rowOff>1080</xdr:rowOff>
    </xdr:to>
    <xdr:graphicFrame>
      <xdr:nvGraphicFramePr>
        <xdr:cNvPr id="26" name="Chart 4"/>
        <xdr:cNvGraphicFramePr/>
      </xdr:nvGraphicFramePr>
      <xdr:xfrm>
        <a:off x="8848800" y="12382560"/>
        <a:ext cx="6839640" cy="323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7</xdr:col>
      <xdr:colOff>0</xdr:colOff>
      <xdr:row>86</xdr:row>
      <xdr:rowOff>0</xdr:rowOff>
    </xdr:from>
    <xdr:to>
      <xdr:col>16</xdr:col>
      <xdr:colOff>10440</xdr:colOff>
      <xdr:row>103</xdr:row>
      <xdr:rowOff>1080</xdr:rowOff>
    </xdr:to>
    <xdr:graphicFrame>
      <xdr:nvGraphicFramePr>
        <xdr:cNvPr id="27" name="Chart 5"/>
        <xdr:cNvGraphicFramePr/>
      </xdr:nvGraphicFramePr>
      <xdr:xfrm>
        <a:off x="8848800" y="16382880"/>
        <a:ext cx="6839640" cy="3239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7</xdr:col>
      <xdr:colOff>0</xdr:colOff>
      <xdr:row>107</xdr:row>
      <xdr:rowOff>0</xdr:rowOff>
    </xdr:from>
    <xdr:to>
      <xdr:col>16</xdr:col>
      <xdr:colOff>10440</xdr:colOff>
      <xdr:row>124</xdr:row>
      <xdr:rowOff>1080</xdr:rowOff>
    </xdr:to>
    <xdr:graphicFrame>
      <xdr:nvGraphicFramePr>
        <xdr:cNvPr id="28" name="Chart 6"/>
        <xdr:cNvGraphicFramePr/>
      </xdr:nvGraphicFramePr>
      <xdr:xfrm>
        <a:off x="8848800" y="20383560"/>
        <a:ext cx="6839640" cy="323964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9.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7</xdr:row>
      <xdr:rowOff>0</xdr:rowOff>
    </xdr:from>
    <xdr:to>
      <xdr:col>1</xdr:col>
      <xdr:colOff>8372880</xdr:colOff>
      <xdr:row>24</xdr:row>
      <xdr:rowOff>181080</xdr:rowOff>
    </xdr:to>
    <xdr:graphicFrame>
      <xdr:nvGraphicFramePr>
        <xdr:cNvPr id="29" name="Chart 1"/>
        <xdr:cNvGraphicFramePr/>
      </xdr:nvGraphicFramePr>
      <xdr:xfrm>
        <a:off x="0" y="1523880"/>
        <a:ext cx="8639640" cy="34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31</xdr:row>
      <xdr:rowOff>0</xdr:rowOff>
    </xdr:from>
    <xdr:to>
      <xdr:col>1</xdr:col>
      <xdr:colOff>8372880</xdr:colOff>
      <xdr:row>48</xdr:row>
      <xdr:rowOff>181440</xdr:rowOff>
    </xdr:to>
    <xdr:graphicFrame>
      <xdr:nvGraphicFramePr>
        <xdr:cNvPr id="30" name="Chart 2"/>
        <xdr:cNvGraphicFramePr/>
      </xdr:nvGraphicFramePr>
      <xdr:xfrm>
        <a:off x="0" y="6286680"/>
        <a:ext cx="8639640" cy="341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55</xdr:row>
      <xdr:rowOff>0</xdr:rowOff>
    </xdr:from>
    <xdr:to>
      <xdr:col>1</xdr:col>
      <xdr:colOff>8372880</xdr:colOff>
      <xdr:row>72</xdr:row>
      <xdr:rowOff>181080</xdr:rowOff>
    </xdr:to>
    <xdr:graphicFrame>
      <xdr:nvGraphicFramePr>
        <xdr:cNvPr id="31" name="Chart 3"/>
        <xdr:cNvGraphicFramePr/>
      </xdr:nvGraphicFramePr>
      <xdr:xfrm>
        <a:off x="0" y="11049120"/>
        <a:ext cx="8639640" cy="341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0</xdr:colOff>
      <xdr:row>79</xdr:row>
      <xdr:rowOff>0</xdr:rowOff>
    </xdr:from>
    <xdr:to>
      <xdr:col>1</xdr:col>
      <xdr:colOff>8372880</xdr:colOff>
      <xdr:row>96</xdr:row>
      <xdr:rowOff>181080</xdr:rowOff>
    </xdr:to>
    <xdr:graphicFrame>
      <xdr:nvGraphicFramePr>
        <xdr:cNvPr id="32" name="Chart 4"/>
        <xdr:cNvGraphicFramePr/>
      </xdr:nvGraphicFramePr>
      <xdr:xfrm>
        <a:off x="0" y="15811560"/>
        <a:ext cx="8639640" cy="341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103</xdr:row>
      <xdr:rowOff>0</xdr:rowOff>
    </xdr:from>
    <xdr:to>
      <xdr:col>1</xdr:col>
      <xdr:colOff>8372880</xdr:colOff>
      <xdr:row>120</xdr:row>
      <xdr:rowOff>181080</xdr:rowOff>
    </xdr:to>
    <xdr:graphicFrame>
      <xdr:nvGraphicFramePr>
        <xdr:cNvPr id="33" name="Chart 5"/>
        <xdr:cNvGraphicFramePr/>
      </xdr:nvGraphicFramePr>
      <xdr:xfrm>
        <a:off x="0" y="20574000"/>
        <a:ext cx="8639640" cy="3419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0</xdr:col>
      <xdr:colOff>0</xdr:colOff>
      <xdr:row>127</xdr:row>
      <xdr:rowOff>0</xdr:rowOff>
    </xdr:from>
    <xdr:to>
      <xdr:col>1</xdr:col>
      <xdr:colOff>8372880</xdr:colOff>
      <xdr:row>144</xdr:row>
      <xdr:rowOff>181080</xdr:rowOff>
    </xdr:to>
    <xdr:graphicFrame>
      <xdr:nvGraphicFramePr>
        <xdr:cNvPr id="34" name="Chart 6"/>
        <xdr:cNvGraphicFramePr/>
      </xdr:nvGraphicFramePr>
      <xdr:xfrm>
        <a:off x="0" y="25336440"/>
        <a:ext cx="8639640" cy="341964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worksheets/_rels/sheet6.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drawing" Target="../drawings/drawing2.xml"/>
</Relationships>
</file>

<file path=xl/worksheets/_rels/sheet9.xml.rels><?xml version="1.0" encoding="UTF-8"?>
<Relationships xmlns="http://schemas.openxmlformats.org/package/2006/relationships"><Relationship Id="rId1" Type="http://schemas.openxmlformats.org/officeDocument/2006/relationships/drawing" Target="../drawings/drawing3.xml"/>
</Relationships>
</file>

<file path=xl/worksheets/_rels/sheet10.xml.rels><?xml version="1.0" encoding="UTF-8"?>
<Relationships xmlns="http://schemas.openxmlformats.org/package/2006/relationships"><Relationship Id="rId1" Type="http://schemas.openxmlformats.org/officeDocument/2006/relationships/drawing" Target="../drawings/drawing4.xml"/>
</Relationships>
</file>

<file path=xl/worksheets/_rels/sheet11.xml.rels><?xml version="1.0" encoding="UTF-8"?>
<Relationships xmlns="http://schemas.openxmlformats.org/package/2006/relationships"><Relationship Id="rId1" Type="http://schemas.openxmlformats.org/officeDocument/2006/relationships/drawing" Target="../drawings/drawing5.xml"/>
</Relationships>
</file>

<file path=xl/worksheets/_rels/sheet12.xml.rels><?xml version="1.0" encoding="UTF-8"?>
<Relationships xmlns="http://schemas.openxmlformats.org/package/2006/relationships"><Relationship Id="rId1" Type="http://schemas.openxmlformats.org/officeDocument/2006/relationships/drawing" Target="../drawings/drawing6.xml"/>
</Relationships>
</file>

<file path=xl/worksheets/_rels/sheet13.xml.rels><?xml version="1.0" encoding="UTF-8"?>
<Relationships xmlns="http://schemas.openxmlformats.org/package/2006/relationships"><Relationship Id="rId1" Type="http://schemas.openxmlformats.org/officeDocument/2006/relationships/drawing" Target="../drawings/drawing7.xml"/>
</Relationships>
</file>

<file path=xl/worksheets/_rels/sheet14.xml.rels><?xml version="1.0" encoding="UTF-8"?>
<Relationships xmlns="http://schemas.openxmlformats.org/package/2006/relationships"><Relationship Id="rId1" Type="http://schemas.openxmlformats.org/officeDocument/2006/relationships/drawing" Target="../drawings/drawing8.xml"/>
</Relationships>
</file>

<file path=xl/worksheets/_rels/sheet16.xml.rels><?xml version="1.0" encoding="UTF-8"?>
<Relationships xmlns="http://schemas.openxmlformats.org/package/2006/relationships"><Relationship Id="rId1" Type="http://schemas.openxmlformats.org/officeDocument/2006/relationships/drawing" Target="../drawings/drawing9.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6"/>
  <sheetViews>
    <sheetView showFormulas="false" showGridLines="true" showRowColHeaders="true" showZeros="true" rightToLeft="false" tabSelected="true" showOutlineSymbols="true" defaultGridColor="true" view="normal" topLeftCell="A1" colorId="64" zoomScale="100" zoomScaleNormal="100" zoomScalePageLayoutView="6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118"/>
  </cols>
  <sheetData>
    <row r="1" customFormat="false" ht="1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2" t="s">
        <v>4</v>
      </c>
    </row>
    <row r="6" customFormat="false" ht="15" hidden="false" customHeight="false" outlineLevel="0" collapsed="false">
      <c r="A6" s="5" t="s">
        <v>5</v>
      </c>
      <c r="B6" s="2" t="s">
        <v>6</v>
      </c>
    </row>
    <row r="7" customFormat="false" ht="15" hidden="false" customHeight="false" outlineLevel="0" collapsed="false">
      <c r="A7" s="5" t="s">
        <v>7</v>
      </c>
      <c r="B7" s="2" t="s">
        <v>8</v>
      </c>
    </row>
    <row r="8" customFormat="false" ht="15" hidden="false" customHeight="false" outlineLevel="0" collapsed="false">
      <c r="A8" s="5" t="s">
        <v>9</v>
      </c>
      <c r="B8" s="2" t="s">
        <v>10</v>
      </c>
    </row>
    <row r="9" customFormat="false" ht="15" hidden="false" customHeight="false" outlineLevel="0" collapsed="false">
      <c r="A9" s="5" t="s">
        <v>11</v>
      </c>
      <c r="B9" s="2" t="s">
        <v>12</v>
      </c>
    </row>
    <row r="10" customFormat="false" ht="15" hidden="false" customHeight="false" outlineLevel="0" collapsed="false">
      <c r="A10" s="5" t="s">
        <v>13</v>
      </c>
      <c r="B10" s="2" t="s">
        <v>14</v>
      </c>
    </row>
    <row r="12" customFormat="false" ht="15" hidden="false" customHeight="false" outlineLevel="0" collapsed="false">
      <c r="A12" s="3" t="s">
        <v>15</v>
      </c>
      <c r="B12" s="4"/>
    </row>
    <row r="13" customFormat="false" ht="15" hidden="false" customHeight="false" outlineLevel="0" collapsed="false">
      <c r="A13" s="5" t="s">
        <v>16</v>
      </c>
      <c r="B13" s="2" t="s">
        <v>17</v>
      </c>
    </row>
    <row r="14" customFormat="false" ht="15" hidden="false" customHeight="false" outlineLevel="0" collapsed="false">
      <c r="A14" s="5" t="s">
        <v>18</v>
      </c>
      <c r="B14" s="2" t="s">
        <v>19</v>
      </c>
    </row>
    <row r="15" customFormat="false" ht="15" hidden="false" customHeight="false" outlineLevel="0" collapsed="false">
      <c r="A15" s="5" t="s">
        <v>20</v>
      </c>
      <c r="B15" s="2" t="s">
        <v>21</v>
      </c>
    </row>
    <row r="16" customFormat="false" ht="15" hidden="false" customHeight="false" outlineLevel="0" collapsed="false">
      <c r="A16" s="5" t="s">
        <v>22</v>
      </c>
      <c r="B16" s="2" t="s">
        <v>23</v>
      </c>
    </row>
    <row r="17" customFormat="false" ht="15" hidden="false" customHeight="false" outlineLevel="0" collapsed="false">
      <c r="A17" s="5" t="s">
        <v>24</v>
      </c>
      <c r="B17" s="2" t="s">
        <v>25</v>
      </c>
    </row>
    <row r="18" customFormat="false" ht="15" hidden="false" customHeight="false" outlineLevel="0" collapsed="false">
      <c r="A18" s="5" t="s">
        <v>26</v>
      </c>
      <c r="B18" s="2" t="s">
        <v>27</v>
      </c>
    </row>
    <row r="20" customFormat="false" ht="15" hidden="false" customHeight="false" outlineLevel="0" collapsed="false">
      <c r="A20" s="3" t="s">
        <v>28</v>
      </c>
      <c r="B20" s="4"/>
    </row>
    <row r="21" customFormat="false" ht="15" hidden="false" customHeight="false" outlineLevel="0" collapsed="false">
      <c r="A21" s="5" t="s">
        <v>29</v>
      </c>
      <c r="B21" s="2" t="s">
        <v>30</v>
      </c>
    </row>
    <row r="22" customFormat="false" ht="15" hidden="false" customHeight="false" outlineLevel="0" collapsed="false">
      <c r="A22" s="5" t="s">
        <v>31</v>
      </c>
      <c r="B22" s="2" t="s">
        <v>32</v>
      </c>
    </row>
    <row r="23" customFormat="false" ht="15" hidden="false" customHeight="false" outlineLevel="0" collapsed="false">
      <c r="A23" s="5" t="s">
        <v>33</v>
      </c>
      <c r="B23" s="2" t="s">
        <v>34</v>
      </c>
    </row>
    <row r="24" customFormat="false" ht="15" hidden="false" customHeight="false" outlineLevel="0" collapsed="false">
      <c r="A24" s="5" t="s">
        <v>35</v>
      </c>
      <c r="B24" s="2" t="s">
        <v>36</v>
      </c>
    </row>
    <row r="25" customFormat="false" ht="15" hidden="false" customHeight="false" outlineLevel="0" collapsed="false">
      <c r="A25" s="5" t="s">
        <v>37</v>
      </c>
      <c r="B25" s="2" t="s">
        <v>38</v>
      </c>
    </row>
    <row r="26" customFormat="false" ht="15" hidden="false" customHeight="false" outlineLevel="0" collapsed="false">
      <c r="A26" s="5" t="s">
        <v>39</v>
      </c>
      <c r="B26" s="2" t="s">
        <v>40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L36"/>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38" min="2" style="0" width="13"/>
  </cols>
  <sheetData>
    <row r="1" customFormat="false" ht="15" hidden="false" customHeight="false" outlineLevel="0" collapsed="false">
      <c r="A1" s="6" t="s">
        <v>41</v>
      </c>
      <c r="B1" s="6" t="s">
        <v>42</v>
      </c>
      <c r="C1" s="6" t="s">
        <v>43</v>
      </c>
      <c r="D1" s="6" t="s">
        <v>44</v>
      </c>
      <c r="E1" s="6" t="s">
        <v>45</v>
      </c>
      <c r="F1" s="6" t="s">
        <v>46</v>
      </c>
      <c r="G1" s="6" t="s">
        <v>47</v>
      </c>
      <c r="H1" s="6" t="s">
        <v>48</v>
      </c>
      <c r="I1" s="6" t="s">
        <v>49</v>
      </c>
      <c r="J1" s="6" t="s">
        <v>50</v>
      </c>
      <c r="K1" s="6" t="s">
        <v>51</v>
      </c>
      <c r="L1" s="6" t="s">
        <v>52</v>
      </c>
      <c r="M1" s="6" t="s">
        <v>53</v>
      </c>
      <c r="N1" s="6" t="s">
        <v>54</v>
      </c>
      <c r="O1" s="6" t="s">
        <v>55</v>
      </c>
      <c r="P1" s="6" t="s">
        <v>33</v>
      </c>
      <c r="Q1" s="6" t="s">
        <v>35</v>
      </c>
      <c r="R1" s="6" t="s">
        <v>56</v>
      </c>
      <c r="S1" s="6" t="s">
        <v>57</v>
      </c>
      <c r="T1" s="6" t="s">
        <v>58</v>
      </c>
      <c r="U1" s="6" t="s">
        <v>59</v>
      </c>
      <c r="V1" s="6" t="s">
        <v>60</v>
      </c>
      <c r="W1" s="6" t="s">
        <v>61</v>
      </c>
      <c r="X1" s="6" t="s">
        <v>62</v>
      </c>
      <c r="Y1" s="6" t="s">
        <v>63</v>
      </c>
      <c r="Z1" s="6" t="s">
        <v>64</v>
      </c>
      <c r="AA1" s="6" t="s">
        <v>65</v>
      </c>
      <c r="AB1" s="6" t="s">
        <v>66</v>
      </c>
      <c r="AC1" s="6" t="s">
        <v>67</v>
      </c>
      <c r="AD1" s="6" t="s">
        <v>68</v>
      </c>
      <c r="AE1" s="6" t="s">
        <v>69</v>
      </c>
      <c r="AF1" s="6" t="s">
        <v>70</v>
      </c>
      <c r="AG1" s="6" t="s">
        <v>71</v>
      </c>
      <c r="AH1" s="6" t="s">
        <v>72</v>
      </c>
      <c r="AI1" s="6" t="s">
        <v>73</v>
      </c>
      <c r="AJ1" s="6" t="s">
        <v>74</v>
      </c>
      <c r="AK1" s="6" t="s">
        <v>75</v>
      </c>
      <c r="AL1" s="6" t="s">
        <v>76</v>
      </c>
    </row>
    <row r="2" customFormat="false" ht="15" hidden="false" customHeight="false" outlineLevel="0" collapsed="false">
      <c r="A2" s="7" t="s">
        <v>77</v>
      </c>
      <c r="B2" s="7" t="s">
        <v>78</v>
      </c>
      <c r="C2" s="7" t="s">
        <v>79</v>
      </c>
      <c r="D2" s="7" t="s">
        <v>79</v>
      </c>
      <c r="E2" s="7"/>
      <c r="F2" s="7" t="n">
        <v>16</v>
      </c>
      <c r="G2" s="7" t="n">
        <v>200001</v>
      </c>
      <c r="H2" s="7" t="n">
        <v>28</v>
      </c>
      <c r="I2" s="7" t="n">
        <v>5600028</v>
      </c>
      <c r="J2" s="7" t="n">
        <v>0.5819</v>
      </c>
      <c r="K2" s="7" t="n">
        <v>0.4137</v>
      </c>
      <c r="L2" s="7" t="n">
        <v>1768681</v>
      </c>
      <c r="M2" s="7" t="n">
        <v>1783081</v>
      </c>
      <c r="N2" s="7" t="n">
        <v>14400</v>
      </c>
      <c r="O2" s="7" t="n">
        <v>0.008076</v>
      </c>
      <c r="P2" s="7" t="n">
        <v>3.1662</v>
      </c>
      <c r="Q2" s="7" t="n">
        <v>3.1406</v>
      </c>
      <c r="R2" s="7" t="n">
        <v>342</v>
      </c>
      <c r="S2" s="7" t="n">
        <v>3</v>
      </c>
      <c r="T2" s="7" t="n">
        <v>16</v>
      </c>
      <c r="U2" s="7" t="n">
        <v>64</v>
      </c>
      <c r="V2" s="7" t="n">
        <v>16</v>
      </c>
      <c r="W2" s="7" t="n">
        <v>4096</v>
      </c>
      <c r="X2" s="7" t="n">
        <v>16</v>
      </c>
      <c r="Y2" s="7" t="n">
        <v>16</v>
      </c>
      <c r="Z2" s="7" t="n">
        <v>3</v>
      </c>
      <c r="AA2" s="7" t="n">
        <v>2048</v>
      </c>
      <c r="AB2" s="7" t="n">
        <v>4096</v>
      </c>
      <c r="AC2" s="7" t="s">
        <v>80</v>
      </c>
      <c r="AD2" s="7"/>
      <c r="AE2" s="7"/>
      <c r="AF2" s="7"/>
      <c r="AG2" s="7"/>
      <c r="AH2" s="7"/>
      <c r="AI2" s="7" t="n">
        <v>1768681</v>
      </c>
      <c r="AJ2" s="7" t="n">
        <v>1783081</v>
      </c>
      <c r="AK2" s="7"/>
      <c r="AL2" s="7"/>
    </row>
    <row r="3" customFormat="false" ht="15" hidden="false" customHeight="false" outlineLevel="0" collapsed="false">
      <c r="A3" s="7" t="s">
        <v>77</v>
      </c>
      <c r="B3" s="7" t="s">
        <v>78</v>
      </c>
      <c r="C3" s="7" t="s">
        <v>81</v>
      </c>
      <c r="D3" s="7" t="s">
        <v>81</v>
      </c>
      <c r="E3" s="7"/>
      <c r="F3" s="7" t="n">
        <v>16</v>
      </c>
      <c r="G3" s="7" t="n">
        <v>200001</v>
      </c>
      <c r="H3" s="7" t="n">
        <v>28</v>
      </c>
      <c r="I3" s="7" t="n">
        <v>5600028</v>
      </c>
      <c r="J3" s="7" t="n">
        <v>0.5962</v>
      </c>
      <c r="K3" s="7" t="n">
        <v>0.5092</v>
      </c>
      <c r="L3" s="7" t="n">
        <v>1206685</v>
      </c>
      <c r="M3" s="7" t="n">
        <v>1287775</v>
      </c>
      <c r="N3" s="7" t="n">
        <v>81090</v>
      </c>
      <c r="O3" s="7" t="n">
        <v>0.062969</v>
      </c>
      <c r="P3" s="7" t="n">
        <v>4.6408</v>
      </c>
      <c r="Q3" s="7" t="n">
        <v>4.3486</v>
      </c>
      <c r="R3" s="7" t="n">
        <v>342</v>
      </c>
      <c r="S3" s="7" t="n">
        <v>3</v>
      </c>
      <c r="T3" s="7" t="n">
        <v>16</v>
      </c>
      <c r="U3" s="7" t="n">
        <v>64</v>
      </c>
      <c r="V3" s="7" t="n">
        <v>16</v>
      </c>
      <c r="W3" s="7" t="n">
        <v>4096</v>
      </c>
      <c r="X3" s="7" t="n">
        <v>16</v>
      </c>
      <c r="Y3" s="7" t="n">
        <v>16</v>
      </c>
      <c r="Z3" s="7" t="n">
        <v>3</v>
      </c>
      <c r="AA3" s="7" t="n">
        <v>2048</v>
      </c>
      <c r="AB3" s="7" t="n">
        <v>4096</v>
      </c>
      <c r="AC3" s="7" t="s">
        <v>80</v>
      </c>
      <c r="AD3" s="7"/>
      <c r="AE3" s="7"/>
      <c r="AF3" s="7"/>
      <c r="AG3" s="7"/>
      <c r="AH3" s="7"/>
      <c r="AI3" s="7"/>
      <c r="AJ3" s="7"/>
      <c r="AK3" s="7" t="n">
        <v>1206685</v>
      </c>
      <c r="AL3" s="7" t="n">
        <v>1287775</v>
      </c>
    </row>
    <row r="4" customFormat="false" ht="15" hidden="false" customHeight="false" outlineLevel="0" collapsed="false">
      <c r="A4" s="7" t="s">
        <v>77</v>
      </c>
      <c r="B4" s="7" t="s">
        <v>78</v>
      </c>
      <c r="C4" s="7" t="s">
        <v>81</v>
      </c>
      <c r="D4" s="7" t="s">
        <v>81</v>
      </c>
      <c r="E4" s="7" t="n">
        <v>0.1</v>
      </c>
      <c r="F4" s="7" t="n">
        <v>16</v>
      </c>
      <c r="G4" s="7" t="n">
        <v>200001</v>
      </c>
      <c r="H4" s="7" t="n">
        <v>28</v>
      </c>
      <c r="I4" s="7" t="n">
        <v>5600028</v>
      </c>
      <c r="J4" s="7" t="n">
        <v>0.5848</v>
      </c>
      <c r="K4" s="7" t="n">
        <v>0.3918</v>
      </c>
      <c r="L4" s="7" t="n">
        <v>808854</v>
      </c>
      <c r="M4" s="7" t="n">
        <v>889944</v>
      </c>
      <c r="N4" s="7" t="n">
        <v>81090</v>
      </c>
      <c r="O4" s="7" t="n">
        <v>0.091118</v>
      </c>
      <c r="P4" s="7" t="n">
        <v>6.9234</v>
      </c>
      <c r="Q4" s="7" t="n">
        <v>6.2926</v>
      </c>
      <c r="R4" s="7" t="n">
        <v>342</v>
      </c>
      <c r="S4" s="7" t="n">
        <v>3</v>
      </c>
      <c r="T4" s="7" t="n">
        <v>16</v>
      </c>
      <c r="U4" s="7" t="n">
        <v>64</v>
      </c>
      <c r="V4" s="7" t="n">
        <v>16</v>
      </c>
      <c r="W4" s="7" t="n">
        <v>4096</v>
      </c>
      <c r="X4" s="7" t="n">
        <v>16</v>
      </c>
      <c r="Y4" s="7" t="n">
        <v>16</v>
      </c>
      <c r="Z4" s="7" t="n">
        <v>3</v>
      </c>
      <c r="AA4" s="7" t="n">
        <v>2048</v>
      </c>
      <c r="AB4" s="7" t="n">
        <v>4096</v>
      </c>
      <c r="AC4" s="7" t="s">
        <v>80</v>
      </c>
      <c r="AD4" s="7"/>
      <c r="AE4" s="7"/>
      <c r="AF4" s="7"/>
      <c r="AG4" s="7"/>
      <c r="AH4" s="7"/>
      <c r="AI4" s="7"/>
      <c r="AJ4" s="7"/>
      <c r="AK4" s="7" t="n">
        <v>808854</v>
      </c>
      <c r="AL4" s="7" t="n">
        <v>889944</v>
      </c>
    </row>
    <row r="5" customFormat="false" ht="15" hidden="false" customHeight="false" outlineLevel="0" collapsed="false">
      <c r="A5" s="7" t="s">
        <v>77</v>
      </c>
      <c r="B5" s="7" t="s">
        <v>78</v>
      </c>
      <c r="C5" s="7" t="s">
        <v>81</v>
      </c>
      <c r="D5" s="7" t="s">
        <v>81</v>
      </c>
      <c r="E5" s="7" t="n">
        <v>1</v>
      </c>
      <c r="F5" s="7" t="n">
        <v>16</v>
      </c>
      <c r="G5" s="7" t="n">
        <v>200001</v>
      </c>
      <c r="H5" s="7" t="n">
        <v>28</v>
      </c>
      <c r="I5" s="7" t="n">
        <v>5600028</v>
      </c>
      <c r="J5" s="7" t="n">
        <v>0.59</v>
      </c>
      <c r="K5" s="7" t="n">
        <v>0.3887</v>
      </c>
      <c r="L5" s="7" t="n">
        <v>730085</v>
      </c>
      <c r="M5" s="7" t="n">
        <v>811175</v>
      </c>
      <c r="N5" s="7" t="n">
        <v>81090</v>
      </c>
      <c r="O5" s="7" t="n">
        <v>0.099966</v>
      </c>
      <c r="P5" s="7" t="n">
        <v>7.6704</v>
      </c>
      <c r="Q5" s="7" t="n">
        <v>6.9036</v>
      </c>
      <c r="R5" s="7" t="n">
        <v>342</v>
      </c>
      <c r="S5" s="7" t="n">
        <v>3</v>
      </c>
      <c r="T5" s="7" t="n">
        <v>16</v>
      </c>
      <c r="U5" s="7" t="n">
        <v>64</v>
      </c>
      <c r="V5" s="7" t="n">
        <v>16</v>
      </c>
      <c r="W5" s="7" t="n">
        <v>4096</v>
      </c>
      <c r="X5" s="7" t="n">
        <v>16</v>
      </c>
      <c r="Y5" s="7" t="n">
        <v>16</v>
      </c>
      <c r="Z5" s="7" t="n">
        <v>3</v>
      </c>
      <c r="AA5" s="7" t="n">
        <v>2048</v>
      </c>
      <c r="AB5" s="7" t="n">
        <v>4096</v>
      </c>
      <c r="AC5" s="7" t="s">
        <v>80</v>
      </c>
      <c r="AD5" s="7"/>
      <c r="AE5" s="7"/>
      <c r="AF5" s="7"/>
      <c r="AG5" s="7"/>
      <c r="AH5" s="7"/>
      <c r="AI5" s="7"/>
      <c r="AJ5" s="7"/>
      <c r="AK5" s="7" t="n">
        <v>730085</v>
      </c>
      <c r="AL5" s="7" t="n">
        <v>811175</v>
      </c>
    </row>
    <row r="6" customFormat="false" ht="15" hidden="false" customHeight="false" outlineLevel="0" collapsed="false">
      <c r="A6" s="7" t="s">
        <v>77</v>
      </c>
      <c r="B6" s="7" t="s">
        <v>78</v>
      </c>
      <c r="C6" s="7" t="s">
        <v>81</v>
      </c>
      <c r="D6" s="7" t="s">
        <v>81</v>
      </c>
      <c r="E6" s="7" t="n">
        <v>5</v>
      </c>
      <c r="F6" s="7" t="n">
        <v>16</v>
      </c>
      <c r="G6" s="7" t="n">
        <v>200001</v>
      </c>
      <c r="H6" s="7" t="n">
        <v>28</v>
      </c>
      <c r="I6" s="7" t="n">
        <v>5600028</v>
      </c>
      <c r="J6" s="7" t="n">
        <v>0.6005</v>
      </c>
      <c r="K6" s="7" t="n">
        <v>0.3995</v>
      </c>
      <c r="L6" s="7" t="n">
        <v>672699</v>
      </c>
      <c r="M6" s="7" t="n">
        <v>753789</v>
      </c>
      <c r="N6" s="7" t="n">
        <v>81090</v>
      </c>
      <c r="O6" s="7" t="n">
        <v>0.107577</v>
      </c>
      <c r="P6" s="7" t="n">
        <v>8.3247</v>
      </c>
      <c r="Q6" s="7" t="n">
        <v>7.4292</v>
      </c>
      <c r="R6" s="7" t="n">
        <v>342</v>
      </c>
      <c r="S6" s="7" t="n">
        <v>3</v>
      </c>
      <c r="T6" s="7" t="n">
        <v>16</v>
      </c>
      <c r="U6" s="7" t="n">
        <v>64</v>
      </c>
      <c r="V6" s="7" t="n">
        <v>16</v>
      </c>
      <c r="W6" s="7" t="n">
        <v>4096</v>
      </c>
      <c r="X6" s="7" t="n">
        <v>16</v>
      </c>
      <c r="Y6" s="7" t="n">
        <v>16</v>
      </c>
      <c r="Z6" s="7" t="n">
        <v>3</v>
      </c>
      <c r="AA6" s="7" t="n">
        <v>2048</v>
      </c>
      <c r="AB6" s="7" t="n">
        <v>4096</v>
      </c>
      <c r="AC6" s="7" t="s">
        <v>80</v>
      </c>
      <c r="AD6" s="7"/>
      <c r="AE6" s="7"/>
      <c r="AF6" s="7"/>
      <c r="AG6" s="7"/>
      <c r="AH6" s="7"/>
      <c r="AI6" s="7"/>
      <c r="AJ6" s="7"/>
      <c r="AK6" s="7" t="n">
        <v>672699</v>
      </c>
      <c r="AL6" s="7" t="n">
        <v>753789</v>
      </c>
    </row>
    <row r="7" customFormat="false" ht="15" hidden="false" customHeight="false" outlineLevel="0" collapsed="false">
      <c r="A7" s="7" t="s">
        <v>77</v>
      </c>
      <c r="B7" s="7" t="s">
        <v>78</v>
      </c>
      <c r="C7" s="7" t="s">
        <v>82</v>
      </c>
      <c r="D7" s="7" t="s">
        <v>82</v>
      </c>
      <c r="E7" s="7"/>
      <c r="F7" s="7" t="n">
        <v>16</v>
      </c>
      <c r="G7" s="7" t="n">
        <v>200001</v>
      </c>
      <c r="H7" s="7" t="n">
        <v>28</v>
      </c>
      <c r="I7" s="7" t="n">
        <v>5600028</v>
      </c>
      <c r="J7" s="7" t="n">
        <v>0.5524</v>
      </c>
      <c r="K7" s="7" t="n">
        <v>0.4543</v>
      </c>
      <c r="L7" s="7" t="n">
        <v>5600028</v>
      </c>
      <c r="M7" s="7" t="n">
        <v>0</v>
      </c>
      <c r="N7" s="7" t="n">
        <v>0</v>
      </c>
      <c r="O7" s="7" t="n">
        <v>0</v>
      </c>
      <c r="P7" s="7" t="n">
        <v>1</v>
      </c>
      <c r="Q7" s="7"/>
      <c r="R7" s="7" t="n">
        <v>0</v>
      </c>
      <c r="S7" s="7" t="n">
        <v>3</v>
      </c>
      <c r="T7" s="7" t="n">
        <v>16</v>
      </c>
      <c r="U7" s="7" t="n">
        <v>64</v>
      </c>
      <c r="V7" s="7" t="n">
        <v>16</v>
      </c>
      <c r="W7" s="7" t="n">
        <v>4096</v>
      </c>
      <c r="X7" s="7" t="n">
        <v>16</v>
      </c>
      <c r="Y7" s="7" t="n">
        <v>16</v>
      </c>
      <c r="Z7" s="7" t="n">
        <v>3</v>
      </c>
      <c r="AA7" s="7" t="n">
        <v>2048</v>
      </c>
      <c r="AB7" s="7" t="n">
        <v>4096</v>
      </c>
      <c r="AC7" s="7" t="s">
        <v>80</v>
      </c>
      <c r="AD7" s="7"/>
      <c r="AE7" s="7" t="n">
        <v>5600028</v>
      </c>
      <c r="AF7" s="7" t="n">
        <v>0</v>
      </c>
      <c r="AG7" s="7"/>
      <c r="AH7" s="7"/>
      <c r="AI7" s="7"/>
      <c r="AJ7" s="7"/>
      <c r="AK7" s="7"/>
      <c r="AL7" s="7"/>
    </row>
    <row r="8" customFormat="false" ht="15" hidden="false" customHeight="false" outlineLevel="0" collapsed="false">
      <c r="A8" s="7" t="s">
        <v>77</v>
      </c>
      <c r="B8" s="7" t="s">
        <v>78</v>
      </c>
      <c r="C8" s="7" t="s">
        <v>83</v>
      </c>
      <c r="D8" s="7" t="s">
        <v>83</v>
      </c>
      <c r="E8" s="7"/>
      <c r="F8" s="7" t="n">
        <v>16</v>
      </c>
      <c r="G8" s="7" t="n">
        <v>200001</v>
      </c>
      <c r="H8" s="7" t="n">
        <v>28</v>
      </c>
      <c r="I8" s="7" t="n">
        <v>5600028</v>
      </c>
      <c r="J8" s="7" t="n">
        <v>0.5655</v>
      </c>
      <c r="K8" s="7" t="n">
        <v>0.4276</v>
      </c>
      <c r="L8" s="7" t="n">
        <v>5600028</v>
      </c>
      <c r="M8" s="7" t="n">
        <v>5621264</v>
      </c>
      <c r="N8" s="7" t="n">
        <v>21236</v>
      </c>
      <c r="O8" s="7" t="n">
        <v>0.003778</v>
      </c>
      <c r="P8" s="7" t="n">
        <v>1</v>
      </c>
      <c r="Q8" s="7" t="n">
        <v>0.9962</v>
      </c>
      <c r="R8" s="7" t="n">
        <v>342</v>
      </c>
      <c r="S8" s="7" t="n">
        <v>3</v>
      </c>
      <c r="T8" s="7" t="n">
        <v>16</v>
      </c>
      <c r="U8" s="7" t="n">
        <v>64</v>
      </c>
      <c r="V8" s="7" t="n">
        <v>16</v>
      </c>
      <c r="W8" s="7" t="n">
        <v>4096</v>
      </c>
      <c r="X8" s="7" t="n">
        <v>16</v>
      </c>
      <c r="Y8" s="7" t="n">
        <v>16</v>
      </c>
      <c r="Z8" s="7" t="n">
        <v>3</v>
      </c>
      <c r="AA8" s="7" t="n">
        <v>2048</v>
      </c>
      <c r="AB8" s="7" t="n">
        <v>4096</v>
      </c>
      <c r="AC8" s="7" t="s">
        <v>80</v>
      </c>
      <c r="AD8" s="7"/>
      <c r="AE8" s="7"/>
      <c r="AF8" s="7"/>
      <c r="AG8" s="7" t="n">
        <v>5600028</v>
      </c>
      <c r="AH8" s="7" t="n">
        <v>5621264</v>
      </c>
      <c r="AI8" s="7"/>
      <c r="AJ8" s="7"/>
      <c r="AK8" s="7"/>
      <c r="AL8" s="7"/>
    </row>
    <row r="9" customFormat="false" ht="15" hidden="false" customHeight="false" outlineLevel="0" collapsed="false">
      <c r="A9" s="7" t="s">
        <v>77</v>
      </c>
      <c r="B9" s="7" t="s">
        <v>78</v>
      </c>
      <c r="C9" s="7" t="s">
        <v>79</v>
      </c>
      <c r="D9" s="7" t="s">
        <v>79</v>
      </c>
      <c r="E9" s="7"/>
      <c r="F9" s="7" t="n">
        <v>64</v>
      </c>
      <c r="G9" s="7" t="n">
        <v>200001</v>
      </c>
      <c r="H9" s="7" t="n">
        <v>28</v>
      </c>
      <c r="I9" s="7" t="n">
        <v>5600028</v>
      </c>
      <c r="J9" s="7" t="n">
        <v>0.5901</v>
      </c>
      <c r="K9" s="7" t="n">
        <v>0.45</v>
      </c>
      <c r="L9" s="7" t="n">
        <v>1719557</v>
      </c>
      <c r="M9" s="7" t="n">
        <v>1723461</v>
      </c>
      <c r="N9" s="7" t="n">
        <v>3904</v>
      </c>
      <c r="O9" s="7" t="n">
        <v>0.002265</v>
      </c>
      <c r="P9" s="7" t="n">
        <v>3.2567</v>
      </c>
      <c r="Q9" s="7" t="n">
        <v>3.2493</v>
      </c>
      <c r="R9" s="7" t="n">
        <v>86</v>
      </c>
      <c r="S9" s="7" t="n">
        <v>3</v>
      </c>
      <c r="T9" s="7" t="n">
        <v>64</v>
      </c>
      <c r="U9" s="7" t="n">
        <v>64</v>
      </c>
      <c r="V9" s="7" t="n">
        <v>16</v>
      </c>
      <c r="W9" s="7" t="n">
        <v>4096</v>
      </c>
      <c r="X9" s="7" t="n">
        <v>64</v>
      </c>
      <c r="Y9" s="7" t="n">
        <v>64</v>
      </c>
      <c r="Z9" s="7" t="n">
        <v>3</v>
      </c>
      <c r="AA9" s="7" t="n">
        <v>2048</v>
      </c>
      <c r="AB9" s="7" t="n">
        <v>4096</v>
      </c>
      <c r="AC9" s="7" t="s">
        <v>80</v>
      </c>
      <c r="AD9" s="7"/>
      <c r="AE9" s="7"/>
      <c r="AF9" s="7"/>
      <c r="AG9" s="7"/>
      <c r="AH9" s="7"/>
      <c r="AI9" s="7" t="n">
        <v>1719557</v>
      </c>
      <c r="AJ9" s="7" t="n">
        <v>1723461</v>
      </c>
      <c r="AK9" s="7"/>
      <c r="AL9" s="7"/>
    </row>
    <row r="10" customFormat="false" ht="15" hidden="false" customHeight="false" outlineLevel="0" collapsed="false">
      <c r="A10" s="7" t="s">
        <v>77</v>
      </c>
      <c r="B10" s="7" t="s">
        <v>78</v>
      </c>
      <c r="C10" s="7" t="s">
        <v>81</v>
      </c>
      <c r="D10" s="7" t="s">
        <v>81</v>
      </c>
      <c r="E10" s="7"/>
      <c r="F10" s="7" t="n">
        <v>64</v>
      </c>
      <c r="G10" s="7" t="n">
        <v>200001</v>
      </c>
      <c r="H10" s="7" t="n">
        <v>28</v>
      </c>
      <c r="I10" s="7" t="n">
        <v>5600028</v>
      </c>
      <c r="J10" s="7" t="n">
        <v>0.5748</v>
      </c>
      <c r="K10" s="7" t="n">
        <v>0.4405</v>
      </c>
      <c r="L10" s="7" t="n">
        <v>1499024</v>
      </c>
      <c r="M10" s="7" t="n">
        <v>1519698</v>
      </c>
      <c r="N10" s="7" t="n">
        <v>20674</v>
      </c>
      <c r="O10" s="7" t="n">
        <v>0.013604</v>
      </c>
      <c r="P10" s="7" t="n">
        <v>3.7358</v>
      </c>
      <c r="Q10" s="7" t="n">
        <v>3.685</v>
      </c>
      <c r="R10" s="7" t="n">
        <v>86</v>
      </c>
      <c r="S10" s="7" t="n">
        <v>3</v>
      </c>
      <c r="T10" s="7" t="n">
        <v>64</v>
      </c>
      <c r="U10" s="7" t="n">
        <v>64</v>
      </c>
      <c r="V10" s="7" t="n">
        <v>16</v>
      </c>
      <c r="W10" s="7" t="n">
        <v>4096</v>
      </c>
      <c r="X10" s="7" t="n">
        <v>64</v>
      </c>
      <c r="Y10" s="7" t="n">
        <v>64</v>
      </c>
      <c r="Z10" s="7" t="n">
        <v>3</v>
      </c>
      <c r="AA10" s="7" t="n">
        <v>2048</v>
      </c>
      <c r="AB10" s="7" t="n">
        <v>4096</v>
      </c>
      <c r="AC10" s="7" t="s">
        <v>80</v>
      </c>
      <c r="AD10" s="7"/>
      <c r="AE10" s="7"/>
      <c r="AF10" s="7"/>
      <c r="AG10" s="7"/>
      <c r="AH10" s="7"/>
      <c r="AI10" s="7"/>
      <c r="AJ10" s="7"/>
      <c r="AK10" s="7" t="n">
        <v>1499024</v>
      </c>
      <c r="AL10" s="7" t="n">
        <v>1519698</v>
      </c>
    </row>
    <row r="11" customFormat="false" ht="15" hidden="false" customHeight="false" outlineLevel="0" collapsed="false">
      <c r="A11" s="7" t="s">
        <v>77</v>
      </c>
      <c r="B11" s="7" t="s">
        <v>78</v>
      </c>
      <c r="C11" s="7" t="s">
        <v>81</v>
      </c>
      <c r="D11" s="7" t="s">
        <v>81</v>
      </c>
      <c r="E11" s="7" t="n">
        <v>0.1</v>
      </c>
      <c r="F11" s="7" t="n">
        <v>64</v>
      </c>
      <c r="G11" s="7" t="n">
        <v>200001</v>
      </c>
      <c r="H11" s="7" t="n">
        <v>28</v>
      </c>
      <c r="I11" s="7" t="n">
        <v>5600028</v>
      </c>
      <c r="J11" s="7" t="n">
        <v>0.5862</v>
      </c>
      <c r="K11" s="7" t="n">
        <v>0.4162</v>
      </c>
      <c r="L11" s="7" t="n">
        <v>1136554</v>
      </c>
      <c r="M11" s="7" t="n">
        <v>1157228</v>
      </c>
      <c r="N11" s="7" t="n">
        <v>20674</v>
      </c>
      <c r="O11" s="7" t="n">
        <v>0.017865</v>
      </c>
      <c r="P11" s="7" t="n">
        <v>4.9272</v>
      </c>
      <c r="Q11" s="7" t="n">
        <v>4.8392</v>
      </c>
      <c r="R11" s="7" t="n">
        <v>86</v>
      </c>
      <c r="S11" s="7" t="n">
        <v>3</v>
      </c>
      <c r="T11" s="7" t="n">
        <v>64</v>
      </c>
      <c r="U11" s="7" t="n">
        <v>64</v>
      </c>
      <c r="V11" s="7" t="n">
        <v>16</v>
      </c>
      <c r="W11" s="7" t="n">
        <v>4096</v>
      </c>
      <c r="X11" s="7" t="n">
        <v>64</v>
      </c>
      <c r="Y11" s="7" t="n">
        <v>64</v>
      </c>
      <c r="Z11" s="7" t="n">
        <v>3</v>
      </c>
      <c r="AA11" s="7" t="n">
        <v>2048</v>
      </c>
      <c r="AB11" s="7" t="n">
        <v>4096</v>
      </c>
      <c r="AC11" s="7" t="s">
        <v>80</v>
      </c>
      <c r="AD11" s="7"/>
      <c r="AE11" s="7"/>
      <c r="AF11" s="7"/>
      <c r="AG11" s="7"/>
      <c r="AH11" s="7"/>
      <c r="AI11" s="7"/>
      <c r="AJ11" s="7"/>
      <c r="AK11" s="7" t="n">
        <v>1136554</v>
      </c>
      <c r="AL11" s="7" t="n">
        <v>1157228</v>
      </c>
    </row>
    <row r="12" customFormat="false" ht="15" hidden="false" customHeight="false" outlineLevel="0" collapsed="false">
      <c r="A12" s="7" t="s">
        <v>77</v>
      </c>
      <c r="B12" s="7" t="s">
        <v>78</v>
      </c>
      <c r="C12" s="7" t="s">
        <v>81</v>
      </c>
      <c r="D12" s="7" t="s">
        <v>81</v>
      </c>
      <c r="E12" s="7" t="n">
        <v>1</v>
      </c>
      <c r="F12" s="7" t="n">
        <v>64</v>
      </c>
      <c r="G12" s="7" t="n">
        <v>200001</v>
      </c>
      <c r="H12" s="7" t="n">
        <v>28</v>
      </c>
      <c r="I12" s="7" t="n">
        <v>5600028</v>
      </c>
      <c r="J12" s="7" t="n">
        <v>0.5725</v>
      </c>
      <c r="K12" s="7" t="n">
        <v>0.3804</v>
      </c>
      <c r="L12" s="7" t="n">
        <v>1053788</v>
      </c>
      <c r="M12" s="7" t="n">
        <v>1074462</v>
      </c>
      <c r="N12" s="7" t="n">
        <v>20674</v>
      </c>
      <c r="O12" s="7" t="n">
        <v>0.019241</v>
      </c>
      <c r="P12" s="7" t="n">
        <v>5.3142</v>
      </c>
      <c r="Q12" s="7" t="n">
        <v>5.2119</v>
      </c>
      <c r="R12" s="7" t="n">
        <v>86</v>
      </c>
      <c r="S12" s="7" t="n">
        <v>3</v>
      </c>
      <c r="T12" s="7" t="n">
        <v>64</v>
      </c>
      <c r="U12" s="7" t="n">
        <v>64</v>
      </c>
      <c r="V12" s="7" t="n">
        <v>16</v>
      </c>
      <c r="W12" s="7" t="n">
        <v>4096</v>
      </c>
      <c r="X12" s="7" t="n">
        <v>64</v>
      </c>
      <c r="Y12" s="7" t="n">
        <v>64</v>
      </c>
      <c r="Z12" s="7" t="n">
        <v>3</v>
      </c>
      <c r="AA12" s="7" t="n">
        <v>2048</v>
      </c>
      <c r="AB12" s="7" t="n">
        <v>4096</v>
      </c>
      <c r="AC12" s="7" t="s">
        <v>80</v>
      </c>
      <c r="AD12" s="7"/>
      <c r="AE12" s="7"/>
      <c r="AF12" s="7"/>
      <c r="AG12" s="7"/>
      <c r="AH12" s="7"/>
      <c r="AI12" s="7"/>
      <c r="AJ12" s="7"/>
      <c r="AK12" s="7" t="n">
        <v>1053788</v>
      </c>
      <c r="AL12" s="7" t="n">
        <v>1074462</v>
      </c>
    </row>
    <row r="13" customFormat="false" ht="15" hidden="false" customHeight="false" outlineLevel="0" collapsed="false">
      <c r="A13" s="7" t="s">
        <v>77</v>
      </c>
      <c r="B13" s="7" t="s">
        <v>78</v>
      </c>
      <c r="C13" s="7" t="s">
        <v>81</v>
      </c>
      <c r="D13" s="7" t="s">
        <v>81</v>
      </c>
      <c r="E13" s="7" t="n">
        <v>5</v>
      </c>
      <c r="F13" s="7" t="n">
        <v>64</v>
      </c>
      <c r="G13" s="7" t="n">
        <v>200001</v>
      </c>
      <c r="H13" s="7" t="n">
        <v>28</v>
      </c>
      <c r="I13" s="7" t="n">
        <v>5600028</v>
      </c>
      <c r="J13" s="7" t="n">
        <v>0.5857</v>
      </c>
      <c r="K13" s="7" t="n">
        <v>0.3759</v>
      </c>
      <c r="L13" s="7" t="n">
        <v>1000058</v>
      </c>
      <c r="M13" s="7" t="n">
        <v>1020732</v>
      </c>
      <c r="N13" s="7" t="n">
        <v>20674</v>
      </c>
      <c r="O13" s="7" t="n">
        <v>0.020254</v>
      </c>
      <c r="P13" s="7" t="n">
        <v>5.5997</v>
      </c>
      <c r="Q13" s="7" t="n">
        <v>5.4863</v>
      </c>
      <c r="R13" s="7" t="n">
        <v>86</v>
      </c>
      <c r="S13" s="7" t="n">
        <v>3</v>
      </c>
      <c r="T13" s="7" t="n">
        <v>64</v>
      </c>
      <c r="U13" s="7" t="n">
        <v>64</v>
      </c>
      <c r="V13" s="7" t="n">
        <v>16</v>
      </c>
      <c r="W13" s="7" t="n">
        <v>4096</v>
      </c>
      <c r="X13" s="7" t="n">
        <v>64</v>
      </c>
      <c r="Y13" s="7" t="n">
        <v>64</v>
      </c>
      <c r="Z13" s="7" t="n">
        <v>3</v>
      </c>
      <c r="AA13" s="7" t="n">
        <v>2048</v>
      </c>
      <c r="AB13" s="7" t="n">
        <v>4096</v>
      </c>
      <c r="AC13" s="7" t="s">
        <v>80</v>
      </c>
      <c r="AD13" s="7"/>
      <c r="AE13" s="7"/>
      <c r="AF13" s="7"/>
      <c r="AG13" s="7"/>
      <c r="AH13" s="7"/>
      <c r="AI13" s="7"/>
      <c r="AJ13" s="7"/>
      <c r="AK13" s="7" t="n">
        <v>1000058</v>
      </c>
      <c r="AL13" s="7" t="n">
        <v>1020732</v>
      </c>
    </row>
    <row r="14" customFormat="false" ht="15" hidden="false" customHeight="false" outlineLevel="0" collapsed="false">
      <c r="A14" s="7" t="s">
        <v>77</v>
      </c>
      <c r="B14" s="7" t="s">
        <v>78</v>
      </c>
      <c r="C14" s="7" t="s">
        <v>82</v>
      </c>
      <c r="D14" s="7" t="s">
        <v>82</v>
      </c>
      <c r="E14" s="7"/>
      <c r="F14" s="7" t="n">
        <v>64</v>
      </c>
      <c r="G14" s="7" t="n">
        <v>200001</v>
      </c>
      <c r="H14" s="7" t="n">
        <v>28</v>
      </c>
      <c r="I14" s="7" t="n">
        <v>5600028</v>
      </c>
      <c r="J14" s="7" t="n">
        <v>0.5433</v>
      </c>
      <c r="K14" s="7" t="n">
        <v>0.4761</v>
      </c>
      <c r="L14" s="7" t="n">
        <v>5600028</v>
      </c>
      <c r="M14" s="7" t="n">
        <v>0</v>
      </c>
      <c r="N14" s="7" t="n">
        <v>0</v>
      </c>
      <c r="O14" s="7" t="n">
        <v>0</v>
      </c>
      <c r="P14" s="7" t="n">
        <v>1</v>
      </c>
      <c r="Q14" s="7"/>
      <c r="R14" s="7" t="n">
        <v>0</v>
      </c>
      <c r="S14" s="7" t="n">
        <v>3</v>
      </c>
      <c r="T14" s="7" t="n">
        <v>64</v>
      </c>
      <c r="U14" s="7" t="n">
        <v>64</v>
      </c>
      <c r="V14" s="7" t="n">
        <v>16</v>
      </c>
      <c r="W14" s="7" t="n">
        <v>4096</v>
      </c>
      <c r="X14" s="7" t="n">
        <v>64</v>
      </c>
      <c r="Y14" s="7" t="n">
        <v>64</v>
      </c>
      <c r="Z14" s="7" t="n">
        <v>3</v>
      </c>
      <c r="AA14" s="7" t="n">
        <v>2048</v>
      </c>
      <c r="AB14" s="7" t="n">
        <v>4096</v>
      </c>
      <c r="AC14" s="7" t="s">
        <v>80</v>
      </c>
      <c r="AD14" s="7"/>
      <c r="AE14" s="7" t="n">
        <v>5600028</v>
      </c>
      <c r="AF14" s="7" t="n">
        <v>0</v>
      </c>
      <c r="AG14" s="7"/>
      <c r="AH14" s="7"/>
      <c r="AI14" s="7"/>
      <c r="AJ14" s="7"/>
      <c r="AK14" s="7"/>
      <c r="AL14" s="7"/>
    </row>
    <row r="15" customFormat="false" ht="15" hidden="false" customHeight="false" outlineLevel="0" collapsed="false">
      <c r="A15" s="7" t="s">
        <v>77</v>
      </c>
      <c r="B15" s="7" t="s">
        <v>78</v>
      </c>
      <c r="C15" s="7" t="s">
        <v>83</v>
      </c>
      <c r="D15" s="7" t="s">
        <v>83</v>
      </c>
      <c r="E15" s="7"/>
      <c r="F15" s="7" t="n">
        <v>64</v>
      </c>
      <c r="G15" s="7" t="n">
        <v>200001</v>
      </c>
      <c r="H15" s="7" t="n">
        <v>28</v>
      </c>
      <c r="I15" s="7" t="n">
        <v>5600028</v>
      </c>
      <c r="J15" s="7" t="n">
        <v>0.5518</v>
      </c>
      <c r="K15" s="7" t="n">
        <v>0.4364</v>
      </c>
      <c r="L15" s="7" t="n">
        <v>5600028</v>
      </c>
      <c r="M15" s="7" t="n">
        <v>5605904</v>
      </c>
      <c r="N15" s="7" t="n">
        <v>5876</v>
      </c>
      <c r="O15" s="7" t="n">
        <v>0.001048</v>
      </c>
      <c r="P15" s="7" t="n">
        <v>1</v>
      </c>
      <c r="Q15" s="7" t="n">
        <v>0.999</v>
      </c>
      <c r="R15" s="7" t="n">
        <v>86</v>
      </c>
      <c r="S15" s="7" t="n">
        <v>3</v>
      </c>
      <c r="T15" s="7" t="n">
        <v>64</v>
      </c>
      <c r="U15" s="7" t="n">
        <v>64</v>
      </c>
      <c r="V15" s="7" t="n">
        <v>16</v>
      </c>
      <c r="W15" s="7" t="n">
        <v>4096</v>
      </c>
      <c r="X15" s="7" t="n">
        <v>64</v>
      </c>
      <c r="Y15" s="7" t="n">
        <v>64</v>
      </c>
      <c r="Z15" s="7" t="n">
        <v>3</v>
      </c>
      <c r="AA15" s="7" t="n">
        <v>2048</v>
      </c>
      <c r="AB15" s="7" t="n">
        <v>4096</v>
      </c>
      <c r="AC15" s="7" t="s">
        <v>80</v>
      </c>
      <c r="AD15" s="7"/>
      <c r="AE15" s="7"/>
      <c r="AF15" s="7"/>
      <c r="AG15" s="7" t="n">
        <v>5600028</v>
      </c>
      <c r="AH15" s="7" t="n">
        <v>5605904</v>
      </c>
      <c r="AI15" s="7"/>
      <c r="AJ15" s="7"/>
      <c r="AK15" s="7"/>
      <c r="AL15" s="7"/>
    </row>
    <row r="16" customFormat="false" ht="15" hidden="false" customHeight="false" outlineLevel="0" collapsed="false">
      <c r="A16" s="7" t="s">
        <v>77</v>
      </c>
      <c r="B16" s="7" t="s">
        <v>78</v>
      </c>
      <c r="C16" s="7" t="s">
        <v>79</v>
      </c>
      <c r="D16" s="7" t="s">
        <v>79</v>
      </c>
      <c r="E16" s="7"/>
      <c r="F16" s="7" t="n">
        <v>256</v>
      </c>
      <c r="G16" s="7" t="n">
        <v>200001</v>
      </c>
      <c r="H16" s="7" t="n">
        <v>28</v>
      </c>
      <c r="I16" s="7" t="n">
        <v>5600028</v>
      </c>
      <c r="J16" s="7" t="n">
        <v>0.5804</v>
      </c>
      <c r="K16" s="7" t="n">
        <v>0.4496</v>
      </c>
      <c r="L16" s="7" t="n">
        <v>1713493</v>
      </c>
      <c r="M16" s="7" t="n">
        <v>1714773</v>
      </c>
      <c r="N16" s="7" t="n">
        <v>1280</v>
      </c>
      <c r="O16" s="7" t="n">
        <v>0.000746</v>
      </c>
      <c r="P16" s="7" t="n">
        <v>3.2682</v>
      </c>
      <c r="Q16" s="7" t="n">
        <v>3.2658</v>
      </c>
      <c r="R16" s="7" t="n">
        <v>22</v>
      </c>
      <c r="S16" s="7" t="n">
        <v>3</v>
      </c>
      <c r="T16" s="7" t="n">
        <v>256</v>
      </c>
      <c r="U16" s="7" t="n">
        <v>64</v>
      </c>
      <c r="V16" s="7" t="n">
        <v>16</v>
      </c>
      <c r="W16" s="7" t="n">
        <v>4096</v>
      </c>
      <c r="X16" s="7" t="n">
        <v>256</v>
      </c>
      <c r="Y16" s="7" t="n">
        <v>256</v>
      </c>
      <c r="Z16" s="7" t="n">
        <v>3</v>
      </c>
      <c r="AA16" s="7" t="n">
        <v>2048</v>
      </c>
      <c r="AB16" s="7" t="n">
        <v>4096</v>
      </c>
      <c r="AC16" s="7" t="s">
        <v>80</v>
      </c>
      <c r="AD16" s="7"/>
      <c r="AE16" s="7"/>
      <c r="AF16" s="7"/>
      <c r="AG16" s="7"/>
      <c r="AH16" s="7"/>
      <c r="AI16" s="7" t="n">
        <v>1713493</v>
      </c>
      <c r="AJ16" s="7" t="n">
        <v>1714773</v>
      </c>
      <c r="AK16" s="7"/>
      <c r="AL16" s="7"/>
    </row>
    <row r="17" customFormat="false" ht="15" hidden="false" customHeight="false" outlineLevel="0" collapsed="false">
      <c r="A17" s="7" t="s">
        <v>77</v>
      </c>
      <c r="B17" s="7" t="s">
        <v>78</v>
      </c>
      <c r="C17" s="7" t="s">
        <v>81</v>
      </c>
      <c r="D17" s="7" t="s">
        <v>81</v>
      </c>
      <c r="E17" s="7"/>
      <c r="F17" s="7" t="n">
        <v>256</v>
      </c>
      <c r="G17" s="7" t="n">
        <v>200001</v>
      </c>
      <c r="H17" s="7" t="n">
        <v>28</v>
      </c>
      <c r="I17" s="7" t="n">
        <v>5600028</v>
      </c>
      <c r="J17" s="7" t="n">
        <v>0.5822</v>
      </c>
      <c r="K17" s="7" t="n">
        <v>0.5088</v>
      </c>
      <c r="L17" s="7" t="n">
        <v>1365416</v>
      </c>
      <c r="M17" s="7" t="n">
        <v>1370986</v>
      </c>
      <c r="N17" s="7" t="n">
        <v>5570</v>
      </c>
      <c r="O17" s="7" t="n">
        <v>0.004063</v>
      </c>
      <c r="P17" s="7" t="n">
        <v>4.1013</v>
      </c>
      <c r="Q17" s="7" t="n">
        <v>4.0847</v>
      </c>
      <c r="R17" s="7" t="n">
        <v>22</v>
      </c>
      <c r="S17" s="7" t="n">
        <v>3</v>
      </c>
      <c r="T17" s="7" t="n">
        <v>256</v>
      </c>
      <c r="U17" s="7" t="n">
        <v>64</v>
      </c>
      <c r="V17" s="7" t="n">
        <v>16</v>
      </c>
      <c r="W17" s="7" t="n">
        <v>4096</v>
      </c>
      <c r="X17" s="7" t="n">
        <v>256</v>
      </c>
      <c r="Y17" s="7" t="n">
        <v>256</v>
      </c>
      <c r="Z17" s="7" t="n">
        <v>3</v>
      </c>
      <c r="AA17" s="7" t="n">
        <v>2048</v>
      </c>
      <c r="AB17" s="7" t="n">
        <v>4096</v>
      </c>
      <c r="AC17" s="7" t="s">
        <v>80</v>
      </c>
      <c r="AD17" s="7"/>
      <c r="AE17" s="7"/>
      <c r="AF17" s="7"/>
      <c r="AG17" s="7"/>
      <c r="AH17" s="7"/>
      <c r="AI17" s="7"/>
      <c r="AJ17" s="7"/>
      <c r="AK17" s="7" t="n">
        <v>1365416</v>
      </c>
      <c r="AL17" s="7" t="n">
        <v>1370986</v>
      </c>
    </row>
    <row r="18" customFormat="false" ht="15" hidden="false" customHeight="false" outlineLevel="0" collapsed="false">
      <c r="A18" s="7" t="s">
        <v>77</v>
      </c>
      <c r="B18" s="7" t="s">
        <v>78</v>
      </c>
      <c r="C18" s="7" t="s">
        <v>81</v>
      </c>
      <c r="D18" s="7" t="s">
        <v>81</v>
      </c>
      <c r="E18" s="7" t="n">
        <v>0.1</v>
      </c>
      <c r="F18" s="7" t="n">
        <v>256</v>
      </c>
      <c r="G18" s="7" t="n">
        <v>200001</v>
      </c>
      <c r="H18" s="7" t="n">
        <v>28</v>
      </c>
      <c r="I18" s="7" t="n">
        <v>5600028</v>
      </c>
      <c r="J18" s="7" t="n">
        <v>0.5772</v>
      </c>
      <c r="K18" s="7" t="n">
        <v>0.4122</v>
      </c>
      <c r="L18" s="7" t="n">
        <v>1018407</v>
      </c>
      <c r="M18" s="7" t="n">
        <v>1023977</v>
      </c>
      <c r="N18" s="7" t="n">
        <v>5570</v>
      </c>
      <c r="O18" s="7" t="n">
        <v>0.00544</v>
      </c>
      <c r="P18" s="7" t="n">
        <v>5.4988</v>
      </c>
      <c r="Q18" s="7" t="n">
        <v>5.4689</v>
      </c>
      <c r="R18" s="7" t="n">
        <v>22</v>
      </c>
      <c r="S18" s="7" t="n">
        <v>3</v>
      </c>
      <c r="T18" s="7" t="n">
        <v>256</v>
      </c>
      <c r="U18" s="7" t="n">
        <v>64</v>
      </c>
      <c r="V18" s="7" t="n">
        <v>16</v>
      </c>
      <c r="W18" s="7" t="n">
        <v>4096</v>
      </c>
      <c r="X18" s="7" t="n">
        <v>256</v>
      </c>
      <c r="Y18" s="7" t="n">
        <v>256</v>
      </c>
      <c r="Z18" s="7" t="n">
        <v>3</v>
      </c>
      <c r="AA18" s="7" t="n">
        <v>2048</v>
      </c>
      <c r="AB18" s="7" t="n">
        <v>4096</v>
      </c>
      <c r="AC18" s="7" t="s">
        <v>80</v>
      </c>
      <c r="AD18" s="7"/>
      <c r="AE18" s="7"/>
      <c r="AF18" s="7"/>
      <c r="AG18" s="7"/>
      <c r="AH18" s="7"/>
      <c r="AI18" s="7"/>
      <c r="AJ18" s="7"/>
      <c r="AK18" s="7" t="n">
        <v>1018407</v>
      </c>
      <c r="AL18" s="7" t="n">
        <v>1023977</v>
      </c>
    </row>
    <row r="19" customFormat="false" ht="15" hidden="false" customHeight="false" outlineLevel="0" collapsed="false">
      <c r="A19" s="7" t="s">
        <v>77</v>
      </c>
      <c r="B19" s="7" t="s">
        <v>78</v>
      </c>
      <c r="C19" s="7" t="s">
        <v>81</v>
      </c>
      <c r="D19" s="7" t="s">
        <v>81</v>
      </c>
      <c r="E19" s="7" t="n">
        <v>1</v>
      </c>
      <c r="F19" s="7" t="n">
        <v>256</v>
      </c>
      <c r="G19" s="7" t="n">
        <v>200001</v>
      </c>
      <c r="H19" s="7" t="n">
        <v>28</v>
      </c>
      <c r="I19" s="7" t="n">
        <v>5600028</v>
      </c>
      <c r="J19" s="7" t="n">
        <v>0.5848</v>
      </c>
      <c r="K19" s="7" t="n">
        <v>0.3945</v>
      </c>
      <c r="L19" s="7" t="n">
        <v>920140</v>
      </c>
      <c r="M19" s="7" t="n">
        <v>925710</v>
      </c>
      <c r="N19" s="7" t="n">
        <v>5570</v>
      </c>
      <c r="O19" s="7" t="n">
        <v>0.006017</v>
      </c>
      <c r="P19" s="7" t="n">
        <v>6.0861</v>
      </c>
      <c r="Q19" s="7" t="n">
        <v>6.0494</v>
      </c>
      <c r="R19" s="7" t="n">
        <v>22</v>
      </c>
      <c r="S19" s="7" t="n">
        <v>3</v>
      </c>
      <c r="T19" s="7" t="n">
        <v>256</v>
      </c>
      <c r="U19" s="7" t="n">
        <v>64</v>
      </c>
      <c r="V19" s="7" t="n">
        <v>16</v>
      </c>
      <c r="W19" s="7" t="n">
        <v>4096</v>
      </c>
      <c r="X19" s="7" t="n">
        <v>256</v>
      </c>
      <c r="Y19" s="7" t="n">
        <v>256</v>
      </c>
      <c r="Z19" s="7" t="n">
        <v>3</v>
      </c>
      <c r="AA19" s="7" t="n">
        <v>2048</v>
      </c>
      <c r="AB19" s="7" t="n">
        <v>4096</v>
      </c>
      <c r="AC19" s="7" t="s">
        <v>80</v>
      </c>
      <c r="AD19" s="7"/>
      <c r="AE19" s="7"/>
      <c r="AF19" s="7"/>
      <c r="AG19" s="7"/>
      <c r="AH19" s="7"/>
      <c r="AI19" s="7"/>
      <c r="AJ19" s="7"/>
      <c r="AK19" s="7" t="n">
        <v>920140</v>
      </c>
      <c r="AL19" s="7" t="n">
        <v>925710</v>
      </c>
    </row>
    <row r="20" customFormat="false" ht="15" hidden="false" customHeight="false" outlineLevel="0" collapsed="false">
      <c r="A20" s="7" t="s">
        <v>77</v>
      </c>
      <c r="B20" s="7" t="s">
        <v>78</v>
      </c>
      <c r="C20" s="7" t="s">
        <v>81</v>
      </c>
      <c r="D20" s="7" t="s">
        <v>81</v>
      </c>
      <c r="E20" s="7" t="n">
        <v>5</v>
      </c>
      <c r="F20" s="7" t="n">
        <v>256</v>
      </c>
      <c r="G20" s="7" t="n">
        <v>200001</v>
      </c>
      <c r="H20" s="7" t="n">
        <v>28</v>
      </c>
      <c r="I20" s="7" t="n">
        <v>5600028</v>
      </c>
      <c r="J20" s="7" t="n">
        <v>0.591</v>
      </c>
      <c r="K20" s="7" t="n">
        <v>0.4066</v>
      </c>
      <c r="L20" s="7" t="n">
        <v>861047</v>
      </c>
      <c r="M20" s="7" t="n">
        <v>866617</v>
      </c>
      <c r="N20" s="7" t="n">
        <v>5570</v>
      </c>
      <c r="O20" s="7" t="n">
        <v>0.006427</v>
      </c>
      <c r="P20" s="7" t="n">
        <v>6.5037</v>
      </c>
      <c r="Q20" s="7" t="n">
        <v>6.4619</v>
      </c>
      <c r="R20" s="7" t="n">
        <v>22</v>
      </c>
      <c r="S20" s="7" t="n">
        <v>3</v>
      </c>
      <c r="T20" s="7" t="n">
        <v>256</v>
      </c>
      <c r="U20" s="7" t="n">
        <v>64</v>
      </c>
      <c r="V20" s="7" t="n">
        <v>16</v>
      </c>
      <c r="W20" s="7" t="n">
        <v>4096</v>
      </c>
      <c r="X20" s="7" t="n">
        <v>256</v>
      </c>
      <c r="Y20" s="7" t="n">
        <v>256</v>
      </c>
      <c r="Z20" s="7" t="n">
        <v>3</v>
      </c>
      <c r="AA20" s="7" t="n">
        <v>2048</v>
      </c>
      <c r="AB20" s="7" t="n">
        <v>4096</v>
      </c>
      <c r="AC20" s="7" t="s">
        <v>80</v>
      </c>
      <c r="AD20" s="7"/>
      <c r="AE20" s="7"/>
      <c r="AF20" s="7"/>
      <c r="AG20" s="7"/>
      <c r="AH20" s="7"/>
      <c r="AI20" s="7"/>
      <c r="AJ20" s="7"/>
      <c r="AK20" s="7" t="n">
        <v>861047</v>
      </c>
      <c r="AL20" s="7" t="n">
        <v>866617</v>
      </c>
    </row>
    <row r="21" customFormat="false" ht="15" hidden="false" customHeight="false" outlineLevel="0" collapsed="false">
      <c r="A21" s="7" t="s">
        <v>77</v>
      </c>
      <c r="B21" s="7" t="s">
        <v>78</v>
      </c>
      <c r="C21" s="7" t="s">
        <v>82</v>
      </c>
      <c r="D21" s="7" t="s">
        <v>82</v>
      </c>
      <c r="E21" s="7"/>
      <c r="F21" s="7" t="n">
        <v>256</v>
      </c>
      <c r="G21" s="7" t="n">
        <v>200001</v>
      </c>
      <c r="H21" s="7" t="n">
        <v>28</v>
      </c>
      <c r="I21" s="7" t="n">
        <v>5600028</v>
      </c>
      <c r="J21" s="7" t="n">
        <v>0.5541</v>
      </c>
      <c r="K21" s="7" t="n">
        <v>0.447</v>
      </c>
      <c r="L21" s="7" t="n">
        <v>5600028</v>
      </c>
      <c r="M21" s="7" t="n">
        <v>0</v>
      </c>
      <c r="N21" s="7" t="n">
        <v>0</v>
      </c>
      <c r="O21" s="7" t="n">
        <v>0</v>
      </c>
      <c r="P21" s="7" t="n">
        <v>1</v>
      </c>
      <c r="Q21" s="7"/>
      <c r="R21" s="7" t="n">
        <v>0</v>
      </c>
      <c r="S21" s="7" t="n">
        <v>3</v>
      </c>
      <c r="T21" s="7" t="n">
        <v>256</v>
      </c>
      <c r="U21" s="7" t="n">
        <v>64</v>
      </c>
      <c r="V21" s="7" t="n">
        <v>16</v>
      </c>
      <c r="W21" s="7" t="n">
        <v>4096</v>
      </c>
      <c r="X21" s="7" t="n">
        <v>256</v>
      </c>
      <c r="Y21" s="7" t="n">
        <v>256</v>
      </c>
      <c r="Z21" s="7" t="n">
        <v>3</v>
      </c>
      <c r="AA21" s="7" t="n">
        <v>2048</v>
      </c>
      <c r="AB21" s="7" t="n">
        <v>4096</v>
      </c>
      <c r="AC21" s="7" t="s">
        <v>80</v>
      </c>
      <c r="AD21" s="7"/>
      <c r="AE21" s="7" t="n">
        <v>5600028</v>
      </c>
      <c r="AF21" s="7" t="n">
        <v>0</v>
      </c>
      <c r="AG21" s="7"/>
      <c r="AH21" s="7"/>
      <c r="AI21" s="7"/>
      <c r="AJ21" s="7"/>
      <c r="AK21" s="7"/>
      <c r="AL21" s="7"/>
    </row>
    <row r="22" customFormat="false" ht="15" hidden="false" customHeight="false" outlineLevel="0" collapsed="false">
      <c r="A22" s="7" t="s">
        <v>77</v>
      </c>
      <c r="B22" s="7" t="s">
        <v>78</v>
      </c>
      <c r="C22" s="7" t="s">
        <v>83</v>
      </c>
      <c r="D22" s="7" t="s">
        <v>83</v>
      </c>
      <c r="E22" s="7"/>
      <c r="F22" s="7" t="n">
        <v>256</v>
      </c>
      <c r="G22" s="7" t="n">
        <v>200001</v>
      </c>
      <c r="H22" s="7" t="n">
        <v>28</v>
      </c>
      <c r="I22" s="7" t="n">
        <v>5600028</v>
      </c>
      <c r="J22" s="7" t="n">
        <v>0.5552</v>
      </c>
      <c r="K22" s="7" t="n">
        <v>0.4543</v>
      </c>
      <c r="L22" s="7" t="n">
        <v>5600028</v>
      </c>
      <c r="M22" s="7" t="n">
        <v>5602064</v>
      </c>
      <c r="N22" s="7" t="n">
        <v>2036</v>
      </c>
      <c r="O22" s="7" t="n">
        <v>0.000363</v>
      </c>
      <c r="P22" s="7" t="n">
        <v>1</v>
      </c>
      <c r="Q22" s="7" t="n">
        <v>0.9996</v>
      </c>
      <c r="R22" s="7" t="n">
        <v>22</v>
      </c>
      <c r="S22" s="7" t="n">
        <v>3</v>
      </c>
      <c r="T22" s="7" t="n">
        <v>256</v>
      </c>
      <c r="U22" s="7" t="n">
        <v>64</v>
      </c>
      <c r="V22" s="7" t="n">
        <v>16</v>
      </c>
      <c r="W22" s="7" t="n">
        <v>4096</v>
      </c>
      <c r="X22" s="7" t="n">
        <v>256</v>
      </c>
      <c r="Y22" s="7" t="n">
        <v>256</v>
      </c>
      <c r="Z22" s="7" t="n">
        <v>3</v>
      </c>
      <c r="AA22" s="7" t="n">
        <v>2048</v>
      </c>
      <c r="AB22" s="7" t="n">
        <v>4096</v>
      </c>
      <c r="AC22" s="7" t="s">
        <v>80</v>
      </c>
      <c r="AD22" s="7"/>
      <c r="AE22" s="7"/>
      <c r="AF22" s="7"/>
      <c r="AG22" s="7" t="n">
        <v>5600028</v>
      </c>
      <c r="AH22" s="7" t="n">
        <v>5602064</v>
      </c>
      <c r="AI22" s="7"/>
      <c r="AJ22" s="7"/>
      <c r="AK22" s="7"/>
      <c r="AL22" s="7"/>
    </row>
    <row r="23" customFormat="false" ht="15" hidden="false" customHeight="false" outlineLevel="0" collapsed="false">
      <c r="A23" s="7" t="s">
        <v>77</v>
      </c>
      <c r="B23" s="7" t="s">
        <v>78</v>
      </c>
      <c r="C23" s="7" t="s">
        <v>79</v>
      </c>
      <c r="D23" s="7" t="s">
        <v>79</v>
      </c>
      <c r="E23" s="7"/>
      <c r="F23" s="7" t="n">
        <v>1024</v>
      </c>
      <c r="G23" s="7" t="n">
        <v>200001</v>
      </c>
      <c r="H23" s="7" t="n">
        <v>28</v>
      </c>
      <c r="I23" s="7" t="n">
        <v>5600028</v>
      </c>
      <c r="J23" s="7" t="n">
        <v>0.579</v>
      </c>
      <c r="K23" s="7" t="n">
        <v>0.4553</v>
      </c>
      <c r="L23" s="7" t="n">
        <v>1714576</v>
      </c>
      <c r="M23" s="7" t="n">
        <v>1715200</v>
      </c>
      <c r="N23" s="7" t="n">
        <v>624</v>
      </c>
      <c r="O23" s="7" t="n">
        <v>0.000364</v>
      </c>
      <c r="P23" s="7" t="n">
        <v>3.2661</v>
      </c>
      <c r="Q23" s="7" t="n">
        <v>3.2649</v>
      </c>
      <c r="R23" s="7" t="n">
        <v>6</v>
      </c>
      <c r="S23" s="7" t="n">
        <v>3</v>
      </c>
      <c r="T23" s="7" t="n">
        <v>1024</v>
      </c>
      <c r="U23" s="7" t="n">
        <v>64</v>
      </c>
      <c r="V23" s="7" t="n">
        <v>16</v>
      </c>
      <c r="W23" s="7" t="n">
        <v>4096</v>
      </c>
      <c r="X23" s="7" t="n">
        <v>1024</v>
      </c>
      <c r="Y23" s="7" t="n">
        <v>1024</v>
      </c>
      <c r="Z23" s="7" t="n">
        <v>3</v>
      </c>
      <c r="AA23" s="7" t="n">
        <v>2048</v>
      </c>
      <c r="AB23" s="7" t="n">
        <v>4096</v>
      </c>
      <c r="AC23" s="7" t="s">
        <v>80</v>
      </c>
      <c r="AD23" s="7"/>
      <c r="AE23" s="7"/>
      <c r="AF23" s="7"/>
      <c r="AG23" s="7"/>
      <c r="AH23" s="7"/>
      <c r="AI23" s="7" t="n">
        <v>1714576</v>
      </c>
      <c r="AJ23" s="7" t="n">
        <v>1715200</v>
      </c>
      <c r="AK23" s="7"/>
      <c r="AL23" s="7"/>
    </row>
    <row r="24" customFormat="false" ht="15" hidden="false" customHeight="false" outlineLevel="0" collapsed="false">
      <c r="A24" s="7" t="s">
        <v>77</v>
      </c>
      <c r="B24" s="7" t="s">
        <v>78</v>
      </c>
      <c r="C24" s="7" t="s">
        <v>81</v>
      </c>
      <c r="D24" s="7" t="s">
        <v>81</v>
      </c>
      <c r="E24" s="7"/>
      <c r="F24" s="7" t="n">
        <v>1024</v>
      </c>
      <c r="G24" s="7" t="n">
        <v>200001</v>
      </c>
      <c r="H24" s="7" t="n">
        <v>28</v>
      </c>
      <c r="I24" s="7" t="n">
        <v>5600028</v>
      </c>
      <c r="J24" s="7" t="n">
        <v>0.5791</v>
      </c>
      <c r="K24" s="7" t="n">
        <v>0.4499</v>
      </c>
      <c r="L24" s="7" t="n">
        <v>1560562</v>
      </c>
      <c r="M24" s="7" t="n">
        <v>1562356</v>
      </c>
      <c r="N24" s="7" t="n">
        <v>1794</v>
      </c>
      <c r="O24" s="7" t="n">
        <v>0.001148</v>
      </c>
      <c r="P24" s="7" t="n">
        <v>3.5885</v>
      </c>
      <c r="Q24" s="7" t="n">
        <v>3.5843</v>
      </c>
      <c r="R24" s="7" t="n">
        <v>6</v>
      </c>
      <c r="S24" s="7" t="n">
        <v>3</v>
      </c>
      <c r="T24" s="7" t="n">
        <v>1024</v>
      </c>
      <c r="U24" s="7" t="n">
        <v>64</v>
      </c>
      <c r="V24" s="7" t="n">
        <v>16</v>
      </c>
      <c r="W24" s="7" t="n">
        <v>4096</v>
      </c>
      <c r="X24" s="7" t="n">
        <v>1024</v>
      </c>
      <c r="Y24" s="7" t="n">
        <v>1024</v>
      </c>
      <c r="Z24" s="7" t="n">
        <v>3</v>
      </c>
      <c r="AA24" s="7" t="n">
        <v>2048</v>
      </c>
      <c r="AB24" s="7" t="n">
        <v>4096</v>
      </c>
      <c r="AC24" s="7" t="s">
        <v>80</v>
      </c>
      <c r="AD24" s="7"/>
      <c r="AE24" s="7"/>
      <c r="AF24" s="7"/>
      <c r="AG24" s="7"/>
      <c r="AH24" s="7"/>
      <c r="AI24" s="7"/>
      <c r="AJ24" s="7"/>
      <c r="AK24" s="7" t="n">
        <v>1560562</v>
      </c>
      <c r="AL24" s="7" t="n">
        <v>1562356</v>
      </c>
    </row>
    <row r="25" customFormat="false" ht="15" hidden="false" customHeight="false" outlineLevel="0" collapsed="false">
      <c r="A25" s="7" t="s">
        <v>77</v>
      </c>
      <c r="B25" s="7" t="s">
        <v>78</v>
      </c>
      <c r="C25" s="7" t="s">
        <v>81</v>
      </c>
      <c r="D25" s="7" t="s">
        <v>81</v>
      </c>
      <c r="E25" s="7" t="n">
        <v>0.1</v>
      </c>
      <c r="F25" s="7" t="n">
        <v>1024</v>
      </c>
      <c r="G25" s="7" t="n">
        <v>200001</v>
      </c>
      <c r="H25" s="7" t="n">
        <v>28</v>
      </c>
      <c r="I25" s="7" t="n">
        <v>5600028</v>
      </c>
      <c r="J25" s="7" t="n">
        <v>0.5878</v>
      </c>
      <c r="K25" s="7" t="n">
        <v>0.4121</v>
      </c>
      <c r="L25" s="7" t="n">
        <v>1213496</v>
      </c>
      <c r="M25" s="7" t="n">
        <v>1215290</v>
      </c>
      <c r="N25" s="7" t="n">
        <v>1794</v>
      </c>
      <c r="O25" s="7" t="n">
        <v>0.001476</v>
      </c>
      <c r="P25" s="7" t="n">
        <v>4.6148</v>
      </c>
      <c r="Q25" s="7" t="n">
        <v>4.608</v>
      </c>
      <c r="R25" s="7" t="n">
        <v>6</v>
      </c>
      <c r="S25" s="7" t="n">
        <v>3</v>
      </c>
      <c r="T25" s="7" t="n">
        <v>1024</v>
      </c>
      <c r="U25" s="7" t="n">
        <v>64</v>
      </c>
      <c r="V25" s="7" t="n">
        <v>16</v>
      </c>
      <c r="W25" s="7" t="n">
        <v>4096</v>
      </c>
      <c r="X25" s="7" t="n">
        <v>1024</v>
      </c>
      <c r="Y25" s="7" t="n">
        <v>1024</v>
      </c>
      <c r="Z25" s="7" t="n">
        <v>3</v>
      </c>
      <c r="AA25" s="7" t="n">
        <v>2048</v>
      </c>
      <c r="AB25" s="7" t="n">
        <v>4096</v>
      </c>
      <c r="AC25" s="7" t="s">
        <v>80</v>
      </c>
      <c r="AD25" s="7"/>
      <c r="AE25" s="7"/>
      <c r="AF25" s="7"/>
      <c r="AG25" s="7"/>
      <c r="AH25" s="7"/>
      <c r="AI25" s="7"/>
      <c r="AJ25" s="7"/>
      <c r="AK25" s="7" t="n">
        <v>1213496</v>
      </c>
      <c r="AL25" s="7" t="n">
        <v>1215290</v>
      </c>
    </row>
    <row r="26" customFormat="false" ht="15" hidden="false" customHeight="false" outlineLevel="0" collapsed="false">
      <c r="A26" s="7" t="s">
        <v>77</v>
      </c>
      <c r="B26" s="7" t="s">
        <v>78</v>
      </c>
      <c r="C26" s="7" t="s">
        <v>81</v>
      </c>
      <c r="D26" s="7" t="s">
        <v>81</v>
      </c>
      <c r="E26" s="7" t="n">
        <v>1</v>
      </c>
      <c r="F26" s="7" t="n">
        <v>1024</v>
      </c>
      <c r="G26" s="7" t="n">
        <v>200001</v>
      </c>
      <c r="H26" s="7" t="n">
        <v>28</v>
      </c>
      <c r="I26" s="7" t="n">
        <v>5600028</v>
      </c>
      <c r="J26" s="7" t="n">
        <v>0.5993</v>
      </c>
      <c r="K26" s="7" t="n">
        <v>0.4373</v>
      </c>
      <c r="L26" s="7" t="n">
        <v>1120901</v>
      </c>
      <c r="M26" s="7" t="n">
        <v>1122695</v>
      </c>
      <c r="N26" s="7" t="n">
        <v>1794</v>
      </c>
      <c r="O26" s="7" t="n">
        <v>0.001598</v>
      </c>
      <c r="P26" s="7" t="n">
        <v>4.996</v>
      </c>
      <c r="Q26" s="7" t="n">
        <v>4.988</v>
      </c>
      <c r="R26" s="7" t="n">
        <v>6</v>
      </c>
      <c r="S26" s="7" t="n">
        <v>3</v>
      </c>
      <c r="T26" s="7" t="n">
        <v>1024</v>
      </c>
      <c r="U26" s="7" t="n">
        <v>64</v>
      </c>
      <c r="V26" s="7" t="n">
        <v>16</v>
      </c>
      <c r="W26" s="7" t="n">
        <v>4096</v>
      </c>
      <c r="X26" s="7" t="n">
        <v>1024</v>
      </c>
      <c r="Y26" s="7" t="n">
        <v>1024</v>
      </c>
      <c r="Z26" s="7" t="n">
        <v>3</v>
      </c>
      <c r="AA26" s="7" t="n">
        <v>2048</v>
      </c>
      <c r="AB26" s="7" t="n">
        <v>4096</v>
      </c>
      <c r="AC26" s="7" t="s">
        <v>80</v>
      </c>
      <c r="AD26" s="7"/>
      <c r="AE26" s="7"/>
      <c r="AF26" s="7"/>
      <c r="AG26" s="7"/>
      <c r="AH26" s="7"/>
      <c r="AI26" s="7"/>
      <c r="AJ26" s="7"/>
      <c r="AK26" s="7" t="n">
        <v>1120901</v>
      </c>
      <c r="AL26" s="7" t="n">
        <v>1122695</v>
      </c>
    </row>
    <row r="27" customFormat="false" ht="15" hidden="false" customHeight="false" outlineLevel="0" collapsed="false">
      <c r="A27" s="7" t="s">
        <v>77</v>
      </c>
      <c r="B27" s="7" t="s">
        <v>78</v>
      </c>
      <c r="C27" s="7" t="s">
        <v>81</v>
      </c>
      <c r="D27" s="7" t="s">
        <v>81</v>
      </c>
      <c r="E27" s="7" t="n">
        <v>5</v>
      </c>
      <c r="F27" s="7" t="n">
        <v>1024</v>
      </c>
      <c r="G27" s="7" t="n">
        <v>200001</v>
      </c>
      <c r="H27" s="7" t="n">
        <v>28</v>
      </c>
      <c r="I27" s="7" t="n">
        <v>5600028</v>
      </c>
      <c r="J27" s="7" t="n">
        <v>0.5736</v>
      </c>
      <c r="K27" s="7" t="n">
        <v>0.4316</v>
      </c>
      <c r="L27" s="7" t="n">
        <v>1051816</v>
      </c>
      <c r="M27" s="7" t="n">
        <v>1053610</v>
      </c>
      <c r="N27" s="7" t="n">
        <v>1794</v>
      </c>
      <c r="O27" s="7" t="n">
        <v>0.001703</v>
      </c>
      <c r="P27" s="7" t="n">
        <v>5.3242</v>
      </c>
      <c r="Q27" s="7" t="n">
        <v>5.3151</v>
      </c>
      <c r="R27" s="7" t="n">
        <v>6</v>
      </c>
      <c r="S27" s="7" t="n">
        <v>3</v>
      </c>
      <c r="T27" s="7" t="n">
        <v>1024</v>
      </c>
      <c r="U27" s="7" t="n">
        <v>64</v>
      </c>
      <c r="V27" s="7" t="n">
        <v>16</v>
      </c>
      <c r="W27" s="7" t="n">
        <v>4096</v>
      </c>
      <c r="X27" s="7" t="n">
        <v>1024</v>
      </c>
      <c r="Y27" s="7" t="n">
        <v>1024</v>
      </c>
      <c r="Z27" s="7" t="n">
        <v>3</v>
      </c>
      <c r="AA27" s="7" t="n">
        <v>2048</v>
      </c>
      <c r="AB27" s="7" t="n">
        <v>4096</v>
      </c>
      <c r="AC27" s="7" t="s">
        <v>80</v>
      </c>
      <c r="AD27" s="7"/>
      <c r="AE27" s="7"/>
      <c r="AF27" s="7"/>
      <c r="AG27" s="7"/>
      <c r="AH27" s="7"/>
      <c r="AI27" s="7"/>
      <c r="AJ27" s="7"/>
      <c r="AK27" s="7" t="n">
        <v>1051816</v>
      </c>
      <c r="AL27" s="7" t="n">
        <v>1053610</v>
      </c>
    </row>
    <row r="28" customFormat="false" ht="15" hidden="false" customHeight="false" outlineLevel="0" collapsed="false">
      <c r="A28" s="7" t="s">
        <v>77</v>
      </c>
      <c r="B28" s="7" t="s">
        <v>78</v>
      </c>
      <c r="C28" s="7" t="s">
        <v>82</v>
      </c>
      <c r="D28" s="7" t="s">
        <v>82</v>
      </c>
      <c r="E28" s="7"/>
      <c r="F28" s="7" t="n">
        <v>1024</v>
      </c>
      <c r="G28" s="7" t="n">
        <v>200001</v>
      </c>
      <c r="H28" s="7" t="n">
        <v>28</v>
      </c>
      <c r="I28" s="7" t="n">
        <v>5600028</v>
      </c>
      <c r="J28" s="7" t="n">
        <v>0.5631</v>
      </c>
      <c r="K28" s="7" t="n">
        <v>0.4526</v>
      </c>
      <c r="L28" s="7" t="n">
        <v>5600028</v>
      </c>
      <c r="M28" s="7" t="n">
        <v>0</v>
      </c>
      <c r="N28" s="7" t="n">
        <v>0</v>
      </c>
      <c r="O28" s="7" t="n">
        <v>0</v>
      </c>
      <c r="P28" s="7" t="n">
        <v>1</v>
      </c>
      <c r="Q28" s="7"/>
      <c r="R28" s="7" t="n">
        <v>0</v>
      </c>
      <c r="S28" s="7" t="n">
        <v>3</v>
      </c>
      <c r="T28" s="7" t="n">
        <v>1024</v>
      </c>
      <c r="U28" s="7" t="n">
        <v>64</v>
      </c>
      <c r="V28" s="7" t="n">
        <v>16</v>
      </c>
      <c r="W28" s="7" t="n">
        <v>4096</v>
      </c>
      <c r="X28" s="7" t="n">
        <v>1024</v>
      </c>
      <c r="Y28" s="7" t="n">
        <v>1024</v>
      </c>
      <c r="Z28" s="7" t="n">
        <v>3</v>
      </c>
      <c r="AA28" s="7" t="n">
        <v>2048</v>
      </c>
      <c r="AB28" s="7" t="n">
        <v>4096</v>
      </c>
      <c r="AC28" s="7" t="s">
        <v>80</v>
      </c>
      <c r="AD28" s="7"/>
      <c r="AE28" s="7" t="n">
        <v>5600028</v>
      </c>
      <c r="AF28" s="7" t="n">
        <v>0</v>
      </c>
      <c r="AG28" s="7"/>
      <c r="AH28" s="7"/>
      <c r="AI28" s="7"/>
      <c r="AJ28" s="7"/>
      <c r="AK28" s="7"/>
      <c r="AL28" s="7"/>
    </row>
    <row r="29" customFormat="false" ht="15" hidden="false" customHeight="false" outlineLevel="0" collapsed="false">
      <c r="A29" s="7" t="s">
        <v>77</v>
      </c>
      <c r="B29" s="7" t="s">
        <v>78</v>
      </c>
      <c r="C29" s="7" t="s">
        <v>83</v>
      </c>
      <c r="D29" s="7" t="s">
        <v>83</v>
      </c>
      <c r="E29" s="7"/>
      <c r="F29" s="7" t="n">
        <v>1024</v>
      </c>
      <c r="G29" s="7" t="n">
        <v>200001</v>
      </c>
      <c r="H29" s="7" t="n">
        <v>28</v>
      </c>
      <c r="I29" s="7" t="n">
        <v>5600028</v>
      </c>
      <c r="J29" s="7" t="n">
        <v>0.5617</v>
      </c>
      <c r="K29" s="7" t="n">
        <v>0.437</v>
      </c>
      <c r="L29" s="7" t="n">
        <v>5600028</v>
      </c>
      <c r="M29" s="7" t="n">
        <v>5601104</v>
      </c>
      <c r="N29" s="7" t="n">
        <v>1076</v>
      </c>
      <c r="O29" s="7" t="n">
        <v>0.000192</v>
      </c>
      <c r="P29" s="7" t="n">
        <v>1</v>
      </c>
      <c r="Q29" s="7" t="n">
        <v>0.9998</v>
      </c>
      <c r="R29" s="7" t="n">
        <v>6</v>
      </c>
      <c r="S29" s="7" t="n">
        <v>3</v>
      </c>
      <c r="T29" s="7" t="n">
        <v>1024</v>
      </c>
      <c r="U29" s="7" t="n">
        <v>64</v>
      </c>
      <c r="V29" s="7" t="n">
        <v>16</v>
      </c>
      <c r="W29" s="7" t="n">
        <v>4096</v>
      </c>
      <c r="X29" s="7" t="n">
        <v>1024</v>
      </c>
      <c r="Y29" s="7" t="n">
        <v>1024</v>
      </c>
      <c r="Z29" s="7" t="n">
        <v>3</v>
      </c>
      <c r="AA29" s="7" t="n">
        <v>2048</v>
      </c>
      <c r="AB29" s="7" t="n">
        <v>4096</v>
      </c>
      <c r="AC29" s="7" t="s">
        <v>80</v>
      </c>
      <c r="AD29" s="7"/>
      <c r="AE29" s="7"/>
      <c r="AF29" s="7"/>
      <c r="AG29" s="7" t="n">
        <v>5600028</v>
      </c>
      <c r="AH29" s="7" t="n">
        <v>5601104</v>
      </c>
      <c r="AI29" s="7"/>
      <c r="AJ29" s="7"/>
      <c r="AK29" s="7"/>
      <c r="AL29" s="7"/>
    </row>
    <row r="30" customFormat="false" ht="15" hidden="false" customHeight="false" outlineLevel="0" collapsed="false">
      <c r="A30" s="7" t="s">
        <v>77</v>
      </c>
      <c r="B30" s="7" t="s">
        <v>78</v>
      </c>
      <c r="C30" s="7" t="s">
        <v>79</v>
      </c>
      <c r="D30" s="7" t="s">
        <v>79</v>
      </c>
      <c r="E30" s="7"/>
      <c r="F30" s="7" t="n">
        <v>4096</v>
      </c>
      <c r="G30" s="7" t="n">
        <v>200001</v>
      </c>
      <c r="H30" s="7" t="n">
        <v>28</v>
      </c>
      <c r="I30" s="7" t="n">
        <v>5600028</v>
      </c>
      <c r="J30" s="7" t="n">
        <v>0.5787</v>
      </c>
      <c r="K30" s="7" t="n">
        <v>0.4638</v>
      </c>
      <c r="L30" s="7" t="n">
        <v>1712535</v>
      </c>
      <c r="M30" s="7" t="n">
        <v>1712995</v>
      </c>
      <c r="N30" s="7" t="n">
        <v>460</v>
      </c>
      <c r="O30" s="7" t="n">
        <v>0.000269</v>
      </c>
      <c r="P30" s="7" t="n">
        <v>3.27</v>
      </c>
      <c r="Q30" s="7" t="n">
        <v>3.2691</v>
      </c>
      <c r="R30" s="7" t="n">
        <v>2</v>
      </c>
      <c r="S30" s="7" t="n">
        <v>3</v>
      </c>
      <c r="T30" s="7" t="n">
        <v>4096</v>
      </c>
      <c r="U30" s="7" t="n">
        <v>64</v>
      </c>
      <c r="V30" s="7" t="n">
        <v>16</v>
      </c>
      <c r="W30" s="7" t="n">
        <v>4096</v>
      </c>
      <c r="X30" s="7" t="n">
        <v>4096</v>
      </c>
      <c r="Y30" s="7" t="n">
        <v>4096</v>
      </c>
      <c r="Z30" s="7" t="n">
        <v>3</v>
      </c>
      <c r="AA30" s="7" t="n">
        <v>2048</v>
      </c>
      <c r="AB30" s="7" t="n">
        <v>4096</v>
      </c>
      <c r="AC30" s="7" t="s">
        <v>80</v>
      </c>
      <c r="AD30" s="7"/>
      <c r="AE30" s="7"/>
      <c r="AF30" s="7"/>
      <c r="AG30" s="7"/>
      <c r="AH30" s="7"/>
      <c r="AI30" s="7" t="n">
        <v>1712535</v>
      </c>
      <c r="AJ30" s="7" t="n">
        <v>1712995</v>
      </c>
      <c r="AK30" s="7"/>
      <c r="AL30" s="7"/>
    </row>
    <row r="31" customFormat="false" ht="15" hidden="false" customHeight="false" outlineLevel="0" collapsed="false">
      <c r="A31" s="7" t="s">
        <v>77</v>
      </c>
      <c r="B31" s="7" t="s">
        <v>78</v>
      </c>
      <c r="C31" s="7" t="s">
        <v>81</v>
      </c>
      <c r="D31" s="7" t="s">
        <v>81</v>
      </c>
      <c r="E31" s="7"/>
      <c r="F31" s="7" t="n">
        <v>4096</v>
      </c>
      <c r="G31" s="7" t="n">
        <v>200001</v>
      </c>
      <c r="H31" s="7" t="n">
        <v>28</v>
      </c>
      <c r="I31" s="7" t="n">
        <v>5600028</v>
      </c>
      <c r="J31" s="7" t="n">
        <v>0.5741</v>
      </c>
      <c r="K31" s="7" t="n">
        <v>0.499</v>
      </c>
      <c r="L31" s="7" t="n">
        <v>1245607</v>
      </c>
      <c r="M31" s="7" t="n">
        <v>1246457</v>
      </c>
      <c r="N31" s="7" t="n">
        <v>850</v>
      </c>
      <c r="O31" s="7" t="n">
        <v>0.000682</v>
      </c>
      <c r="P31" s="7" t="n">
        <v>4.4958</v>
      </c>
      <c r="Q31" s="7" t="n">
        <v>4.4928</v>
      </c>
      <c r="R31" s="7" t="n">
        <v>2</v>
      </c>
      <c r="S31" s="7" t="n">
        <v>3</v>
      </c>
      <c r="T31" s="7" t="n">
        <v>4096</v>
      </c>
      <c r="U31" s="7" t="n">
        <v>64</v>
      </c>
      <c r="V31" s="7" t="n">
        <v>16</v>
      </c>
      <c r="W31" s="7" t="n">
        <v>4096</v>
      </c>
      <c r="X31" s="7" t="n">
        <v>4096</v>
      </c>
      <c r="Y31" s="7" t="n">
        <v>4096</v>
      </c>
      <c r="Z31" s="7" t="n">
        <v>3</v>
      </c>
      <c r="AA31" s="7" t="n">
        <v>2048</v>
      </c>
      <c r="AB31" s="7" t="n">
        <v>4096</v>
      </c>
      <c r="AC31" s="7" t="s">
        <v>80</v>
      </c>
      <c r="AD31" s="7"/>
      <c r="AE31" s="7"/>
      <c r="AF31" s="7"/>
      <c r="AG31" s="7"/>
      <c r="AH31" s="7"/>
      <c r="AI31" s="7"/>
      <c r="AJ31" s="7"/>
      <c r="AK31" s="7" t="n">
        <v>1245607</v>
      </c>
      <c r="AL31" s="7" t="n">
        <v>1246457</v>
      </c>
    </row>
    <row r="32" customFormat="false" ht="15" hidden="false" customHeight="false" outlineLevel="0" collapsed="false">
      <c r="A32" s="7" t="s">
        <v>77</v>
      </c>
      <c r="B32" s="7" t="s">
        <v>78</v>
      </c>
      <c r="C32" s="7" t="s">
        <v>81</v>
      </c>
      <c r="D32" s="7" t="s">
        <v>81</v>
      </c>
      <c r="E32" s="7" t="n">
        <v>0.1</v>
      </c>
      <c r="F32" s="7" t="n">
        <v>4096</v>
      </c>
      <c r="G32" s="7" t="n">
        <v>200001</v>
      </c>
      <c r="H32" s="7" t="n">
        <v>28</v>
      </c>
      <c r="I32" s="7" t="n">
        <v>5600028</v>
      </c>
      <c r="J32" s="7" t="n">
        <v>0.5764</v>
      </c>
      <c r="K32" s="7" t="n">
        <v>0.43</v>
      </c>
      <c r="L32" s="7" t="n">
        <v>897067</v>
      </c>
      <c r="M32" s="7" t="n">
        <v>897917</v>
      </c>
      <c r="N32" s="7" t="n">
        <v>850</v>
      </c>
      <c r="O32" s="7" t="n">
        <v>0.000947</v>
      </c>
      <c r="P32" s="7" t="n">
        <v>6.2426</v>
      </c>
      <c r="Q32" s="7" t="n">
        <v>6.2367</v>
      </c>
      <c r="R32" s="7" t="n">
        <v>2</v>
      </c>
      <c r="S32" s="7" t="n">
        <v>3</v>
      </c>
      <c r="T32" s="7" t="n">
        <v>4096</v>
      </c>
      <c r="U32" s="7" t="n">
        <v>64</v>
      </c>
      <c r="V32" s="7" t="n">
        <v>16</v>
      </c>
      <c r="W32" s="7" t="n">
        <v>4096</v>
      </c>
      <c r="X32" s="7" t="n">
        <v>4096</v>
      </c>
      <c r="Y32" s="7" t="n">
        <v>4096</v>
      </c>
      <c r="Z32" s="7" t="n">
        <v>3</v>
      </c>
      <c r="AA32" s="7" t="n">
        <v>2048</v>
      </c>
      <c r="AB32" s="7" t="n">
        <v>4096</v>
      </c>
      <c r="AC32" s="7" t="s">
        <v>80</v>
      </c>
      <c r="AD32" s="7"/>
      <c r="AE32" s="7"/>
      <c r="AF32" s="7"/>
      <c r="AG32" s="7"/>
      <c r="AH32" s="7"/>
      <c r="AI32" s="7"/>
      <c r="AJ32" s="7"/>
      <c r="AK32" s="7" t="n">
        <v>897067</v>
      </c>
      <c r="AL32" s="7" t="n">
        <v>897917</v>
      </c>
    </row>
    <row r="33" customFormat="false" ht="15" hidden="false" customHeight="false" outlineLevel="0" collapsed="false">
      <c r="A33" s="7" t="s">
        <v>77</v>
      </c>
      <c r="B33" s="7" t="s">
        <v>78</v>
      </c>
      <c r="C33" s="7" t="s">
        <v>81</v>
      </c>
      <c r="D33" s="7" t="s">
        <v>81</v>
      </c>
      <c r="E33" s="7" t="n">
        <v>1</v>
      </c>
      <c r="F33" s="7" t="n">
        <v>4096</v>
      </c>
      <c r="G33" s="7" t="n">
        <v>200001</v>
      </c>
      <c r="H33" s="7" t="n">
        <v>28</v>
      </c>
      <c r="I33" s="7" t="n">
        <v>5600028</v>
      </c>
      <c r="J33" s="7" t="n">
        <v>0.5928</v>
      </c>
      <c r="K33" s="7" t="n">
        <v>0.4478</v>
      </c>
      <c r="L33" s="7" t="n">
        <v>807007</v>
      </c>
      <c r="M33" s="7" t="n">
        <v>807857</v>
      </c>
      <c r="N33" s="7" t="n">
        <v>850</v>
      </c>
      <c r="O33" s="7" t="n">
        <v>0.001052</v>
      </c>
      <c r="P33" s="7" t="n">
        <v>6.9393</v>
      </c>
      <c r="Q33" s="7" t="n">
        <v>6.932</v>
      </c>
      <c r="R33" s="7" t="n">
        <v>2</v>
      </c>
      <c r="S33" s="7" t="n">
        <v>3</v>
      </c>
      <c r="T33" s="7" t="n">
        <v>4096</v>
      </c>
      <c r="U33" s="7" t="n">
        <v>64</v>
      </c>
      <c r="V33" s="7" t="n">
        <v>16</v>
      </c>
      <c r="W33" s="7" t="n">
        <v>4096</v>
      </c>
      <c r="X33" s="7" t="n">
        <v>4096</v>
      </c>
      <c r="Y33" s="7" t="n">
        <v>4096</v>
      </c>
      <c r="Z33" s="7" t="n">
        <v>3</v>
      </c>
      <c r="AA33" s="7" t="n">
        <v>2048</v>
      </c>
      <c r="AB33" s="7" t="n">
        <v>4096</v>
      </c>
      <c r="AC33" s="7" t="s">
        <v>80</v>
      </c>
      <c r="AD33" s="7"/>
      <c r="AE33" s="7"/>
      <c r="AF33" s="7"/>
      <c r="AG33" s="7"/>
      <c r="AH33" s="7"/>
      <c r="AI33" s="7"/>
      <c r="AJ33" s="7"/>
      <c r="AK33" s="7" t="n">
        <v>807007</v>
      </c>
      <c r="AL33" s="7" t="n">
        <v>807857</v>
      </c>
    </row>
    <row r="34" customFormat="false" ht="15" hidden="false" customHeight="false" outlineLevel="0" collapsed="false">
      <c r="A34" s="7" t="s">
        <v>77</v>
      </c>
      <c r="B34" s="7" t="s">
        <v>78</v>
      </c>
      <c r="C34" s="7" t="s">
        <v>81</v>
      </c>
      <c r="D34" s="7" t="s">
        <v>81</v>
      </c>
      <c r="E34" s="7" t="n">
        <v>5</v>
      </c>
      <c r="F34" s="7" t="n">
        <v>4096</v>
      </c>
      <c r="G34" s="7" t="n">
        <v>200001</v>
      </c>
      <c r="H34" s="7" t="n">
        <v>28</v>
      </c>
      <c r="I34" s="7" t="n">
        <v>5600028</v>
      </c>
      <c r="J34" s="7" t="n">
        <v>0.5785</v>
      </c>
      <c r="K34" s="7" t="n">
        <v>0.4488</v>
      </c>
      <c r="L34" s="7" t="n">
        <v>735159</v>
      </c>
      <c r="M34" s="7" t="n">
        <v>736009</v>
      </c>
      <c r="N34" s="7" t="n">
        <v>850</v>
      </c>
      <c r="O34" s="7" t="n">
        <v>0.001155</v>
      </c>
      <c r="P34" s="7" t="n">
        <v>7.6174</v>
      </c>
      <c r="Q34" s="7" t="n">
        <v>7.6086</v>
      </c>
      <c r="R34" s="7" t="n">
        <v>2</v>
      </c>
      <c r="S34" s="7" t="n">
        <v>3</v>
      </c>
      <c r="T34" s="7" t="n">
        <v>4096</v>
      </c>
      <c r="U34" s="7" t="n">
        <v>64</v>
      </c>
      <c r="V34" s="7" t="n">
        <v>16</v>
      </c>
      <c r="W34" s="7" t="n">
        <v>4096</v>
      </c>
      <c r="X34" s="7" t="n">
        <v>4096</v>
      </c>
      <c r="Y34" s="7" t="n">
        <v>4096</v>
      </c>
      <c r="Z34" s="7" t="n">
        <v>3</v>
      </c>
      <c r="AA34" s="7" t="n">
        <v>2048</v>
      </c>
      <c r="AB34" s="7" t="n">
        <v>4096</v>
      </c>
      <c r="AC34" s="7" t="s">
        <v>80</v>
      </c>
      <c r="AD34" s="7"/>
      <c r="AE34" s="7"/>
      <c r="AF34" s="7"/>
      <c r="AG34" s="7"/>
      <c r="AH34" s="7"/>
      <c r="AI34" s="7"/>
      <c r="AJ34" s="7"/>
      <c r="AK34" s="7" t="n">
        <v>735159</v>
      </c>
      <c r="AL34" s="7" t="n">
        <v>736009</v>
      </c>
    </row>
    <row r="35" customFormat="false" ht="15" hidden="false" customHeight="false" outlineLevel="0" collapsed="false">
      <c r="A35" s="7" t="s">
        <v>77</v>
      </c>
      <c r="B35" s="7" t="s">
        <v>78</v>
      </c>
      <c r="C35" s="7" t="s">
        <v>82</v>
      </c>
      <c r="D35" s="7" t="s">
        <v>82</v>
      </c>
      <c r="E35" s="7"/>
      <c r="F35" s="7" t="n">
        <v>4096</v>
      </c>
      <c r="G35" s="7" t="n">
        <v>200001</v>
      </c>
      <c r="H35" s="7" t="n">
        <v>28</v>
      </c>
      <c r="I35" s="7" t="n">
        <v>5600028</v>
      </c>
      <c r="J35" s="7" t="n">
        <v>0.553</v>
      </c>
      <c r="K35" s="7" t="n">
        <v>0.4386</v>
      </c>
      <c r="L35" s="7" t="n">
        <v>5600028</v>
      </c>
      <c r="M35" s="7" t="n">
        <v>0</v>
      </c>
      <c r="N35" s="7" t="n">
        <v>0</v>
      </c>
      <c r="O35" s="7" t="n">
        <v>0</v>
      </c>
      <c r="P35" s="7" t="n">
        <v>1</v>
      </c>
      <c r="Q35" s="7"/>
      <c r="R35" s="7" t="n">
        <v>0</v>
      </c>
      <c r="S35" s="7" t="n">
        <v>3</v>
      </c>
      <c r="T35" s="7" t="n">
        <v>4096</v>
      </c>
      <c r="U35" s="7" t="n">
        <v>64</v>
      </c>
      <c r="V35" s="7" t="n">
        <v>16</v>
      </c>
      <c r="W35" s="7" t="n">
        <v>4096</v>
      </c>
      <c r="X35" s="7" t="n">
        <v>4096</v>
      </c>
      <c r="Y35" s="7" t="n">
        <v>4096</v>
      </c>
      <c r="Z35" s="7" t="n">
        <v>3</v>
      </c>
      <c r="AA35" s="7" t="n">
        <v>2048</v>
      </c>
      <c r="AB35" s="7" t="n">
        <v>4096</v>
      </c>
      <c r="AC35" s="7" t="s">
        <v>80</v>
      </c>
      <c r="AD35" s="7"/>
      <c r="AE35" s="7" t="n">
        <v>5600028</v>
      </c>
      <c r="AF35" s="7" t="n">
        <v>0</v>
      </c>
      <c r="AG35" s="7"/>
      <c r="AH35" s="7"/>
      <c r="AI35" s="7"/>
      <c r="AJ35" s="7"/>
      <c r="AK35" s="7"/>
      <c r="AL35" s="7"/>
    </row>
    <row r="36" customFormat="false" ht="15" hidden="false" customHeight="false" outlineLevel="0" collapsed="false">
      <c r="A36" s="7" t="s">
        <v>77</v>
      </c>
      <c r="B36" s="7" t="s">
        <v>78</v>
      </c>
      <c r="C36" s="7" t="s">
        <v>83</v>
      </c>
      <c r="D36" s="7" t="s">
        <v>83</v>
      </c>
      <c r="E36" s="7"/>
      <c r="F36" s="7" t="n">
        <v>4096</v>
      </c>
      <c r="G36" s="7" t="n">
        <v>200001</v>
      </c>
      <c r="H36" s="7" t="n">
        <v>28</v>
      </c>
      <c r="I36" s="7" t="n">
        <v>5600028</v>
      </c>
      <c r="J36" s="7" t="n">
        <v>0.5609</v>
      </c>
      <c r="K36" s="7" t="n">
        <v>0.4296</v>
      </c>
      <c r="L36" s="7" t="n">
        <v>5600028</v>
      </c>
      <c r="M36" s="7" t="n">
        <v>5600864</v>
      </c>
      <c r="N36" s="7" t="n">
        <v>836</v>
      </c>
      <c r="O36" s="7" t="n">
        <v>0.000149</v>
      </c>
      <c r="P36" s="7" t="n">
        <v>1</v>
      </c>
      <c r="Q36" s="7" t="n">
        <v>0.9999</v>
      </c>
      <c r="R36" s="7" t="n">
        <v>2</v>
      </c>
      <c r="S36" s="7" t="n">
        <v>3</v>
      </c>
      <c r="T36" s="7" t="n">
        <v>4096</v>
      </c>
      <c r="U36" s="7" t="n">
        <v>64</v>
      </c>
      <c r="V36" s="7" t="n">
        <v>16</v>
      </c>
      <c r="W36" s="7" t="n">
        <v>4096</v>
      </c>
      <c r="X36" s="7" t="n">
        <v>4096</v>
      </c>
      <c r="Y36" s="7" t="n">
        <v>4096</v>
      </c>
      <c r="Z36" s="7" t="n">
        <v>3</v>
      </c>
      <c r="AA36" s="7" t="n">
        <v>2048</v>
      </c>
      <c r="AB36" s="7" t="n">
        <v>4096</v>
      </c>
      <c r="AC36" s="7" t="s">
        <v>80</v>
      </c>
      <c r="AD36" s="7"/>
      <c r="AE36" s="7"/>
      <c r="AF36" s="7"/>
      <c r="AG36" s="7" t="n">
        <v>5600028</v>
      </c>
      <c r="AH36" s="7" t="n">
        <v>5600864</v>
      </c>
      <c r="AI36" s="7"/>
      <c r="AJ36" s="7"/>
      <c r="AK36" s="7"/>
      <c r="AL36" s="7"/>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L26"/>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38" min="2" style="0" width="13"/>
  </cols>
  <sheetData>
    <row r="1" customFormat="false" ht="15" hidden="false" customHeight="false" outlineLevel="0" collapsed="false">
      <c r="A1" s="6" t="s">
        <v>41</v>
      </c>
      <c r="B1" s="6" t="s">
        <v>42</v>
      </c>
      <c r="C1" s="6" t="s">
        <v>43</v>
      </c>
      <c r="D1" s="6" t="s">
        <v>44</v>
      </c>
      <c r="E1" s="6" t="s">
        <v>45</v>
      </c>
      <c r="F1" s="6" t="s">
        <v>46</v>
      </c>
      <c r="G1" s="6" t="s">
        <v>47</v>
      </c>
      <c r="H1" s="6" t="s">
        <v>48</v>
      </c>
      <c r="I1" s="6" t="s">
        <v>49</v>
      </c>
      <c r="J1" s="6" t="s">
        <v>50</v>
      </c>
      <c r="K1" s="6" t="s">
        <v>51</v>
      </c>
      <c r="L1" s="6" t="s">
        <v>52</v>
      </c>
      <c r="M1" s="6" t="s">
        <v>53</v>
      </c>
      <c r="N1" s="6" t="s">
        <v>54</v>
      </c>
      <c r="O1" s="6" t="s">
        <v>55</v>
      </c>
      <c r="P1" s="6" t="s">
        <v>33</v>
      </c>
      <c r="Q1" s="6" t="s">
        <v>35</v>
      </c>
      <c r="R1" s="6" t="s">
        <v>56</v>
      </c>
      <c r="S1" s="6" t="s">
        <v>57</v>
      </c>
      <c r="T1" s="6" t="s">
        <v>58</v>
      </c>
      <c r="U1" s="6" t="s">
        <v>59</v>
      </c>
      <c r="V1" s="6" t="s">
        <v>60</v>
      </c>
      <c r="W1" s="6" t="s">
        <v>61</v>
      </c>
      <c r="X1" s="6" t="s">
        <v>62</v>
      </c>
      <c r="Y1" s="6" t="s">
        <v>63</v>
      </c>
      <c r="Z1" s="6" t="s">
        <v>64</v>
      </c>
      <c r="AA1" s="6" t="s">
        <v>65</v>
      </c>
      <c r="AB1" s="6" t="s">
        <v>66</v>
      </c>
      <c r="AC1" s="6" t="s">
        <v>67</v>
      </c>
      <c r="AD1" s="6" t="s">
        <v>68</v>
      </c>
      <c r="AE1" s="6" t="s">
        <v>69</v>
      </c>
      <c r="AF1" s="6" t="s">
        <v>70</v>
      </c>
      <c r="AG1" s="6" t="s">
        <v>71</v>
      </c>
      <c r="AH1" s="6" t="s">
        <v>72</v>
      </c>
      <c r="AI1" s="6" t="s">
        <v>73</v>
      </c>
      <c r="AJ1" s="6" t="s">
        <v>74</v>
      </c>
      <c r="AK1" s="6" t="s">
        <v>75</v>
      </c>
      <c r="AL1" s="6" t="s">
        <v>76</v>
      </c>
    </row>
    <row r="2" customFormat="false" ht="15" hidden="false" customHeight="false" outlineLevel="0" collapsed="false">
      <c r="A2" s="7" t="s">
        <v>77</v>
      </c>
      <c r="B2" s="7" t="s">
        <v>84</v>
      </c>
      <c r="C2" s="7" t="s">
        <v>85</v>
      </c>
      <c r="D2" s="7" t="s">
        <v>79</v>
      </c>
      <c r="E2" s="7"/>
      <c r="F2" s="7" t="n">
        <v>16</v>
      </c>
      <c r="G2" s="7" t="n">
        <v>200001</v>
      </c>
      <c r="H2" s="7" t="n">
        <v>28</v>
      </c>
      <c r="I2" s="7" t="n">
        <v>5600028</v>
      </c>
      <c r="J2" s="7" t="n">
        <v>0.6233</v>
      </c>
      <c r="K2" s="7" t="n">
        <v>0.4889</v>
      </c>
      <c r="L2" s="7" t="n">
        <v>2007323</v>
      </c>
      <c r="M2" s="7" t="n">
        <v>2028856</v>
      </c>
      <c r="N2" s="7" t="n">
        <v>21533</v>
      </c>
      <c r="O2" s="7" t="n">
        <v>0.010613</v>
      </c>
      <c r="P2" s="7" t="n">
        <v>2.7898</v>
      </c>
      <c r="Q2" s="7" t="n">
        <v>2.7602</v>
      </c>
      <c r="R2" s="7" t="n">
        <v>275</v>
      </c>
      <c r="S2" s="7" t="n">
        <v>3</v>
      </c>
      <c r="T2" s="7" t="n">
        <v>16</v>
      </c>
      <c r="U2" s="7" t="n">
        <v>64</v>
      </c>
      <c r="V2" s="7" t="n">
        <v>16</v>
      </c>
      <c r="W2" s="7" t="n">
        <v>4096</v>
      </c>
      <c r="X2" s="7" t="n">
        <v>16</v>
      </c>
      <c r="Y2" s="7" t="n">
        <v>16</v>
      </c>
      <c r="Z2" s="7" t="n">
        <v>3</v>
      </c>
      <c r="AA2" s="7" t="n">
        <v>2048</v>
      </c>
      <c r="AB2" s="7" t="n">
        <v>4096</v>
      </c>
      <c r="AC2" s="7" t="s">
        <v>80</v>
      </c>
      <c r="AD2" s="7" t="n">
        <v>1</v>
      </c>
      <c r="AE2" s="7"/>
      <c r="AF2" s="7"/>
      <c r="AG2" s="7" t="n">
        <v>367248</v>
      </c>
      <c r="AH2" s="7" t="n">
        <v>377866</v>
      </c>
      <c r="AI2" s="7" t="n">
        <v>1640075</v>
      </c>
      <c r="AJ2" s="7" t="n">
        <v>1650990</v>
      </c>
      <c r="AK2" s="7"/>
      <c r="AL2" s="7"/>
    </row>
    <row r="3" customFormat="false" ht="15" hidden="false" customHeight="false" outlineLevel="0" collapsed="false">
      <c r="A3" s="7" t="s">
        <v>77</v>
      </c>
      <c r="B3" s="7" t="s">
        <v>84</v>
      </c>
      <c r="C3" s="7" t="s">
        <v>86</v>
      </c>
      <c r="D3" s="7" t="s">
        <v>81</v>
      </c>
      <c r="E3" s="7"/>
      <c r="F3" s="7" t="n">
        <v>16</v>
      </c>
      <c r="G3" s="7" t="n">
        <v>200001</v>
      </c>
      <c r="H3" s="7" t="n">
        <v>28</v>
      </c>
      <c r="I3" s="7" t="n">
        <v>5600028</v>
      </c>
      <c r="J3" s="7" t="n">
        <v>0.6125</v>
      </c>
      <c r="K3" s="7" t="n">
        <v>0.4387</v>
      </c>
      <c r="L3" s="7" t="n">
        <v>1476829</v>
      </c>
      <c r="M3" s="7" t="n">
        <v>1548477</v>
      </c>
      <c r="N3" s="7" t="n">
        <v>71648</v>
      </c>
      <c r="O3" s="7" t="n">
        <v>0.04627</v>
      </c>
      <c r="P3" s="7" t="n">
        <v>3.7919</v>
      </c>
      <c r="Q3" s="7" t="n">
        <v>3.6165</v>
      </c>
      <c r="R3" s="7" t="n">
        <v>275</v>
      </c>
      <c r="S3" s="7" t="n">
        <v>3</v>
      </c>
      <c r="T3" s="7" t="n">
        <v>16</v>
      </c>
      <c r="U3" s="7" t="n">
        <v>64</v>
      </c>
      <c r="V3" s="7" t="n">
        <v>16</v>
      </c>
      <c r="W3" s="7" t="n">
        <v>4096</v>
      </c>
      <c r="X3" s="7" t="n">
        <v>16</v>
      </c>
      <c r="Y3" s="7" t="n">
        <v>16</v>
      </c>
      <c r="Z3" s="7" t="n">
        <v>3</v>
      </c>
      <c r="AA3" s="7" t="n">
        <v>2048</v>
      </c>
      <c r="AB3" s="7" t="n">
        <v>4096</v>
      </c>
      <c r="AC3" s="7" t="s">
        <v>80</v>
      </c>
      <c r="AD3" s="7" t="n">
        <v>1</v>
      </c>
      <c r="AE3" s="7"/>
      <c r="AF3" s="7"/>
      <c r="AG3" s="7" t="n">
        <v>367248</v>
      </c>
      <c r="AH3" s="7" t="n">
        <v>377866</v>
      </c>
      <c r="AI3" s="7"/>
      <c r="AJ3" s="7"/>
      <c r="AK3" s="7" t="n">
        <v>1109581</v>
      </c>
      <c r="AL3" s="7" t="n">
        <v>1170611</v>
      </c>
    </row>
    <row r="4" customFormat="false" ht="15" hidden="false" customHeight="false" outlineLevel="0" collapsed="false">
      <c r="A4" s="7" t="s">
        <v>77</v>
      </c>
      <c r="B4" s="7" t="s">
        <v>84</v>
      </c>
      <c r="C4" s="7" t="s">
        <v>86</v>
      </c>
      <c r="D4" s="7" t="s">
        <v>81</v>
      </c>
      <c r="E4" s="7" t="n">
        <v>0.1</v>
      </c>
      <c r="F4" s="7" t="n">
        <v>16</v>
      </c>
      <c r="G4" s="7" t="n">
        <v>200001</v>
      </c>
      <c r="H4" s="7" t="n">
        <v>28</v>
      </c>
      <c r="I4" s="7" t="n">
        <v>5600028</v>
      </c>
      <c r="J4" s="7" t="n">
        <v>0.6123</v>
      </c>
      <c r="K4" s="7" t="n">
        <v>0.4349</v>
      </c>
      <c r="L4" s="7" t="n">
        <v>1111309</v>
      </c>
      <c r="M4" s="7" t="n">
        <v>1182957</v>
      </c>
      <c r="N4" s="7" t="n">
        <v>71648</v>
      </c>
      <c r="O4" s="7" t="n">
        <v>0.060567</v>
      </c>
      <c r="P4" s="7" t="n">
        <v>5.0391</v>
      </c>
      <c r="Q4" s="7" t="n">
        <v>4.7339</v>
      </c>
      <c r="R4" s="7" t="n">
        <v>275</v>
      </c>
      <c r="S4" s="7" t="n">
        <v>3</v>
      </c>
      <c r="T4" s="7" t="n">
        <v>16</v>
      </c>
      <c r="U4" s="7" t="n">
        <v>64</v>
      </c>
      <c r="V4" s="7" t="n">
        <v>16</v>
      </c>
      <c r="W4" s="7" t="n">
        <v>4096</v>
      </c>
      <c r="X4" s="7" t="n">
        <v>16</v>
      </c>
      <c r="Y4" s="7" t="n">
        <v>16</v>
      </c>
      <c r="Z4" s="7" t="n">
        <v>3</v>
      </c>
      <c r="AA4" s="7" t="n">
        <v>2048</v>
      </c>
      <c r="AB4" s="7" t="n">
        <v>4096</v>
      </c>
      <c r="AC4" s="7" t="s">
        <v>80</v>
      </c>
      <c r="AD4" s="7" t="n">
        <v>1</v>
      </c>
      <c r="AE4" s="7"/>
      <c r="AF4" s="7"/>
      <c r="AG4" s="7" t="n">
        <v>367248</v>
      </c>
      <c r="AH4" s="7" t="n">
        <v>377866</v>
      </c>
      <c r="AI4" s="7"/>
      <c r="AJ4" s="7"/>
      <c r="AK4" s="7" t="n">
        <v>744061</v>
      </c>
      <c r="AL4" s="7" t="n">
        <v>805091</v>
      </c>
    </row>
    <row r="5" customFormat="false" ht="15" hidden="false" customHeight="false" outlineLevel="0" collapsed="false">
      <c r="A5" s="7" t="s">
        <v>77</v>
      </c>
      <c r="B5" s="7" t="s">
        <v>84</v>
      </c>
      <c r="C5" s="7" t="s">
        <v>86</v>
      </c>
      <c r="D5" s="7" t="s">
        <v>81</v>
      </c>
      <c r="E5" s="7" t="n">
        <v>1</v>
      </c>
      <c r="F5" s="7" t="n">
        <v>16</v>
      </c>
      <c r="G5" s="7" t="n">
        <v>200001</v>
      </c>
      <c r="H5" s="7" t="n">
        <v>28</v>
      </c>
      <c r="I5" s="7" t="n">
        <v>5600028</v>
      </c>
      <c r="J5" s="7" t="n">
        <v>0.6625</v>
      </c>
      <c r="K5" s="7" t="n">
        <v>0.421</v>
      </c>
      <c r="L5" s="7" t="n">
        <v>1037711</v>
      </c>
      <c r="M5" s="7" t="n">
        <v>1109359</v>
      </c>
      <c r="N5" s="7" t="n">
        <v>71648</v>
      </c>
      <c r="O5" s="7" t="n">
        <v>0.064585</v>
      </c>
      <c r="P5" s="7" t="n">
        <v>5.3965</v>
      </c>
      <c r="Q5" s="7" t="n">
        <v>5.048</v>
      </c>
      <c r="R5" s="7" t="n">
        <v>275</v>
      </c>
      <c r="S5" s="7" t="n">
        <v>3</v>
      </c>
      <c r="T5" s="7" t="n">
        <v>16</v>
      </c>
      <c r="U5" s="7" t="n">
        <v>64</v>
      </c>
      <c r="V5" s="7" t="n">
        <v>16</v>
      </c>
      <c r="W5" s="7" t="n">
        <v>4096</v>
      </c>
      <c r="X5" s="7" t="n">
        <v>16</v>
      </c>
      <c r="Y5" s="7" t="n">
        <v>16</v>
      </c>
      <c r="Z5" s="7" t="n">
        <v>3</v>
      </c>
      <c r="AA5" s="7" t="n">
        <v>2048</v>
      </c>
      <c r="AB5" s="7" t="n">
        <v>4096</v>
      </c>
      <c r="AC5" s="7" t="s">
        <v>80</v>
      </c>
      <c r="AD5" s="7" t="n">
        <v>1</v>
      </c>
      <c r="AE5" s="7"/>
      <c r="AF5" s="7"/>
      <c r="AG5" s="7" t="n">
        <v>367248</v>
      </c>
      <c r="AH5" s="7" t="n">
        <v>377866</v>
      </c>
      <c r="AI5" s="7"/>
      <c r="AJ5" s="7"/>
      <c r="AK5" s="7" t="n">
        <v>670463</v>
      </c>
      <c r="AL5" s="7" t="n">
        <v>731493</v>
      </c>
    </row>
    <row r="6" customFormat="false" ht="15" hidden="false" customHeight="false" outlineLevel="0" collapsed="false">
      <c r="A6" s="7" t="s">
        <v>77</v>
      </c>
      <c r="B6" s="7" t="s">
        <v>84</v>
      </c>
      <c r="C6" s="7" t="s">
        <v>86</v>
      </c>
      <c r="D6" s="7" t="s">
        <v>81</v>
      </c>
      <c r="E6" s="7" t="n">
        <v>5</v>
      </c>
      <c r="F6" s="7" t="n">
        <v>16</v>
      </c>
      <c r="G6" s="7" t="n">
        <v>200001</v>
      </c>
      <c r="H6" s="7" t="n">
        <v>28</v>
      </c>
      <c r="I6" s="7" t="n">
        <v>5600028</v>
      </c>
      <c r="J6" s="7" t="n">
        <v>0.6186</v>
      </c>
      <c r="K6" s="7" t="n">
        <v>0.4119</v>
      </c>
      <c r="L6" s="7" t="n">
        <v>985610</v>
      </c>
      <c r="M6" s="7" t="n">
        <v>1057258</v>
      </c>
      <c r="N6" s="7" t="n">
        <v>71648</v>
      </c>
      <c r="O6" s="7" t="n">
        <v>0.067768</v>
      </c>
      <c r="P6" s="7" t="n">
        <v>5.6818</v>
      </c>
      <c r="Q6" s="7" t="n">
        <v>5.2967</v>
      </c>
      <c r="R6" s="7" t="n">
        <v>275</v>
      </c>
      <c r="S6" s="7" t="n">
        <v>3</v>
      </c>
      <c r="T6" s="7" t="n">
        <v>16</v>
      </c>
      <c r="U6" s="7" t="n">
        <v>64</v>
      </c>
      <c r="V6" s="7" t="n">
        <v>16</v>
      </c>
      <c r="W6" s="7" t="n">
        <v>4096</v>
      </c>
      <c r="X6" s="7" t="n">
        <v>16</v>
      </c>
      <c r="Y6" s="7" t="n">
        <v>16</v>
      </c>
      <c r="Z6" s="7" t="n">
        <v>3</v>
      </c>
      <c r="AA6" s="7" t="n">
        <v>2048</v>
      </c>
      <c r="AB6" s="7" t="n">
        <v>4096</v>
      </c>
      <c r="AC6" s="7" t="s">
        <v>80</v>
      </c>
      <c r="AD6" s="7" t="n">
        <v>1</v>
      </c>
      <c r="AE6" s="7"/>
      <c r="AF6" s="7"/>
      <c r="AG6" s="7" t="n">
        <v>367248</v>
      </c>
      <c r="AH6" s="7" t="n">
        <v>377866</v>
      </c>
      <c r="AI6" s="7"/>
      <c r="AJ6" s="7"/>
      <c r="AK6" s="7" t="n">
        <v>618362</v>
      </c>
      <c r="AL6" s="7" t="n">
        <v>679392</v>
      </c>
    </row>
    <row r="7" customFormat="false" ht="15" hidden="false" customHeight="false" outlineLevel="0" collapsed="false">
      <c r="A7" s="7" t="s">
        <v>77</v>
      </c>
      <c r="B7" s="7" t="s">
        <v>84</v>
      </c>
      <c r="C7" s="7" t="s">
        <v>85</v>
      </c>
      <c r="D7" s="7" t="s">
        <v>79</v>
      </c>
      <c r="E7" s="7"/>
      <c r="F7" s="7" t="n">
        <v>64</v>
      </c>
      <c r="G7" s="7" t="n">
        <v>200001</v>
      </c>
      <c r="H7" s="7" t="n">
        <v>28</v>
      </c>
      <c r="I7" s="7" t="n">
        <v>5600028</v>
      </c>
      <c r="J7" s="7" t="n">
        <v>0.6157</v>
      </c>
      <c r="K7" s="7" t="n">
        <v>0.459</v>
      </c>
      <c r="L7" s="7" t="n">
        <v>1973692</v>
      </c>
      <c r="M7" s="7" t="n">
        <v>1980124</v>
      </c>
      <c r="N7" s="7" t="n">
        <v>6432</v>
      </c>
      <c r="O7" s="7" t="n">
        <v>0.003248</v>
      </c>
      <c r="P7" s="7" t="n">
        <v>2.8373</v>
      </c>
      <c r="Q7" s="7" t="n">
        <v>2.8281</v>
      </c>
      <c r="R7" s="7" t="n">
        <v>82</v>
      </c>
      <c r="S7" s="7" t="n">
        <v>3</v>
      </c>
      <c r="T7" s="7" t="n">
        <v>64</v>
      </c>
      <c r="U7" s="7" t="n">
        <v>64</v>
      </c>
      <c r="V7" s="7" t="n">
        <v>16</v>
      </c>
      <c r="W7" s="7" t="n">
        <v>4096</v>
      </c>
      <c r="X7" s="7" t="n">
        <v>64</v>
      </c>
      <c r="Y7" s="7" t="n">
        <v>64</v>
      </c>
      <c r="Z7" s="7" t="n">
        <v>3</v>
      </c>
      <c r="AA7" s="7" t="n">
        <v>2048</v>
      </c>
      <c r="AB7" s="7" t="n">
        <v>4096</v>
      </c>
      <c r="AC7" s="7" t="s">
        <v>80</v>
      </c>
      <c r="AD7" s="7" t="n">
        <v>1</v>
      </c>
      <c r="AE7" s="7"/>
      <c r="AF7" s="7"/>
      <c r="AG7" s="7" t="n">
        <v>367248</v>
      </c>
      <c r="AH7" s="7" t="n">
        <v>370186</v>
      </c>
      <c r="AI7" s="7" t="n">
        <v>1606444</v>
      </c>
      <c r="AJ7" s="7" t="n">
        <v>1609938</v>
      </c>
      <c r="AK7" s="7"/>
      <c r="AL7" s="7"/>
    </row>
    <row r="8" customFormat="false" ht="15" hidden="false" customHeight="false" outlineLevel="0" collapsed="false">
      <c r="A8" s="7" t="s">
        <v>77</v>
      </c>
      <c r="B8" s="7" t="s">
        <v>84</v>
      </c>
      <c r="C8" s="7" t="s">
        <v>86</v>
      </c>
      <c r="D8" s="7" t="s">
        <v>81</v>
      </c>
      <c r="E8" s="7"/>
      <c r="F8" s="7" t="n">
        <v>64</v>
      </c>
      <c r="G8" s="7" t="n">
        <v>200001</v>
      </c>
      <c r="H8" s="7" t="n">
        <v>28</v>
      </c>
      <c r="I8" s="7" t="n">
        <v>5600028</v>
      </c>
      <c r="J8" s="7" t="n">
        <v>0.6137</v>
      </c>
      <c r="K8" s="7" t="n">
        <v>0.4674</v>
      </c>
      <c r="L8" s="7" t="n">
        <v>1766946</v>
      </c>
      <c r="M8" s="7" t="n">
        <v>1788198</v>
      </c>
      <c r="N8" s="7" t="n">
        <v>21252</v>
      </c>
      <c r="O8" s="7" t="n">
        <v>0.011885</v>
      </c>
      <c r="P8" s="7" t="n">
        <v>3.1693</v>
      </c>
      <c r="Q8" s="7" t="n">
        <v>3.1317</v>
      </c>
      <c r="R8" s="7" t="n">
        <v>82</v>
      </c>
      <c r="S8" s="7" t="n">
        <v>3</v>
      </c>
      <c r="T8" s="7" t="n">
        <v>64</v>
      </c>
      <c r="U8" s="7" t="n">
        <v>64</v>
      </c>
      <c r="V8" s="7" t="n">
        <v>16</v>
      </c>
      <c r="W8" s="7" t="n">
        <v>4096</v>
      </c>
      <c r="X8" s="7" t="n">
        <v>64</v>
      </c>
      <c r="Y8" s="7" t="n">
        <v>64</v>
      </c>
      <c r="Z8" s="7" t="n">
        <v>3</v>
      </c>
      <c r="AA8" s="7" t="n">
        <v>2048</v>
      </c>
      <c r="AB8" s="7" t="n">
        <v>4096</v>
      </c>
      <c r="AC8" s="7" t="s">
        <v>80</v>
      </c>
      <c r="AD8" s="7" t="n">
        <v>1</v>
      </c>
      <c r="AE8" s="7"/>
      <c r="AF8" s="7"/>
      <c r="AG8" s="7" t="n">
        <v>367248</v>
      </c>
      <c r="AH8" s="7" t="n">
        <v>370186</v>
      </c>
      <c r="AI8" s="7"/>
      <c r="AJ8" s="7"/>
      <c r="AK8" s="7" t="n">
        <v>1399698</v>
      </c>
      <c r="AL8" s="7" t="n">
        <v>1418012</v>
      </c>
    </row>
    <row r="9" customFormat="false" ht="15" hidden="false" customHeight="false" outlineLevel="0" collapsed="false">
      <c r="A9" s="7" t="s">
        <v>77</v>
      </c>
      <c r="B9" s="7" t="s">
        <v>84</v>
      </c>
      <c r="C9" s="7" t="s">
        <v>86</v>
      </c>
      <c r="D9" s="7" t="s">
        <v>81</v>
      </c>
      <c r="E9" s="7" t="n">
        <v>0.1</v>
      </c>
      <c r="F9" s="7" t="n">
        <v>64</v>
      </c>
      <c r="G9" s="7" t="n">
        <v>200001</v>
      </c>
      <c r="H9" s="7" t="n">
        <v>28</v>
      </c>
      <c r="I9" s="7" t="n">
        <v>5600028</v>
      </c>
      <c r="J9" s="7" t="n">
        <v>0.6499</v>
      </c>
      <c r="K9" s="7" t="n">
        <v>0.4197</v>
      </c>
      <c r="L9" s="7" t="n">
        <v>1428231</v>
      </c>
      <c r="M9" s="7" t="n">
        <v>1449483</v>
      </c>
      <c r="N9" s="7" t="n">
        <v>21252</v>
      </c>
      <c r="O9" s="7" t="n">
        <v>0.014662</v>
      </c>
      <c r="P9" s="7" t="n">
        <v>3.921</v>
      </c>
      <c r="Q9" s="7" t="n">
        <v>3.8635</v>
      </c>
      <c r="R9" s="7" t="n">
        <v>82</v>
      </c>
      <c r="S9" s="7" t="n">
        <v>3</v>
      </c>
      <c r="T9" s="7" t="n">
        <v>64</v>
      </c>
      <c r="U9" s="7" t="n">
        <v>64</v>
      </c>
      <c r="V9" s="7" t="n">
        <v>16</v>
      </c>
      <c r="W9" s="7" t="n">
        <v>4096</v>
      </c>
      <c r="X9" s="7" t="n">
        <v>64</v>
      </c>
      <c r="Y9" s="7" t="n">
        <v>64</v>
      </c>
      <c r="Z9" s="7" t="n">
        <v>3</v>
      </c>
      <c r="AA9" s="7" t="n">
        <v>2048</v>
      </c>
      <c r="AB9" s="7" t="n">
        <v>4096</v>
      </c>
      <c r="AC9" s="7" t="s">
        <v>80</v>
      </c>
      <c r="AD9" s="7" t="n">
        <v>1</v>
      </c>
      <c r="AE9" s="7"/>
      <c r="AF9" s="7"/>
      <c r="AG9" s="7" t="n">
        <v>367248</v>
      </c>
      <c r="AH9" s="7" t="n">
        <v>370186</v>
      </c>
      <c r="AI9" s="7"/>
      <c r="AJ9" s="7"/>
      <c r="AK9" s="7" t="n">
        <v>1060983</v>
      </c>
      <c r="AL9" s="7" t="n">
        <v>1079297</v>
      </c>
    </row>
    <row r="10" customFormat="false" ht="15" hidden="false" customHeight="false" outlineLevel="0" collapsed="false">
      <c r="A10" s="7" t="s">
        <v>77</v>
      </c>
      <c r="B10" s="7" t="s">
        <v>84</v>
      </c>
      <c r="C10" s="7" t="s">
        <v>86</v>
      </c>
      <c r="D10" s="7" t="s">
        <v>81</v>
      </c>
      <c r="E10" s="7" t="n">
        <v>1</v>
      </c>
      <c r="F10" s="7" t="n">
        <v>64</v>
      </c>
      <c r="G10" s="7" t="n">
        <v>200001</v>
      </c>
      <c r="H10" s="7" t="n">
        <v>28</v>
      </c>
      <c r="I10" s="7" t="n">
        <v>5600028</v>
      </c>
      <c r="J10" s="7" t="n">
        <v>0.6157</v>
      </c>
      <c r="K10" s="7" t="n">
        <v>0.3857</v>
      </c>
      <c r="L10" s="7" t="n">
        <v>1351087</v>
      </c>
      <c r="M10" s="7" t="n">
        <v>1372339</v>
      </c>
      <c r="N10" s="7" t="n">
        <v>21252</v>
      </c>
      <c r="O10" s="7" t="n">
        <v>0.015486</v>
      </c>
      <c r="P10" s="7" t="n">
        <v>4.1448</v>
      </c>
      <c r="Q10" s="7" t="n">
        <v>4.0806</v>
      </c>
      <c r="R10" s="7" t="n">
        <v>82</v>
      </c>
      <c r="S10" s="7" t="n">
        <v>3</v>
      </c>
      <c r="T10" s="7" t="n">
        <v>64</v>
      </c>
      <c r="U10" s="7" t="n">
        <v>64</v>
      </c>
      <c r="V10" s="7" t="n">
        <v>16</v>
      </c>
      <c r="W10" s="7" t="n">
        <v>4096</v>
      </c>
      <c r="X10" s="7" t="n">
        <v>64</v>
      </c>
      <c r="Y10" s="7" t="n">
        <v>64</v>
      </c>
      <c r="Z10" s="7" t="n">
        <v>3</v>
      </c>
      <c r="AA10" s="7" t="n">
        <v>2048</v>
      </c>
      <c r="AB10" s="7" t="n">
        <v>4096</v>
      </c>
      <c r="AC10" s="7" t="s">
        <v>80</v>
      </c>
      <c r="AD10" s="7" t="n">
        <v>1</v>
      </c>
      <c r="AE10" s="7"/>
      <c r="AF10" s="7"/>
      <c r="AG10" s="7" t="n">
        <v>367248</v>
      </c>
      <c r="AH10" s="7" t="n">
        <v>370186</v>
      </c>
      <c r="AI10" s="7"/>
      <c r="AJ10" s="7"/>
      <c r="AK10" s="7" t="n">
        <v>983839</v>
      </c>
      <c r="AL10" s="7" t="n">
        <v>1002153</v>
      </c>
    </row>
    <row r="11" customFormat="false" ht="15" hidden="false" customHeight="false" outlineLevel="0" collapsed="false">
      <c r="A11" s="7" t="s">
        <v>77</v>
      </c>
      <c r="B11" s="7" t="s">
        <v>84</v>
      </c>
      <c r="C11" s="7" t="s">
        <v>86</v>
      </c>
      <c r="D11" s="7" t="s">
        <v>81</v>
      </c>
      <c r="E11" s="7" t="n">
        <v>5</v>
      </c>
      <c r="F11" s="7" t="n">
        <v>64</v>
      </c>
      <c r="G11" s="7" t="n">
        <v>200001</v>
      </c>
      <c r="H11" s="7" t="n">
        <v>28</v>
      </c>
      <c r="I11" s="7" t="n">
        <v>5600028</v>
      </c>
      <c r="J11" s="7" t="n">
        <v>0.6215</v>
      </c>
      <c r="K11" s="7" t="n">
        <v>0.4162</v>
      </c>
      <c r="L11" s="7" t="n">
        <v>1300852</v>
      </c>
      <c r="M11" s="7" t="n">
        <v>1322104</v>
      </c>
      <c r="N11" s="7" t="n">
        <v>21252</v>
      </c>
      <c r="O11" s="7" t="n">
        <v>0.016074</v>
      </c>
      <c r="P11" s="7" t="n">
        <v>4.3049</v>
      </c>
      <c r="Q11" s="7" t="n">
        <v>4.2357</v>
      </c>
      <c r="R11" s="7" t="n">
        <v>82</v>
      </c>
      <c r="S11" s="7" t="n">
        <v>3</v>
      </c>
      <c r="T11" s="7" t="n">
        <v>64</v>
      </c>
      <c r="U11" s="7" t="n">
        <v>64</v>
      </c>
      <c r="V11" s="7" t="n">
        <v>16</v>
      </c>
      <c r="W11" s="7" t="n">
        <v>4096</v>
      </c>
      <c r="X11" s="7" t="n">
        <v>64</v>
      </c>
      <c r="Y11" s="7" t="n">
        <v>64</v>
      </c>
      <c r="Z11" s="7" t="n">
        <v>3</v>
      </c>
      <c r="AA11" s="7" t="n">
        <v>2048</v>
      </c>
      <c r="AB11" s="7" t="n">
        <v>4096</v>
      </c>
      <c r="AC11" s="7" t="s">
        <v>80</v>
      </c>
      <c r="AD11" s="7" t="n">
        <v>1</v>
      </c>
      <c r="AE11" s="7"/>
      <c r="AF11" s="7"/>
      <c r="AG11" s="7" t="n">
        <v>367248</v>
      </c>
      <c r="AH11" s="7" t="n">
        <v>370186</v>
      </c>
      <c r="AI11" s="7"/>
      <c r="AJ11" s="7"/>
      <c r="AK11" s="7" t="n">
        <v>933604</v>
      </c>
      <c r="AL11" s="7" t="n">
        <v>951918</v>
      </c>
    </row>
    <row r="12" customFormat="false" ht="15" hidden="false" customHeight="false" outlineLevel="0" collapsed="false">
      <c r="A12" s="7" t="s">
        <v>77</v>
      </c>
      <c r="B12" s="7" t="s">
        <v>84</v>
      </c>
      <c r="C12" s="7" t="s">
        <v>85</v>
      </c>
      <c r="D12" s="7" t="s">
        <v>79</v>
      </c>
      <c r="E12" s="7"/>
      <c r="F12" s="7" t="n">
        <v>256</v>
      </c>
      <c r="G12" s="7" t="n">
        <v>200001</v>
      </c>
      <c r="H12" s="7" t="n">
        <v>28</v>
      </c>
      <c r="I12" s="7" t="n">
        <v>5600028</v>
      </c>
      <c r="J12" s="7" t="n">
        <v>0.6113</v>
      </c>
      <c r="K12" s="7" t="n">
        <v>0.4967</v>
      </c>
      <c r="L12" s="7" t="n">
        <v>1970269</v>
      </c>
      <c r="M12" s="7" t="n">
        <v>1972485</v>
      </c>
      <c r="N12" s="7" t="n">
        <v>2216</v>
      </c>
      <c r="O12" s="7" t="n">
        <v>0.001123</v>
      </c>
      <c r="P12" s="7" t="n">
        <v>2.8423</v>
      </c>
      <c r="Q12" s="7" t="n">
        <v>2.8391</v>
      </c>
      <c r="R12" s="7" t="n">
        <v>22</v>
      </c>
      <c r="S12" s="7" t="n">
        <v>3</v>
      </c>
      <c r="T12" s="7" t="n">
        <v>256</v>
      </c>
      <c r="U12" s="7" t="n">
        <v>64</v>
      </c>
      <c r="V12" s="7" t="n">
        <v>16</v>
      </c>
      <c r="W12" s="7" t="n">
        <v>4096</v>
      </c>
      <c r="X12" s="7" t="n">
        <v>256</v>
      </c>
      <c r="Y12" s="7" t="n">
        <v>256</v>
      </c>
      <c r="Z12" s="7" t="n">
        <v>3</v>
      </c>
      <c r="AA12" s="7" t="n">
        <v>2048</v>
      </c>
      <c r="AB12" s="7" t="n">
        <v>4096</v>
      </c>
      <c r="AC12" s="7" t="s">
        <v>80</v>
      </c>
      <c r="AD12" s="7" t="n">
        <v>1</v>
      </c>
      <c r="AE12" s="7"/>
      <c r="AF12" s="7"/>
      <c r="AG12" s="7" t="n">
        <v>367248</v>
      </c>
      <c r="AH12" s="7" t="n">
        <v>368266</v>
      </c>
      <c r="AI12" s="7" t="n">
        <v>1603021</v>
      </c>
      <c r="AJ12" s="7" t="n">
        <v>1604219</v>
      </c>
      <c r="AK12" s="7"/>
      <c r="AL12" s="7"/>
    </row>
    <row r="13" customFormat="false" ht="15" hidden="false" customHeight="false" outlineLevel="0" collapsed="false">
      <c r="A13" s="7" t="s">
        <v>77</v>
      </c>
      <c r="B13" s="7" t="s">
        <v>84</v>
      </c>
      <c r="C13" s="7" t="s">
        <v>86</v>
      </c>
      <c r="D13" s="7" t="s">
        <v>81</v>
      </c>
      <c r="E13" s="7"/>
      <c r="F13" s="7" t="n">
        <v>256</v>
      </c>
      <c r="G13" s="7" t="n">
        <v>200001</v>
      </c>
      <c r="H13" s="7" t="n">
        <v>28</v>
      </c>
      <c r="I13" s="7" t="n">
        <v>5600028</v>
      </c>
      <c r="J13" s="7" t="n">
        <v>0.6183</v>
      </c>
      <c r="K13" s="7" t="n">
        <v>0.4789</v>
      </c>
      <c r="L13" s="7" t="n">
        <v>1640906</v>
      </c>
      <c r="M13" s="7" t="n">
        <v>1647022</v>
      </c>
      <c r="N13" s="7" t="n">
        <v>6116</v>
      </c>
      <c r="O13" s="7" t="n">
        <v>0.003713</v>
      </c>
      <c r="P13" s="7" t="n">
        <v>3.4128</v>
      </c>
      <c r="Q13" s="7" t="n">
        <v>3.4001</v>
      </c>
      <c r="R13" s="7" t="n">
        <v>22</v>
      </c>
      <c r="S13" s="7" t="n">
        <v>3</v>
      </c>
      <c r="T13" s="7" t="n">
        <v>256</v>
      </c>
      <c r="U13" s="7" t="n">
        <v>64</v>
      </c>
      <c r="V13" s="7" t="n">
        <v>16</v>
      </c>
      <c r="W13" s="7" t="n">
        <v>4096</v>
      </c>
      <c r="X13" s="7" t="n">
        <v>256</v>
      </c>
      <c r="Y13" s="7" t="n">
        <v>256</v>
      </c>
      <c r="Z13" s="7" t="n">
        <v>3</v>
      </c>
      <c r="AA13" s="7" t="n">
        <v>2048</v>
      </c>
      <c r="AB13" s="7" t="n">
        <v>4096</v>
      </c>
      <c r="AC13" s="7" t="s">
        <v>80</v>
      </c>
      <c r="AD13" s="7" t="n">
        <v>1</v>
      </c>
      <c r="AE13" s="7"/>
      <c r="AF13" s="7"/>
      <c r="AG13" s="7" t="n">
        <v>367248</v>
      </c>
      <c r="AH13" s="7" t="n">
        <v>368266</v>
      </c>
      <c r="AI13" s="7"/>
      <c r="AJ13" s="7"/>
      <c r="AK13" s="7" t="n">
        <v>1273658</v>
      </c>
      <c r="AL13" s="7" t="n">
        <v>1278756</v>
      </c>
    </row>
    <row r="14" customFormat="false" ht="15" hidden="false" customHeight="false" outlineLevel="0" collapsed="false">
      <c r="A14" s="7" t="s">
        <v>77</v>
      </c>
      <c r="B14" s="7" t="s">
        <v>84</v>
      </c>
      <c r="C14" s="7" t="s">
        <v>86</v>
      </c>
      <c r="D14" s="7" t="s">
        <v>81</v>
      </c>
      <c r="E14" s="7" t="n">
        <v>0.1</v>
      </c>
      <c r="F14" s="7" t="n">
        <v>256</v>
      </c>
      <c r="G14" s="7" t="n">
        <v>200001</v>
      </c>
      <c r="H14" s="7" t="n">
        <v>28</v>
      </c>
      <c r="I14" s="7" t="n">
        <v>5600028</v>
      </c>
      <c r="J14" s="7" t="n">
        <v>0.6256</v>
      </c>
      <c r="K14" s="7" t="n">
        <v>0.4179</v>
      </c>
      <c r="L14" s="7" t="n">
        <v>1317019</v>
      </c>
      <c r="M14" s="7" t="n">
        <v>1323135</v>
      </c>
      <c r="N14" s="7" t="n">
        <v>6116</v>
      </c>
      <c r="O14" s="7" t="n">
        <v>0.004622</v>
      </c>
      <c r="P14" s="7" t="n">
        <v>4.252</v>
      </c>
      <c r="Q14" s="7" t="n">
        <v>4.2324</v>
      </c>
      <c r="R14" s="7" t="n">
        <v>22</v>
      </c>
      <c r="S14" s="7" t="n">
        <v>3</v>
      </c>
      <c r="T14" s="7" t="n">
        <v>256</v>
      </c>
      <c r="U14" s="7" t="n">
        <v>64</v>
      </c>
      <c r="V14" s="7" t="n">
        <v>16</v>
      </c>
      <c r="W14" s="7" t="n">
        <v>4096</v>
      </c>
      <c r="X14" s="7" t="n">
        <v>256</v>
      </c>
      <c r="Y14" s="7" t="n">
        <v>256</v>
      </c>
      <c r="Z14" s="7" t="n">
        <v>3</v>
      </c>
      <c r="AA14" s="7" t="n">
        <v>2048</v>
      </c>
      <c r="AB14" s="7" t="n">
        <v>4096</v>
      </c>
      <c r="AC14" s="7" t="s">
        <v>80</v>
      </c>
      <c r="AD14" s="7" t="n">
        <v>1</v>
      </c>
      <c r="AE14" s="7"/>
      <c r="AF14" s="7"/>
      <c r="AG14" s="7" t="n">
        <v>367248</v>
      </c>
      <c r="AH14" s="7" t="n">
        <v>368266</v>
      </c>
      <c r="AI14" s="7"/>
      <c r="AJ14" s="7"/>
      <c r="AK14" s="7" t="n">
        <v>949771</v>
      </c>
      <c r="AL14" s="7" t="n">
        <v>954869</v>
      </c>
    </row>
    <row r="15" customFormat="false" ht="15" hidden="false" customHeight="false" outlineLevel="0" collapsed="false">
      <c r="A15" s="7" t="s">
        <v>77</v>
      </c>
      <c r="B15" s="7" t="s">
        <v>84</v>
      </c>
      <c r="C15" s="7" t="s">
        <v>86</v>
      </c>
      <c r="D15" s="7" t="s">
        <v>81</v>
      </c>
      <c r="E15" s="7" t="n">
        <v>1</v>
      </c>
      <c r="F15" s="7" t="n">
        <v>256</v>
      </c>
      <c r="G15" s="7" t="n">
        <v>200001</v>
      </c>
      <c r="H15" s="7" t="n">
        <v>28</v>
      </c>
      <c r="I15" s="7" t="n">
        <v>5600028</v>
      </c>
      <c r="J15" s="7" t="n">
        <v>0.6113</v>
      </c>
      <c r="K15" s="7" t="n">
        <v>0.4016</v>
      </c>
      <c r="L15" s="7" t="n">
        <v>1224905</v>
      </c>
      <c r="M15" s="7" t="n">
        <v>1231021</v>
      </c>
      <c r="N15" s="7" t="n">
        <v>6116</v>
      </c>
      <c r="O15" s="7" t="n">
        <v>0.004968</v>
      </c>
      <c r="P15" s="7" t="n">
        <v>4.5718</v>
      </c>
      <c r="Q15" s="7" t="n">
        <v>4.5491</v>
      </c>
      <c r="R15" s="7" t="n">
        <v>22</v>
      </c>
      <c r="S15" s="7" t="n">
        <v>3</v>
      </c>
      <c r="T15" s="7" t="n">
        <v>256</v>
      </c>
      <c r="U15" s="7" t="n">
        <v>64</v>
      </c>
      <c r="V15" s="7" t="n">
        <v>16</v>
      </c>
      <c r="W15" s="7" t="n">
        <v>4096</v>
      </c>
      <c r="X15" s="7" t="n">
        <v>256</v>
      </c>
      <c r="Y15" s="7" t="n">
        <v>256</v>
      </c>
      <c r="Z15" s="7" t="n">
        <v>3</v>
      </c>
      <c r="AA15" s="7" t="n">
        <v>2048</v>
      </c>
      <c r="AB15" s="7" t="n">
        <v>4096</v>
      </c>
      <c r="AC15" s="7" t="s">
        <v>80</v>
      </c>
      <c r="AD15" s="7" t="n">
        <v>1</v>
      </c>
      <c r="AE15" s="7"/>
      <c r="AF15" s="7"/>
      <c r="AG15" s="7" t="n">
        <v>367248</v>
      </c>
      <c r="AH15" s="7" t="n">
        <v>368266</v>
      </c>
      <c r="AI15" s="7"/>
      <c r="AJ15" s="7"/>
      <c r="AK15" s="7" t="n">
        <v>857657</v>
      </c>
      <c r="AL15" s="7" t="n">
        <v>862755</v>
      </c>
    </row>
    <row r="16" customFormat="false" ht="15" hidden="false" customHeight="false" outlineLevel="0" collapsed="false">
      <c r="A16" s="7" t="s">
        <v>77</v>
      </c>
      <c r="B16" s="7" t="s">
        <v>84</v>
      </c>
      <c r="C16" s="7" t="s">
        <v>86</v>
      </c>
      <c r="D16" s="7" t="s">
        <v>81</v>
      </c>
      <c r="E16" s="7" t="n">
        <v>5</v>
      </c>
      <c r="F16" s="7" t="n">
        <v>256</v>
      </c>
      <c r="G16" s="7" t="n">
        <v>200001</v>
      </c>
      <c r="H16" s="7" t="n">
        <v>28</v>
      </c>
      <c r="I16" s="7" t="n">
        <v>5600028</v>
      </c>
      <c r="J16" s="7" t="n">
        <v>0.601</v>
      </c>
      <c r="K16" s="7" t="n">
        <v>0.4176</v>
      </c>
      <c r="L16" s="7" t="n">
        <v>1169459</v>
      </c>
      <c r="M16" s="7" t="n">
        <v>1175575</v>
      </c>
      <c r="N16" s="7" t="n">
        <v>6116</v>
      </c>
      <c r="O16" s="7" t="n">
        <v>0.005203</v>
      </c>
      <c r="P16" s="7" t="n">
        <v>4.7886</v>
      </c>
      <c r="Q16" s="7" t="n">
        <v>4.7637</v>
      </c>
      <c r="R16" s="7" t="n">
        <v>22</v>
      </c>
      <c r="S16" s="7" t="n">
        <v>3</v>
      </c>
      <c r="T16" s="7" t="n">
        <v>256</v>
      </c>
      <c r="U16" s="7" t="n">
        <v>64</v>
      </c>
      <c r="V16" s="7" t="n">
        <v>16</v>
      </c>
      <c r="W16" s="7" t="n">
        <v>4096</v>
      </c>
      <c r="X16" s="7" t="n">
        <v>256</v>
      </c>
      <c r="Y16" s="7" t="n">
        <v>256</v>
      </c>
      <c r="Z16" s="7" t="n">
        <v>3</v>
      </c>
      <c r="AA16" s="7" t="n">
        <v>2048</v>
      </c>
      <c r="AB16" s="7" t="n">
        <v>4096</v>
      </c>
      <c r="AC16" s="7" t="s">
        <v>80</v>
      </c>
      <c r="AD16" s="7" t="n">
        <v>1</v>
      </c>
      <c r="AE16" s="7"/>
      <c r="AF16" s="7"/>
      <c r="AG16" s="7" t="n">
        <v>367248</v>
      </c>
      <c r="AH16" s="7" t="n">
        <v>368266</v>
      </c>
      <c r="AI16" s="7"/>
      <c r="AJ16" s="7"/>
      <c r="AK16" s="7" t="n">
        <v>802211</v>
      </c>
      <c r="AL16" s="7" t="n">
        <v>807309</v>
      </c>
    </row>
    <row r="17" customFormat="false" ht="15" hidden="false" customHeight="false" outlineLevel="0" collapsed="false">
      <c r="A17" s="7" t="s">
        <v>77</v>
      </c>
      <c r="B17" s="7" t="s">
        <v>84</v>
      </c>
      <c r="C17" s="7" t="s">
        <v>85</v>
      </c>
      <c r="D17" s="7" t="s">
        <v>79</v>
      </c>
      <c r="E17" s="7"/>
      <c r="F17" s="7" t="n">
        <v>1024</v>
      </c>
      <c r="G17" s="7" t="n">
        <v>200001</v>
      </c>
      <c r="H17" s="7" t="n">
        <v>28</v>
      </c>
      <c r="I17" s="7" t="n">
        <v>5600028</v>
      </c>
      <c r="J17" s="7" t="n">
        <v>0.6332</v>
      </c>
      <c r="K17" s="7" t="n">
        <v>0.4473</v>
      </c>
      <c r="L17" s="7" t="n">
        <v>1969527</v>
      </c>
      <c r="M17" s="7" t="n">
        <v>1970648</v>
      </c>
      <c r="N17" s="7" t="n">
        <v>1121</v>
      </c>
      <c r="O17" s="7" t="n">
        <v>0.000569</v>
      </c>
      <c r="P17" s="7" t="n">
        <v>2.8433</v>
      </c>
      <c r="Q17" s="7" t="n">
        <v>2.8417</v>
      </c>
      <c r="R17" s="7" t="n">
        <v>6</v>
      </c>
      <c r="S17" s="7" t="n">
        <v>3</v>
      </c>
      <c r="T17" s="7" t="n">
        <v>1024</v>
      </c>
      <c r="U17" s="7" t="n">
        <v>64</v>
      </c>
      <c r="V17" s="7" t="n">
        <v>16</v>
      </c>
      <c r="W17" s="7" t="n">
        <v>4096</v>
      </c>
      <c r="X17" s="7" t="n">
        <v>1024</v>
      </c>
      <c r="Y17" s="7" t="n">
        <v>1024</v>
      </c>
      <c r="Z17" s="7" t="n">
        <v>3</v>
      </c>
      <c r="AA17" s="7" t="n">
        <v>2048</v>
      </c>
      <c r="AB17" s="7" t="n">
        <v>4096</v>
      </c>
      <c r="AC17" s="7" t="s">
        <v>80</v>
      </c>
      <c r="AD17" s="7" t="n">
        <v>1</v>
      </c>
      <c r="AE17" s="7"/>
      <c r="AF17" s="7"/>
      <c r="AG17" s="7" t="n">
        <v>367248</v>
      </c>
      <c r="AH17" s="7" t="n">
        <v>367786</v>
      </c>
      <c r="AI17" s="7" t="n">
        <v>1602279</v>
      </c>
      <c r="AJ17" s="7" t="n">
        <v>1602862</v>
      </c>
      <c r="AK17" s="7"/>
      <c r="AL17" s="7"/>
    </row>
    <row r="18" customFormat="false" ht="15" hidden="false" customHeight="false" outlineLevel="0" collapsed="false">
      <c r="A18" s="7" t="s">
        <v>77</v>
      </c>
      <c r="B18" s="7" t="s">
        <v>84</v>
      </c>
      <c r="C18" s="7" t="s">
        <v>86</v>
      </c>
      <c r="D18" s="7" t="s">
        <v>81</v>
      </c>
      <c r="E18" s="7"/>
      <c r="F18" s="7" t="n">
        <v>1024</v>
      </c>
      <c r="G18" s="7" t="n">
        <v>200001</v>
      </c>
      <c r="H18" s="7" t="n">
        <v>28</v>
      </c>
      <c r="I18" s="7" t="n">
        <v>5600028</v>
      </c>
      <c r="J18" s="7" t="n">
        <v>0.6429</v>
      </c>
      <c r="K18" s="7" t="n">
        <v>0.4449</v>
      </c>
      <c r="L18" s="7" t="n">
        <v>1837806</v>
      </c>
      <c r="M18" s="7" t="n">
        <v>1839902</v>
      </c>
      <c r="N18" s="7" t="n">
        <v>2096</v>
      </c>
      <c r="O18" s="7" t="n">
        <v>0.001139</v>
      </c>
      <c r="P18" s="7" t="n">
        <v>3.0471</v>
      </c>
      <c r="Q18" s="7" t="n">
        <v>3.0437</v>
      </c>
      <c r="R18" s="7" t="n">
        <v>6</v>
      </c>
      <c r="S18" s="7" t="n">
        <v>3</v>
      </c>
      <c r="T18" s="7" t="n">
        <v>1024</v>
      </c>
      <c r="U18" s="7" t="n">
        <v>64</v>
      </c>
      <c r="V18" s="7" t="n">
        <v>16</v>
      </c>
      <c r="W18" s="7" t="n">
        <v>4096</v>
      </c>
      <c r="X18" s="7" t="n">
        <v>1024</v>
      </c>
      <c r="Y18" s="7" t="n">
        <v>1024</v>
      </c>
      <c r="Z18" s="7" t="n">
        <v>3</v>
      </c>
      <c r="AA18" s="7" t="n">
        <v>2048</v>
      </c>
      <c r="AB18" s="7" t="n">
        <v>4096</v>
      </c>
      <c r="AC18" s="7" t="s">
        <v>80</v>
      </c>
      <c r="AD18" s="7" t="n">
        <v>1</v>
      </c>
      <c r="AE18" s="7"/>
      <c r="AF18" s="7"/>
      <c r="AG18" s="7" t="n">
        <v>367248</v>
      </c>
      <c r="AH18" s="7" t="n">
        <v>367786</v>
      </c>
      <c r="AI18" s="7"/>
      <c r="AJ18" s="7"/>
      <c r="AK18" s="7" t="n">
        <v>1470558</v>
      </c>
      <c r="AL18" s="7" t="n">
        <v>1472116</v>
      </c>
    </row>
    <row r="19" customFormat="false" ht="15" hidden="false" customHeight="false" outlineLevel="0" collapsed="false">
      <c r="A19" s="7" t="s">
        <v>77</v>
      </c>
      <c r="B19" s="7" t="s">
        <v>84</v>
      </c>
      <c r="C19" s="7" t="s">
        <v>86</v>
      </c>
      <c r="D19" s="7" t="s">
        <v>81</v>
      </c>
      <c r="E19" s="7" t="n">
        <v>0.1</v>
      </c>
      <c r="F19" s="7" t="n">
        <v>1024</v>
      </c>
      <c r="G19" s="7" t="n">
        <v>200001</v>
      </c>
      <c r="H19" s="7" t="n">
        <v>28</v>
      </c>
      <c r="I19" s="7" t="n">
        <v>5600028</v>
      </c>
      <c r="J19" s="7" t="n">
        <v>0.6189</v>
      </c>
      <c r="K19" s="7" t="n">
        <v>0.4188</v>
      </c>
      <c r="L19" s="7" t="n">
        <v>1513483</v>
      </c>
      <c r="M19" s="7" t="n">
        <v>1515579</v>
      </c>
      <c r="N19" s="7" t="n">
        <v>2096</v>
      </c>
      <c r="O19" s="7" t="n">
        <v>0.001383</v>
      </c>
      <c r="P19" s="7" t="n">
        <v>3.7001</v>
      </c>
      <c r="Q19" s="7" t="n">
        <v>3.695</v>
      </c>
      <c r="R19" s="7" t="n">
        <v>6</v>
      </c>
      <c r="S19" s="7" t="n">
        <v>3</v>
      </c>
      <c r="T19" s="7" t="n">
        <v>1024</v>
      </c>
      <c r="U19" s="7" t="n">
        <v>64</v>
      </c>
      <c r="V19" s="7" t="n">
        <v>16</v>
      </c>
      <c r="W19" s="7" t="n">
        <v>4096</v>
      </c>
      <c r="X19" s="7" t="n">
        <v>1024</v>
      </c>
      <c r="Y19" s="7" t="n">
        <v>1024</v>
      </c>
      <c r="Z19" s="7" t="n">
        <v>3</v>
      </c>
      <c r="AA19" s="7" t="n">
        <v>2048</v>
      </c>
      <c r="AB19" s="7" t="n">
        <v>4096</v>
      </c>
      <c r="AC19" s="7" t="s">
        <v>80</v>
      </c>
      <c r="AD19" s="7" t="n">
        <v>1</v>
      </c>
      <c r="AE19" s="7"/>
      <c r="AF19" s="7"/>
      <c r="AG19" s="7" t="n">
        <v>367248</v>
      </c>
      <c r="AH19" s="7" t="n">
        <v>367786</v>
      </c>
      <c r="AI19" s="7"/>
      <c r="AJ19" s="7"/>
      <c r="AK19" s="7" t="n">
        <v>1146235</v>
      </c>
      <c r="AL19" s="7" t="n">
        <v>1147793</v>
      </c>
    </row>
    <row r="20" customFormat="false" ht="15" hidden="false" customHeight="false" outlineLevel="0" collapsed="false">
      <c r="A20" s="7" t="s">
        <v>77</v>
      </c>
      <c r="B20" s="7" t="s">
        <v>84</v>
      </c>
      <c r="C20" s="7" t="s">
        <v>86</v>
      </c>
      <c r="D20" s="7" t="s">
        <v>81</v>
      </c>
      <c r="E20" s="7" t="n">
        <v>1</v>
      </c>
      <c r="F20" s="7" t="n">
        <v>1024</v>
      </c>
      <c r="G20" s="7" t="n">
        <v>200001</v>
      </c>
      <c r="H20" s="7" t="n">
        <v>28</v>
      </c>
      <c r="I20" s="7" t="n">
        <v>5600028</v>
      </c>
      <c r="J20" s="7" t="n">
        <v>0.5999</v>
      </c>
      <c r="K20" s="7" t="n">
        <v>0.4075</v>
      </c>
      <c r="L20" s="7" t="n">
        <v>1427426</v>
      </c>
      <c r="M20" s="7" t="n">
        <v>1429522</v>
      </c>
      <c r="N20" s="7" t="n">
        <v>2096</v>
      </c>
      <c r="O20" s="7" t="n">
        <v>0.001466</v>
      </c>
      <c r="P20" s="7" t="n">
        <v>3.9232</v>
      </c>
      <c r="Q20" s="7" t="n">
        <v>3.9174</v>
      </c>
      <c r="R20" s="7" t="n">
        <v>6</v>
      </c>
      <c r="S20" s="7" t="n">
        <v>3</v>
      </c>
      <c r="T20" s="7" t="n">
        <v>1024</v>
      </c>
      <c r="U20" s="7" t="n">
        <v>64</v>
      </c>
      <c r="V20" s="7" t="n">
        <v>16</v>
      </c>
      <c r="W20" s="7" t="n">
        <v>4096</v>
      </c>
      <c r="X20" s="7" t="n">
        <v>1024</v>
      </c>
      <c r="Y20" s="7" t="n">
        <v>1024</v>
      </c>
      <c r="Z20" s="7" t="n">
        <v>3</v>
      </c>
      <c r="AA20" s="7" t="n">
        <v>2048</v>
      </c>
      <c r="AB20" s="7" t="n">
        <v>4096</v>
      </c>
      <c r="AC20" s="7" t="s">
        <v>80</v>
      </c>
      <c r="AD20" s="7" t="n">
        <v>1</v>
      </c>
      <c r="AE20" s="7"/>
      <c r="AF20" s="7"/>
      <c r="AG20" s="7" t="n">
        <v>367248</v>
      </c>
      <c r="AH20" s="7" t="n">
        <v>367786</v>
      </c>
      <c r="AI20" s="7"/>
      <c r="AJ20" s="7"/>
      <c r="AK20" s="7" t="n">
        <v>1060178</v>
      </c>
      <c r="AL20" s="7" t="n">
        <v>1061736</v>
      </c>
    </row>
    <row r="21" customFormat="false" ht="15" hidden="false" customHeight="false" outlineLevel="0" collapsed="false">
      <c r="A21" s="7" t="s">
        <v>77</v>
      </c>
      <c r="B21" s="7" t="s">
        <v>84</v>
      </c>
      <c r="C21" s="7" t="s">
        <v>86</v>
      </c>
      <c r="D21" s="7" t="s">
        <v>81</v>
      </c>
      <c r="E21" s="7" t="n">
        <v>5</v>
      </c>
      <c r="F21" s="7" t="n">
        <v>1024</v>
      </c>
      <c r="G21" s="7" t="n">
        <v>200001</v>
      </c>
      <c r="H21" s="7" t="n">
        <v>28</v>
      </c>
      <c r="I21" s="7" t="n">
        <v>5600028</v>
      </c>
      <c r="J21" s="7" t="n">
        <v>0.6299</v>
      </c>
      <c r="K21" s="7" t="n">
        <v>0.42</v>
      </c>
      <c r="L21" s="7" t="n">
        <v>1362215</v>
      </c>
      <c r="M21" s="7" t="n">
        <v>1364311</v>
      </c>
      <c r="N21" s="7" t="n">
        <v>2096</v>
      </c>
      <c r="O21" s="7" t="n">
        <v>0.001536</v>
      </c>
      <c r="P21" s="7" t="n">
        <v>4.111</v>
      </c>
      <c r="Q21" s="7" t="n">
        <v>4.1047</v>
      </c>
      <c r="R21" s="7" t="n">
        <v>6</v>
      </c>
      <c r="S21" s="7" t="n">
        <v>3</v>
      </c>
      <c r="T21" s="7" t="n">
        <v>1024</v>
      </c>
      <c r="U21" s="7" t="n">
        <v>64</v>
      </c>
      <c r="V21" s="7" t="n">
        <v>16</v>
      </c>
      <c r="W21" s="7" t="n">
        <v>4096</v>
      </c>
      <c r="X21" s="7" t="n">
        <v>1024</v>
      </c>
      <c r="Y21" s="7" t="n">
        <v>1024</v>
      </c>
      <c r="Z21" s="7" t="n">
        <v>3</v>
      </c>
      <c r="AA21" s="7" t="n">
        <v>2048</v>
      </c>
      <c r="AB21" s="7" t="n">
        <v>4096</v>
      </c>
      <c r="AC21" s="7" t="s">
        <v>80</v>
      </c>
      <c r="AD21" s="7" t="n">
        <v>1</v>
      </c>
      <c r="AE21" s="7"/>
      <c r="AF21" s="7"/>
      <c r="AG21" s="7" t="n">
        <v>367248</v>
      </c>
      <c r="AH21" s="7" t="n">
        <v>367786</v>
      </c>
      <c r="AI21" s="7"/>
      <c r="AJ21" s="7"/>
      <c r="AK21" s="7" t="n">
        <v>994967</v>
      </c>
      <c r="AL21" s="7" t="n">
        <v>996525</v>
      </c>
    </row>
    <row r="22" customFormat="false" ht="15" hidden="false" customHeight="false" outlineLevel="0" collapsed="false">
      <c r="A22" s="7" t="s">
        <v>77</v>
      </c>
      <c r="B22" s="7" t="s">
        <v>84</v>
      </c>
      <c r="C22" s="7" t="s">
        <v>85</v>
      </c>
      <c r="D22" s="7" t="s">
        <v>79</v>
      </c>
      <c r="E22" s="7"/>
      <c r="F22" s="7" t="n">
        <v>4096</v>
      </c>
      <c r="G22" s="7" t="n">
        <v>200001</v>
      </c>
      <c r="H22" s="7" t="n">
        <v>28</v>
      </c>
      <c r="I22" s="7" t="n">
        <v>5600028</v>
      </c>
      <c r="J22" s="7" t="n">
        <v>0.6462</v>
      </c>
      <c r="K22" s="7" t="n">
        <v>0.5026</v>
      </c>
      <c r="L22" s="7" t="n">
        <v>1967475</v>
      </c>
      <c r="M22" s="7" t="n">
        <v>1968353</v>
      </c>
      <c r="N22" s="7" t="n">
        <v>878</v>
      </c>
      <c r="O22" s="7" t="n">
        <v>0.000446</v>
      </c>
      <c r="P22" s="7" t="n">
        <v>2.8463</v>
      </c>
      <c r="Q22" s="7" t="n">
        <v>2.845</v>
      </c>
      <c r="R22" s="7" t="n">
        <v>3</v>
      </c>
      <c r="S22" s="7" t="n">
        <v>3</v>
      </c>
      <c r="T22" s="7" t="n">
        <v>4096</v>
      </c>
      <c r="U22" s="7" t="n">
        <v>64</v>
      </c>
      <c r="V22" s="7" t="n">
        <v>16</v>
      </c>
      <c r="W22" s="7" t="n">
        <v>4096</v>
      </c>
      <c r="X22" s="7" t="n">
        <v>4096</v>
      </c>
      <c r="Y22" s="7" t="n">
        <v>4096</v>
      </c>
      <c r="Z22" s="7" t="n">
        <v>3</v>
      </c>
      <c r="AA22" s="7" t="n">
        <v>2048</v>
      </c>
      <c r="AB22" s="7" t="n">
        <v>4096</v>
      </c>
      <c r="AC22" s="7" t="s">
        <v>80</v>
      </c>
      <c r="AD22" s="7" t="n">
        <v>1</v>
      </c>
      <c r="AE22" s="7"/>
      <c r="AF22" s="7"/>
      <c r="AG22" s="7" t="n">
        <v>367248</v>
      </c>
      <c r="AH22" s="7" t="n">
        <v>367666</v>
      </c>
      <c r="AI22" s="7" t="n">
        <v>1600227</v>
      </c>
      <c r="AJ22" s="7" t="n">
        <v>1600687</v>
      </c>
      <c r="AK22" s="7"/>
      <c r="AL22" s="7"/>
    </row>
    <row r="23" customFormat="false" ht="15" hidden="false" customHeight="false" outlineLevel="0" collapsed="false">
      <c r="A23" s="7" t="s">
        <v>77</v>
      </c>
      <c r="B23" s="7" t="s">
        <v>84</v>
      </c>
      <c r="C23" s="7" t="s">
        <v>86</v>
      </c>
      <c r="D23" s="7" t="s">
        <v>81</v>
      </c>
      <c r="E23" s="7"/>
      <c r="F23" s="7" t="n">
        <v>4096</v>
      </c>
      <c r="G23" s="7" t="n">
        <v>200001</v>
      </c>
      <c r="H23" s="7" t="n">
        <v>28</v>
      </c>
      <c r="I23" s="7" t="n">
        <v>5600028</v>
      </c>
      <c r="J23" s="7" t="n">
        <v>0.6177</v>
      </c>
      <c r="K23" s="7" t="n">
        <v>0.4561</v>
      </c>
      <c r="L23" s="7" t="n">
        <v>1508426</v>
      </c>
      <c r="M23" s="7" t="n">
        <v>1509694</v>
      </c>
      <c r="N23" s="7" t="n">
        <v>1268</v>
      </c>
      <c r="O23" s="7" t="n">
        <v>0.00084</v>
      </c>
      <c r="P23" s="7" t="n">
        <v>3.7125</v>
      </c>
      <c r="Q23" s="7" t="n">
        <v>3.7094</v>
      </c>
      <c r="R23" s="7" t="n">
        <v>3</v>
      </c>
      <c r="S23" s="7" t="n">
        <v>3</v>
      </c>
      <c r="T23" s="7" t="n">
        <v>4096</v>
      </c>
      <c r="U23" s="7" t="n">
        <v>64</v>
      </c>
      <c r="V23" s="7" t="n">
        <v>16</v>
      </c>
      <c r="W23" s="7" t="n">
        <v>4096</v>
      </c>
      <c r="X23" s="7" t="n">
        <v>4096</v>
      </c>
      <c r="Y23" s="7" t="n">
        <v>4096</v>
      </c>
      <c r="Z23" s="7" t="n">
        <v>3</v>
      </c>
      <c r="AA23" s="7" t="n">
        <v>2048</v>
      </c>
      <c r="AB23" s="7" t="n">
        <v>4096</v>
      </c>
      <c r="AC23" s="7" t="s">
        <v>80</v>
      </c>
      <c r="AD23" s="7" t="n">
        <v>1</v>
      </c>
      <c r="AE23" s="7"/>
      <c r="AF23" s="7"/>
      <c r="AG23" s="7" t="n">
        <v>367248</v>
      </c>
      <c r="AH23" s="7" t="n">
        <v>367666</v>
      </c>
      <c r="AI23" s="7"/>
      <c r="AJ23" s="7"/>
      <c r="AK23" s="7" t="n">
        <v>1141178</v>
      </c>
      <c r="AL23" s="7" t="n">
        <v>1142028</v>
      </c>
    </row>
    <row r="24" customFormat="false" ht="15" hidden="false" customHeight="false" outlineLevel="0" collapsed="false">
      <c r="A24" s="7" t="s">
        <v>77</v>
      </c>
      <c r="B24" s="7" t="s">
        <v>84</v>
      </c>
      <c r="C24" s="7" t="s">
        <v>86</v>
      </c>
      <c r="D24" s="7" t="s">
        <v>81</v>
      </c>
      <c r="E24" s="7" t="n">
        <v>0.1</v>
      </c>
      <c r="F24" s="7" t="n">
        <v>4096</v>
      </c>
      <c r="G24" s="7" t="n">
        <v>200001</v>
      </c>
      <c r="H24" s="7" t="n">
        <v>28</v>
      </c>
      <c r="I24" s="7" t="n">
        <v>5600028</v>
      </c>
      <c r="J24" s="7" t="n">
        <v>0.6185</v>
      </c>
      <c r="K24" s="7" t="n">
        <v>0.4551</v>
      </c>
      <c r="L24" s="7" t="n">
        <v>1182778</v>
      </c>
      <c r="M24" s="7" t="n">
        <v>1184046</v>
      </c>
      <c r="N24" s="7" t="n">
        <v>1268</v>
      </c>
      <c r="O24" s="7" t="n">
        <v>0.001071</v>
      </c>
      <c r="P24" s="7" t="n">
        <v>4.7346</v>
      </c>
      <c r="Q24" s="7" t="n">
        <v>4.7296</v>
      </c>
      <c r="R24" s="7" t="n">
        <v>3</v>
      </c>
      <c r="S24" s="7" t="n">
        <v>3</v>
      </c>
      <c r="T24" s="7" t="n">
        <v>4096</v>
      </c>
      <c r="U24" s="7" t="n">
        <v>64</v>
      </c>
      <c r="V24" s="7" t="n">
        <v>16</v>
      </c>
      <c r="W24" s="7" t="n">
        <v>4096</v>
      </c>
      <c r="X24" s="7" t="n">
        <v>4096</v>
      </c>
      <c r="Y24" s="7" t="n">
        <v>4096</v>
      </c>
      <c r="Z24" s="7" t="n">
        <v>3</v>
      </c>
      <c r="AA24" s="7" t="n">
        <v>2048</v>
      </c>
      <c r="AB24" s="7" t="n">
        <v>4096</v>
      </c>
      <c r="AC24" s="7" t="s">
        <v>80</v>
      </c>
      <c r="AD24" s="7" t="n">
        <v>1</v>
      </c>
      <c r="AE24" s="7"/>
      <c r="AF24" s="7"/>
      <c r="AG24" s="7" t="n">
        <v>367248</v>
      </c>
      <c r="AH24" s="7" t="n">
        <v>367666</v>
      </c>
      <c r="AI24" s="7"/>
      <c r="AJ24" s="7"/>
      <c r="AK24" s="7" t="n">
        <v>815530</v>
      </c>
      <c r="AL24" s="7" t="n">
        <v>816380</v>
      </c>
    </row>
    <row r="25" customFormat="false" ht="15" hidden="false" customHeight="false" outlineLevel="0" collapsed="false">
      <c r="A25" s="7" t="s">
        <v>77</v>
      </c>
      <c r="B25" s="7" t="s">
        <v>84</v>
      </c>
      <c r="C25" s="7" t="s">
        <v>86</v>
      </c>
      <c r="D25" s="7" t="s">
        <v>81</v>
      </c>
      <c r="E25" s="7" t="n">
        <v>1</v>
      </c>
      <c r="F25" s="7" t="n">
        <v>4096</v>
      </c>
      <c r="G25" s="7" t="n">
        <v>200001</v>
      </c>
      <c r="H25" s="7" t="n">
        <v>28</v>
      </c>
      <c r="I25" s="7" t="n">
        <v>5600028</v>
      </c>
      <c r="J25" s="7" t="n">
        <v>0.5952</v>
      </c>
      <c r="K25" s="7" t="n">
        <v>0.453</v>
      </c>
      <c r="L25" s="7" t="n">
        <v>1098533</v>
      </c>
      <c r="M25" s="7" t="n">
        <v>1099801</v>
      </c>
      <c r="N25" s="7" t="n">
        <v>1268</v>
      </c>
      <c r="O25" s="7" t="n">
        <v>0.001153</v>
      </c>
      <c r="P25" s="7" t="n">
        <v>5.0977</v>
      </c>
      <c r="Q25" s="7" t="n">
        <v>5.0919</v>
      </c>
      <c r="R25" s="7" t="n">
        <v>3</v>
      </c>
      <c r="S25" s="7" t="n">
        <v>3</v>
      </c>
      <c r="T25" s="7" t="n">
        <v>4096</v>
      </c>
      <c r="U25" s="7" t="n">
        <v>64</v>
      </c>
      <c r="V25" s="7" t="n">
        <v>16</v>
      </c>
      <c r="W25" s="7" t="n">
        <v>4096</v>
      </c>
      <c r="X25" s="7" t="n">
        <v>4096</v>
      </c>
      <c r="Y25" s="7" t="n">
        <v>4096</v>
      </c>
      <c r="Z25" s="7" t="n">
        <v>3</v>
      </c>
      <c r="AA25" s="7" t="n">
        <v>2048</v>
      </c>
      <c r="AB25" s="7" t="n">
        <v>4096</v>
      </c>
      <c r="AC25" s="7" t="s">
        <v>80</v>
      </c>
      <c r="AD25" s="7" t="n">
        <v>1</v>
      </c>
      <c r="AE25" s="7"/>
      <c r="AF25" s="7"/>
      <c r="AG25" s="7" t="n">
        <v>367248</v>
      </c>
      <c r="AH25" s="7" t="n">
        <v>367666</v>
      </c>
      <c r="AI25" s="7"/>
      <c r="AJ25" s="7"/>
      <c r="AK25" s="7" t="n">
        <v>731285</v>
      </c>
      <c r="AL25" s="7" t="n">
        <v>732135</v>
      </c>
    </row>
    <row r="26" customFormat="false" ht="15" hidden="false" customHeight="false" outlineLevel="0" collapsed="false">
      <c r="A26" s="7" t="s">
        <v>77</v>
      </c>
      <c r="B26" s="7" t="s">
        <v>84</v>
      </c>
      <c r="C26" s="7" t="s">
        <v>86</v>
      </c>
      <c r="D26" s="7" t="s">
        <v>81</v>
      </c>
      <c r="E26" s="7" t="n">
        <v>5</v>
      </c>
      <c r="F26" s="7" t="n">
        <v>4096</v>
      </c>
      <c r="G26" s="7" t="n">
        <v>200001</v>
      </c>
      <c r="H26" s="7" t="n">
        <v>28</v>
      </c>
      <c r="I26" s="7" t="n">
        <v>5600028</v>
      </c>
      <c r="J26" s="7" t="n">
        <v>0.6383</v>
      </c>
      <c r="K26" s="7" t="n">
        <v>0.4394</v>
      </c>
      <c r="L26" s="7" t="n">
        <v>1031479</v>
      </c>
      <c r="M26" s="7" t="n">
        <v>1032747</v>
      </c>
      <c r="N26" s="7" t="n">
        <v>1268</v>
      </c>
      <c r="O26" s="7" t="n">
        <v>0.001228</v>
      </c>
      <c r="P26" s="7" t="n">
        <v>5.4291</v>
      </c>
      <c r="Q26" s="7" t="n">
        <v>5.4225</v>
      </c>
      <c r="R26" s="7" t="n">
        <v>3</v>
      </c>
      <c r="S26" s="7" t="n">
        <v>3</v>
      </c>
      <c r="T26" s="7" t="n">
        <v>4096</v>
      </c>
      <c r="U26" s="7" t="n">
        <v>64</v>
      </c>
      <c r="V26" s="7" t="n">
        <v>16</v>
      </c>
      <c r="W26" s="7" t="n">
        <v>4096</v>
      </c>
      <c r="X26" s="7" t="n">
        <v>4096</v>
      </c>
      <c r="Y26" s="7" t="n">
        <v>4096</v>
      </c>
      <c r="Z26" s="7" t="n">
        <v>3</v>
      </c>
      <c r="AA26" s="7" t="n">
        <v>2048</v>
      </c>
      <c r="AB26" s="7" t="n">
        <v>4096</v>
      </c>
      <c r="AC26" s="7" t="s">
        <v>80</v>
      </c>
      <c r="AD26" s="7" t="n">
        <v>1</v>
      </c>
      <c r="AE26" s="7"/>
      <c r="AF26" s="7"/>
      <c r="AG26" s="7" t="n">
        <v>367248</v>
      </c>
      <c r="AH26" s="7" t="n">
        <v>367666</v>
      </c>
      <c r="AI26" s="7"/>
      <c r="AJ26" s="7"/>
      <c r="AK26" s="7" t="n">
        <v>664231</v>
      </c>
      <c r="AL26" s="7" t="n">
        <v>665081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7"/>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12" min="2" style="0" width="13"/>
  </cols>
  <sheetData>
    <row r="1" customFormat="false" ht="15" hidden="false" customHeight="false" outlineLevel="0" collapsed="false">
      <c r="A1" s="6" t="s">
        <v>41</v>
      </c>
      <c r="B1" s="6" t="s">
        <v>87</v>
      </c>
      <c r="C1" s="6" t="s">
        <v>88</v>
      </c>
      <c r="D1" s="6" t="s">
        <v>89</v>
      </c>
      <c r="E1" s="6" t="s">
        <v>45</v>
      </c>
      <c r="F1" s="6" t="s">
        <v>90</v>
      </c>
      <c r="G1" s="6" t="s">
        <v>91</v>
      </c>
      <c r="H1" s="6" t="s">
        <v>92</v>
      </c>
      <c r="I1" s="6" t="s">
        <v>93</v>
      </c>
      <c r="J1" s="6" t="s">
        <v>94</v>
      </c>
      <c r="K1" s="6" t="s">
        <v>95</v>
      </c>
      <c r="L1" s="6" t="s">
        <v>96</v>
      </c>
    </row>
    <row r="2" customFormat="false" ht="15" hidden="false" customHeight="false" outlineLevel="0" collapsed="false">
      <c r="A2" s="7" t="s">
        <v>77</v>
      </c>
      <c r="B2" s="7" t="s">
        <v>97</v>
      </c>
      <c r="C2" s="7" t="s">
        <v>98</v>
      </c>
      <c r="D2" s="7" t="s">
        <v>99</v>
      </c>
      <c r="E2" s="7" t="n">
        <v>0</v>
      </c>
      <c r="F2" s="7" t="n">
        <v>86</v>
      </c>
      <c r="G2" s="7" t="n">
        <v>150881</v>
      </c>
      <c r="H2" s="7" t="n">
        <v>0.7544</v>
      </c>
      <c r="I2" s="7" t="n">
        <v>0</v>
      </c>
      <c r="J2" s="7" t="n">
        <v>0</v>
      </c>
      <c r="K2" s="7" t="s">
        <v>100</v>
      </c>
      <c r="L2" s="7" t="n">
        <v>0</v>
      </c>
    </row>
    <row r="3" customFormat="false" ht="15" hidden="false" customHeight="false" outlineLevel="0" collapsed="false">
      <c r="A3" s="7" t="s">
        <v>77</v>
      </c>
      <c r="B3" s="7" t="s">
        <v>101</v>
      </c>
      <c r="C3" s="7" t="s">
        <v>98</v>
      </c>
      <c r="D3" s="7" t="s">
        <v>99</v>
      </c>
      <c r="E3" s="7" t="n">
        <v>0</v>
      </c>
      <c r="F3" s="7" t="n">
        <v>86</v>
      </c>
      <c r="G3" s="7" t="n">
        <v>75870</v>
      </c>
      <c r="H3" s="7" t="n">
        <v>0.3793</v>
      </c>
      <c r="I3" s="7" t="n">
        <v>0</v>
      </c>
      <c r="J3" s="7" t="n">
        <v>0</v>
      </c>
      <c r="K3" s="7" t="s">
        <v>100</v>
      </c>
      <c r="L3" s="7" t="n">
        <v>0</v>
      </c>
    </row>
    <row r="4" customFormat="false" ht="15" hidden="false" customHeight="false" outlineLevel="0" collapsed="false">
      <c r="A4" s="7" t="s">
        <v>77</v>
      </c>
      <c r="B4" s="7" t="s">
        <v>102</v>
      </c>
      <c r="C4" s="7" t="s">
        <v>103</v>
      </c>
      <c r="D4" s="7" t="s">
        <v>104</v>
      </c>
      <c r="E4" s="7" t="n">
        <v>0</v>
      </c>
      <c r="F4" s="7" t="n">
        <v>86</v>
      </c>
      <c r="G4" s="7" t="n">
        <v>697848</v>
      </c>
      <c r="H4" s="7" t="n">
        <v>3.4892</v>
      </c>
      <c r="I4" s="7" t="n">
        <v>0</v>
      </c>
      <c r="J4" s="7" t="n">
        <v>0</v>
      </c>
      <c r="K4" s="7" t="s">
        <v>105</v>
      </c>
      <c r="L4" s="7" t="n">
        <v>0</v>
      </c>
    </row>
    <row r="5" customFormat="false" ht="15" hidden="false" customHeight="false" outlineLevel="0" collapsed="false">
      <c r="A5" s="7" t="s">
        <v>77</v>
      </c>
      <c r="B5" s="7" t="s">
        <v>106</v>
      </c>
      <c r="C5" s="7" t="s">
        <v>107</v>
      </c>
      <c r="D5" s="7" t="s">
        <v>99</v>
      </c>
      <c r="E5" s="7" t="n">
        <v>0</v>
      </c>
      <c r="F5" s="7" t="n">
        <v>86</v>
      </c>
      <c r="G5" s="7" t="n">
        <v>574425</v>
      </c>
      <c r="H5" s="7" t="n">
        <v>2.8721</v>
      </c>
      <c r="I5" s="7" t="n">
        <v>0</v>
      </c>
      <c r="J5" s="7" t="n">
        <v>0</v>
      </c>
      <c r="K5" s="7" t="s">
        <v>100</v>
      </c>
      <c r="L5" s="7" t="n">
        <v>0</v>
      </c>
    </row>
    <row r="6" customFormat="false" ht="15" hidden="false" customHeight="false" outlineLevel="0" collapsed="false">
      <c r="A6" s="7" t="s">
        <v>77</v>
      </c>
      <c r="B6" s="7" t="s">
        <v>97</v>
      </c>
      <c r="C6" s="7" t="s">
        <v>98</v>
      </c>
      <c r="D6" s="7" t="s">
        <v>99</v>
      </c>
      <c r="E6" s="7" t="n">
        <v>0.01</v>
      </c>
      <c r="F6" s="7" t="n">
        <v>86</v>
      </c>
      <c r="G6" s="7" t="n">
        <v>150881</v>
      </c>
      <c r="H6" s="7" t="n">
        <v>0.7544</v>
      </c>
      <c r="I6" s="7" t="n">
        <v>0</v>
      </c>
      <c r="J6" s="7" t="n">
        <v>0</v>
      </c>
      <c r="K6" s="7" t="s">
        <v>100</v>
      </c>
      <c r="L6" s="7" t="n">
        <v>0</v>
      </c>
    </row>
    <row r="7" customFormat="false" ht="15" hidden="false" customHeight="false" outlineLevel="0" collapsed="false">
      <c r="A7" s="7" t="s">
        <v>77</v>
      </c>
      <c r="B7" s="7" t="s">
        <v>101</v>
      </c>
      <c r="C7" s="7" t="s">
        <v>98</v>
      </c>
      <c r="D7" s="7" t="s">
        <v>99</v>
      </c>
      <c r="E7" s="7" t="n">
        <v>0.01</v>
      </c>
      <c r="F7" s="7" t="n">
        <v>86</v>
      </c>
      <c r="G7" s="7" t="n">
        <v>75870</v>
      </c>
      <c r="H7" s="7" t="n">
        <v>0.3793</v>
      </c>
      <c r="I7" s="7" t="n">
        <v>0</v>
      </c>
      <c r="J7" s="7" t="n">
        <v>0</v>
      </c>
      <c r="K7" s="7" t="s">
        <v>100</v>
      </c>
      <c r="L7" s="7" t="n">
        <v>0</v>
      </c>
    </row>
    <row r="8" customFormat="false" ht="15" hidden="false" customHeight="false" outlineLevel="0" collapsed="false">
      <c r="A8" s="7" t="s">
        <v>77</v>
      </c>
      <c r="B8" s="7" t="s">
        <v>102</v>
      </c>
      <c r="C8" s="7" t="s">
        <v>103</v>
      </c>
      <c r="D8" s="7" t="s">
        <v>104</v>
      </c>
      <c r="E8" s="7" t="n">
        <v>0.01</v>
      </c>
      <c r="F8" s="7" t="n">
        <v>86</v>
      </c>
      <c r="G8" s="7" t="n">
        <v>404387</v>
      </c>
      <c r="H8" s="7" t="n">
        <v>2.0219</v>
      </c>
      <c r="I8" s="7" t="n">
        <v>-293461</v>
      </c>
      <c r="J8" s="7" t="n">
        <v>-42.05</v>
      </c>
      <c r="K8" s="7" t="s">
        <v>108</v>
      </c>
      <c r="L8" s="7" t="n">
        <v>9.99979122E-005</v>
      </c>
    </row>
    <row r="9" customFormat="false" ht="15" hidden="false" customHeight="false" outlineLevel="0" collapsed="false">
      <c r="A9" s="7" t="s">
        <v>77</v>
      </c>
      <c r="B9" s="7" t="s">
        <v>106</v>
      </c>
      <c r="C9" s="7" t="s">
        <v>107</v>
      </c>
      <c r="D9" s="7" t="s">
        <v>99</v>
      </c>
      <c r="E9" s="7" t="n">
        <v>0.01</v>
      </c>
      <c r="F9" s="7" t="n">
        <v>86</v>
      </c>
      <c r="G9" s="7" t="n">
        <v>574425</v>
      </c>
      <c r="H9" s="7" t="n">
        <v>2.8721</v>
      </c>
      <c r="I9" s="7" t="n">
        <v>0</v>
      </c>
      <c r="J9" s="7" t="n">
        <v>0</v>
      </c>
      <c r="K9" s="7" t="s">
        <v>100</v>
      </c>
      <c r="L9" s="7" t="n">
        <v>0</v>
      </c>
    </row>
    <row r="10" customFormat="false" ht="15" hidden="false" customHeight="false" outlineLevel="0" collapsed="false">
      <c r="A10" s="7" t="s">
        <v>77</v>
      </c>
      <c r="B10" s="7" t="s">
        <v>97</v>
      </c>
      <c r="C10" s="7" t="s">
        <v>98</v>
      </c>
      <c r="D10" s="7" t="s">
        <v>99</v>
      </c>
      <c r="E10" s="7" t="n">
        <v>0.1</v>
      </c>
      <c r="F10" s="7" t="n">
        <v>86</v>
      </c>
      <c r="G10" s="7" t="n">
        <v>150881</v>
      </c>
      <c r="H10" s="7" t="n">
        <v>0.7544</v>
      </c>
      <c r="I10" s="7" t="n">
        <v>0</v>
      </c>
      <c r="J10" s="7" t="n">
        <v>0</v>
      </c>
      <c r="K10" s="7" t="s">
        <v>100</v>
      </c>
      <c r="L10" s="7" t="n">
        <v>0</v>
      </c>
    </row>
    <row r="11" customFormat="false" ht="15" hidden="false" customHeight="false" outlineLevel="0" collapsed="false">
      <c r="A11" s="7" t="s">
        <v>77</v>
      </c>
      <c r="B11" s="7" t="s">
        <v>101</v>
      </c>
      <c r="C11" s="7" t="s">
        <v>98</v>
      </c>
      <c r="D11" s="7" t="s">
        <v>99</v>
      </c>
      <c r="E11" s="7" t="n">
        <v>0.1</v>
      </c>
      <c r="F11" s="7" t="n">
        <v>86</v>
      </c>
      <c r="G11" s="7" t="n">
        <v>75870</v>
      </c>
      <c r="H11" s="7" t="n">
        <v>0.3793</v>
      </c>
      <c r="I11" s="7" t="n">
        <v>0</v>
      </c>
      <c r="J11" s="7" t="n">
        <v>0</v>
      </c>
      <c r="K11" s="7" t="s">
        <v>100</v>
      </c>
      <c r="L11" s="7" t="n">
        <v>0</v>
      </c>
    </row>
    <row r="12" customFormat="false" ht="15" hidden="false" customHeight="false" outlineLevel="0" collapsed="false">
      <c r="A12" s="7" t="s">
        <v>77</v>
      </c>
      <c r="B12" s="7" t="s">
        <v>102</v>
      </c>
      <c r="C12" s="7" t="s">
        <v>103</v>
      </c>
      <c r="D12" s="7" t="s">
        <v>104</v>
      </c>
      <c r="E12" s="7" t="n">
        <v>0.1</v>
      </c>
      <c r="F12" s="7" t="n">
        <v>86</v>
      </c>
      <c r="G12" s="7" t="n">
        <v>335378</v>
      </c>
      <c r="H12" s="7" t="n">
        <v>1.6769</v>
      </c>
      <c r="I12" s="7" t="n">
        <v>-362470</v>
      </c>
      <c r="J12" s="7" t="n">
        <v>-51.94</v>
      </c>
      <c r="K12" s="7" t="s">
        <v>108</v>
      </c>
      <c r="L12" s="7" t="n">
        <v>0.000999989495</v>
      </c>
    </row>
    <row r="13" customFormat="false" ht="15" hidden="false" customHeight="false" outlineLevel="0" collapsed="false">
      <c r="A13" s="7" t="s">
        <v>77</v>
      </c>
      <c r="B13" s="7" t="s">
        <v>106</v>
      </c>
      <c r="C13" s="7" t="s">
        <v>107</v>
      </c>
      <c r="D13" s="7" t="s">
        <v>99</v>
      </c>
      <c r="E13" s="7" t="n">
        <v>0.1</v>
      </c>
      <c r="F13" s="7" t="n">
        <v>86</v>
      </c>
      <c r="G13" s="7" t="n">
        <v>574425</v>
      </c>
      <c r="H13" s="7" t="n">
        <v>2.8721</v>
      </c>
      <c r="I13" s="7" t="n">
        <v>0</v>
      </c>
      <c r="J13" s="7" t="n">
        <v>0</v>
      </c>
      <c r="K13" s="7" t="s">
        <v>100</v>
      </c>
      <c r="L13" s="7" t="n">
        <v>0</v>
      </c>
    </row>
    <row r="14" customFormat="false" ht="15" hidden="false" customHeight="false" outlineLevel="0" collapsed="false">
      <c r="A14" s="7" t="s">
        <v>77</v>
      </c>
      <c r="B14" s="7" t="s">
        <v>97</v>
      </c>
      <c r="C14" s="7" t="s">
        <v>98</v>
      </c>
      <c r="D14" s="7" t="s">
        <v>99</v>
      </c>
      <c r="E14" s="7" t="n">
        <v>0.5</v>
      </c>
      <c r="F14" s="7" t="n">
        <v>86</v>
      </c>
      <c r="G14" s="7" t="n">
        <v>150881</v>
      </c>
      <c r="H14" s="7" t="n">
        <v>0.7544</v>
      </c>
      <c r="I14" s="7" t="n">
        <v>0</v>
      </c>
      <c r="J14" s="7" t="n">
        <v>0</v>
      </c>
      <c r="K14" s="7" t="s">
        <v>100</v>
      </c>
      <c r="L14" s="7" t="n">
        <v>0</v>
      </c>
    </row>
    <row r="15" customFormat="false" ht="15" hidden="false" customHeight="false" outlineLevel="0" collapsed="false">
      <c r="A15" s="7" t="s">
        <v>77</v>
      </c>
      <c r="B15" s="7" t="s">
        <v>101</v>
      </c>
      <c r="C15" s="7" t="s">
        <v>98</v>
      </c>
      <c r="D15" s="7" t="s">
        <v>99</v>
      </c>
      <c r="E15" s="7" t="n">
        <v>0.5</v>
      </c>
      <c r="F15" s="7" t="n">
        <v>86</v>
      </c>
      <c r="G15" s="7" t="n">
        <v>75870</v>
      </c>
      <c r="H15" s="7" t="n">
        <v>0.3793</v>
      </c>
      <c r="I15" s="7" t="n">
        <v>0</v>
      </c>
      <c r="J15" s="7" t="n">
        <v>0</v>
      </c>
      <c r="K15" s="7" t="s">
        <v>100</v>
      </c>
      <c r="L15" s="7" t="n">
        <v>0</v>
      </c>
    </row>
    <row r="16" customFormat="false" ht="15" hidden="false" customHeight="false" outlineLevel="0" collapsed="false">
      <c r="A16" s="7" t="s">
        <v>77</v>
      </c>
      <c r="B16" s="7" t="s">
        <v>102</v>
      </c>
      <c r="C16" s="7" t="s">
        <v>103</v>
      </c>
      <c r="D16" s="7" t="s">
        <v>104</v>
      </c>
      <c r="E16" s="7" t="n">
        <v>0.5</v>
      </c>
      <c r="F16" s="7" t="n">
        <v>86</v>
      </c>
      <c r="G16" s="7" t="n">
        <v>275907</v>
      </c>
      <c r="H16" s="7" t="n">
        <v>1.3795</v>
      </c>
      <c r="I16" s="7" t="n">
        <v>-421941</v>
      </c>
      <c r="J16" s="7" t="n">
        <v>-60.46</v>
      </c>
      <c r="K16" s="7" t="s">
        <v>108</v>
      </c>
      <c r="L16" s="7" t="n">
        <v>0.00499984237</v>
      </c>
    </row>
    <row r="17" customFormat="false" ht="15" hidden="false" customHeight="false" outlineLevel="0" collapsed="false">
      <c r="A17" s="7" t="s">
        <v>77</v>
      </c>
      <c r="B17" s="7" t="s">
        <v>106</v>
      </c>
      <c r="C17" s="7" t="s">
        <v>107</v>
      </c>
      <c r="D17" s="7" t="s">
        <v>99</v>
      </c>
      <c r="E17" s="7" t="n">
        <v>0.5</v>
      </c>
      <c r="F17" s="7" t="n">
        <v>86</v>
      </c>
      <c r="G17" s="7" t="n">
        <v>574425</v>
      </c>
      <c r="H17" s="7" t="n">
        <v>2.8721</v>
      </c>
      <c r="I17" s="7" t="n">
        <v>0</v>
      </c>
      <c r="J17" s="7" t="n">
        <v>0</v>
      </c>
      <c r="K17" s="7" t="s">
        <v>100</v>
      </c>
      <c r="L17" s="7" t="n">
        <v>0</v>
      </c>
    </row>
    <row r="18" customFormat="false" ht="15" hidden="false" customHeight="false" outlineLevel="0" collapsed="false">
      <c r="A18" s="7" t="s">
        <v>77</v>
      </c>
      <c r="B18" s="7" t="s">
        <v>97</v>
      </c>
      <c r="C18" s="7" t="s">
        <v>98</v>
      </c>
      <c r="D18" s="7" t="s">
        <v>99</v>
      </c>
      <c r="E18" s="7" t="n">
        <v>1</v>
      </c>
      <c r="F18" s="7" t="n">
        <v>86</v>
      </c>
      <c r="G18" s="7" t="n">
        <v>150881</v>
      </c>
      <c r="H18" s="7" t="n">
        <v>0.7544</v>
      </c>
      <c r="I18" s="7" t="n">
        <v>0</v>
      </c>
      <c r="J18" s="7" t="n">
        <v>0</v>
      </c>
      <c r="K18" s="7" t="s">
        <v>100</v>
      </c>
      <c r="L18" s="7" t="n">
        <v>0</v>
      </c>
    </row>
    <row r="19" customFormat="false" ht="15" hidden="false" customHeight="false" outlineLevel="0" collapsed="false">
      <c r="A19" s="7" t="s">
        <v>77</v>
      </c>
      <c r="B19" s="7" t="s">
        <v>101</v>
      </c>
      <c r="C19" s="7" t="s">
        <v>98</v>
      </c>
      <c r="D19" s="7" t="s">
        <v>99</v>
      </c>
      <c r="E19" s="7" t="n">
        <v>1</v>
      </c>
      <c r="F19" s="7" t="n">
        <v>86</v>
      </c>
      <c r="G19" s="7" t="n">
        <v>75870</v>
      </c>
      <c r="H19" s="7" t="n">
        <v>0.3793</v>
      </c>
      <c r="I19" s="7" t="n">
        <v>0</v>
      </c>
      <c r="J19" s="7" t="n">
        <v>0</v>
      </c>
      <c r="K19" s="7" t="s">
        <v>100</v>
      </c>
      <c r="L19" s="7" t="n">
        <v>0</v>
      </c>
    </row>
    <row r="20" customFormat="false" ht="15" hidden="false" customHeight="false" outlineLevel="0" collapsed="false">
      <c r="A20" s="7" t="s">
        <v>77</v>
      </c>
      <c r="B20" s="7" t="s">
        <v>102</v>
      </c>
      <c r="C20" s="7" t="s">
        <v>103</v>
      </c>
      <c r="D20" s="7" t="s">
        <v>104</v>
      </c>
      <c r="E20" s="7" t="n">
        <v>1</v>
      </c>
      <c r="F20" s="7" t="n">
        <v>86</v>
      </c>
      <c r="G20" s="7" t="n">
        <v>252612</v>
      </c>
      <c r="H20" s="7" t="n">
        <v>1.2631</v>
      </c>
      <c r="I20" s="7" t="n">
        <v>-445236</v>
      </c>
      <c r="J20" s="7" t="n">
        <v>-63.8</v>
      </c>
      <c r="K20" s="7" t="s">
        <v>108</v>
      </c>
      <c r="L20" s="7" t="n">
        <v>0.00999997912</v>
      </c>
    </row>
    <row r="21" customFormat="false" ht="15" hidden="false" customHeight="false" outlineLevel="0" collapsed="false">
      <c r="A21" s="7" t="s">
        <v>77</v>
      </c>
      <c r="B21" s="7" t="s">
        <v>106</v>
      </c>
      <c r="C21" s="7" t="s">
        <v>107</v>
      </c>
      <c r="D21" s="7" t="s">
        <v>99</v>
      </c>
      <c r="E21" s="7" t="n">
        <v>1</v>
      </c>
      <c r="F21" s="7" t="n">
        <v>86</v>
      </c>
      <c r="G21" s="7" t="n">
        <v>574425</v>
      </c>
      <c r="H21" s="7" t="n">
        <v>2.8721</v>
      </c>
      <c r="I21" s="7" t="n">
        <v>0</v>
      </c>
      <c r="J21" s="7" t="n">
        <v>0</v>
      </c>
      <c r="K21" s="7" t="s">
        <v>100</v>
      </c>
      <c r="L21" s="7" t="n">
        <v>0</v>
      </c>
    </row>
    <row r="22" customFormat="false" ht="15" hidden="false" customHeight="false" outlineLevel="0" collapsed="false">
      <c r="A22" s="7" t="s">
        <v>77</v>
      </c>
      <c r="B22" s="7" t="s">
        <v>97</v>
      </c>
      <c r="C22" s="7" t="s">
        <v>98</v>
      </c>
      <c r="D22" s="7" t="s">
        <v>99</v>
      </c>
      <c r="E22" s="7" t="n">
        <v>2</v>
      </c>
      <c r="F22" s="7" t="n">
        <v>86</v>
      </c>
      <c r="G22" s="7" t="n">
        <v>150881</v>
      </c>
      <c r="H22" s="7" t="n">
        <v>0.7544</v>
      </c>
      <c r="I22" s="7" t="n">
        <v>0</v>
      </c>
      <c r="J22" s="7" t="n">
        <v>0</v>
      </c>
      <c r="K22" s="7" t="s">
        <v>100</v>
      </c>
      <c r="L22" s="7" t="n">
        <v>0</v>
      </c>
    </row>
    <row r="23" customFormat="false" ht="15" hidden="false" customHeight="false" outlineLevel="0" collapsed="false">
      <c r="A23" s="7" t="s">
        <v>77</v>
      </c>
      <c r="B23" s="7" t="s">
        <v>101</v>
      </c>
      <c r="C23" s="7" t="s">
        <v>98</v>
      </c>
      <c r="D23" s="7" t="s">
        <v>99</v>
      </c>
      <c r="E23" s="7" t="n">
        <v>2</v>
      </c>
      <c r="F23" s="7" t="n">
        <v>86</v>
      </c>
      <c r="G23" s="7" t="n">
        <v>75870</v>
      </c>
      <c r="H23" s="7" t="n">
        <v>0.3793</v>
      </c>
      <c r="I23" s="7" t="n">
        <v>0</v>
      </c>
      <c r="J23" s="7" t="n">
        <v>0</v>
      </c>
      <c r="K23" s="7" t="s">
        <v>100</v>
      </c>
      <c r="L23" s="7" t="n">
        <v>0</v>
      </c>
    </row>
    <row r="24" customFormat="false" ht="15" hidden="false" customHeight="false" outlineLevel="0" collapsed="false">
      <c r="A24" s="7" t="s">
        <v>77</v>
      </c>
      <c r="B24" s="7" t="s">
        <v>102</v>
      </c>
      <c r="C24" s="7" t="s">
        <v>103</v>
      </c>
      <c r="D24" s="7" t="s">
        <v>104</v>
      </c>
      <c r="E24" s="7" t="n">
        <v>2</v>
      </c>
      <c r="F24" s="7" t="n">
        <v>86</v>
      </c>
      <c r="G24" s="7" t="n">
        <v>192392</v>
      </c>
      <c r="H24" s="7" t="n">
        <v>0.962</v>
      </c>
      <c r="I24" s="7" t="n">
        <v>-505456</v>
      </c>
      <c r="J24" s="7" t="n">
        <v>-72.43</v>
      </c>
      <c r="K24" s="7" t="s">
        <v>108</v>
      </c>
      <c r="L24" s="7" t="n">
        <v>0.0199999694</v>
      </c>
    </row>
    <row r="25" customFormat="false" ht="15" hidden="false" customHeight="false" outlineLevel="0" collapsed="false">
      <c r="A25" s="7" t="s">
        <v>77</v>
      </c>
      <c r="B25" s="7" t="s">
        <v>106</v>
      </c>
      <c r="C25" s="7" t="s">
        <v>107</v>
      </c>
      <c r="D25" s="7" t="s">
        <v>99</v>
      </c>
      <c r="E25" s="7" t="n">
        <v>2</v>
      </c>
      <c r="F25" s="7" t="n">
        <v>86</v>
      </c>
      <c r="G25" s="7" t="n">
        <v>574425</v>
      </c>
      <c r="H25" s="7" t="n">
        <v>2.8721</v>
      </c>
      <c r="I25" s="7" t="n">
        <v>0</v>
      </c>
      <c r="J25" s="7" t="n">
        <v>0</v>
      </c>
      <c r="K25" s="7" t="s">
        <v>100</v>
      </c>
      <c r="L25" s="7" t="n">
        <v>0</v>
      </c>
    </row>
    <row r="26" customFormat="false" ht="15" hidden="false" customHeight="false" outlineLevel="0" collapsed="false">
      <c r="A26" s="7" t="s">
        <v>77</v>
      </c>
      <c r="B26" s="7" t="s">
        <v>97</v>
      </c>
      <c r="C26" s="7" t="s">
        <v>98</v>
      </c>
      <c r="D26" s="7" t="s">
        <v>99</v>
      </c>
      <c r="E26" s="7" t="n">
        <v>5</v>
      </c>
      <c r="F26" s="7" t="n">
        <v>86</v>
      </c>
      <c r="G26" s="7" t="n">
        <v>150881</v>
      </c>
      <c r="H26" s="7" t="n">
        <v>0.7544</v>
      </c>
      <c r="I26" s="7" t="n">
        <v>0</v>
      </c>
      <c r="J26" s="7" t="n">
        <v>0</v>
      </c>
      <c r="K26" s="7" t="s">
        <v>100</v>
      </c>
      <c r="L26" s="7" t="n">
        <v>0</v>
      </c>
    </row>
    <row r="27" customFormat="false" ht="15" hidden="false" customHeight="false" outlineLevel="0" collapsed="false">
      <c r="A27" s="7" t="s">
        <v>77</v>
      </c>
      <c r="B27" s="7" t="s">
        <v>101</v>
      </c>
      <c r="C27" s="7" t="s">
        <v>98</v>
      </c>
      <c r="D27" s="7" t="s">
        <v>99</v>
      </c>
      <c r="E27" s="7" t="n">
        <v>5</v>
      </c>
      <c r="F27" s="7" t="n">
        <v>86</v>
      </c>
      <c r="G27" s="7" t="n">
        <v>75870</v>
      </c>
      <c r="H27" s="7" t="n">
        <v>0.3793</v>
      </c>
      <c r="I27" s="7" t="n">
        <v>0</v>
      </c>
      <c r="J27" s="7" t="n">
        <v>0</v>
      </c>
      <c r="K27" s="7" t="s">
        <v>100</v>
      </c>
      <c r="L27" s="7" t="n">
        <v>0</v>
      </c>
    </row>
    <row r="28" customFormat="false" ht="15" hidden="false" customHeight="false" outlineLevel="0" collapsed="false">
      <c r="A28" s="7" t="s">
        <v>77</v>
      </c>
      <c r="B28" s="7" t="s">
        <v>102</v>
      </c>
      <c r="C28" s="7" t="s">
        <v>103</v>
      </c>
      <c r="D28" s="7" t="s">
        <v>104</v>
      </c>
      <c r="E28" s="7" t="n">
        <v>5</v>
      </c>
      <c r="F28" s="7" t="n">
        <v>86</v>
      </c>
      <c r="G28" s="7" t="n">
        <v>198882</v>
      </c>
      <c r="H28" s="7" t="n">
        <v>0.9944</v>
      </c>
      <c r="I28" s="7" t="n">
        <v>-498966</v>
      </c>
      <c r="J28" s="7" t="n">
        <v>-71.5</v>
      </c>
      <c r="K28" s="7" t="s">
        <v>108</v>
      </c>
      <c r="L28" s="7" t="n">
        <v>0.0499991623</v>
      </c>
    </row>
    <row r="29" customFormat="false" ht="15" hidden="false" customHeight="false" outlineLevel="0" collapsed="false">
      <c r="A29" s="7" t="s">
        <v>77</v>
      </c>
      <c r="B29" s="7" t="s">
        <v>106</v>
      </c>
      <c r="C29" s="7" t="s">
        <v>107</v>
      </c>
      <c r="D29" s="7" t="s">
        <v>99</v>
      </c>
      <c r="E29" s="7" t="n">
        <v>5</v>
      </c>
      <c r="F29" s="7" t="n">
        <v>86</v>
      </c>
      <c r="G29" s="7" t="n">
        <v>574425</v>
      </c>
      <c r="H29" s="7" t="n">
        <v>2.8721</v>
      </c>
      <c r="I29" s="7" t="n">
        <v>0</v>
      </c>
      <c r="J29" s="7" t="n">
        <v>0</v>
      </c>
      <c r="K29" s="7" t="s">
        <v>100</v>
      </c>
      <c r="L29" s="7" t="n">
        <v>0</v>
      </c>
    </row>
    <row r="30" customFormat="false" ht="15" hidden="false" customHeight="false" outlineLevel="0" collapsed="false">
      <c r="A30" s="7" t="s">
        <v>77</v>
      </c>
      <c r="B30" s="7" t="s">
        <v>97</v>
      </c>
      <c r="C30" s="7" t="s">
        <v>98</v>
      </c>
      <c r="D30" s="7" t="s">
        <v>99</v>
      </c>
      <c r="E30" s="7" t="n">
        <v>10</v>
      </c>
      <c r="F30" s="7" t="n">
        <v>86</v>
      </c>
      <c r="G30" s="7" t="n">
        <v>150881</v>
      </c>
      <c r="H30" s="7" t="n">
        <v>0.7544</v>
      </c>
      <c r="I30" s="7" t="n">
        <v>0</v>
      </c>
      <c r="J30" s="7" t="n">
        <v>0</v>
      </c>
      <c r="K30" s="7" t="s">
        <v>100</v>
      </c>
      <c r="L30" s="7" t="n">
        <v>0</v>
      </c>
    </row>
    <row r="31" customFormat="false" ht="15" hidden="false" customHeight="false" outlineLevel="0" collapsed="false">
      <c r="A31" s="7" t="s">
        <v>77</v>
      </c>
      <c r="B31" s="7" t="s">
        <v>101</v>
      </c>
      <c r="C31" s="7" t="s">
        <v>98</v>
      </c>
      <c r="D31" s="7" t="s">
        <v>99</v>
      </c>
      <c r="E31" s="7" t="n">
        <v>10</v>
      </c>
      <c r="F31" s="7" t="n">
        <v>86</v>
      </c>
      <c r="G31" s="7" t="n">
        <v>75870</v>
      </c>
      <c r="H31" s="7" t="n">
        <v>0.3793</v>
      </c>
      <c r="I31" s="7" t="n">
        <v>0</v>
      </c>
      <c r="J31" s="7" t="n">
        <v>0</v>
      </c>
      <c r="K31" s="7" t="s">
        <v>100</v>
      </c>
      <c r="L31" s="7" t="n">
        <v>0</v>
      </c>
    </row>
    <row r="32" customFormat="false" ht="15" hidden="false" customHeight="false" outlineLevel="0" collapsed="false">
      <c r="A32" s="7" t="s">
        <v>77</v>
      </c>
      <c r="B32" s="7" t="s">
        <v>102</v>
      </c>
      <c r="C32" s="7" t="s">
        <v>103</v>
      </c>
      <c r="D32" s="7" t="s">
        <v>104</v>
      </c>
      <c r="E32" s="7" t="n">
        <v>10</v>
      </c>
      <c r="F32" s="7" t="n">
        <v>86</v>
      </c>
      <c r="G32" s="7" t="n">
        <v>158442</v>
      </c>
      <c r="H32" s="7" t="n">
        <v>0.7922</v>
      </c>
      <c r="I32" s="7" t="n">
        <v>-539406</v>
      </c>
      <c r="J32" s="7" t="n">
        <v>-77.3</v>
      </c>
      <c r="K32" s="7" t="s">
        <v>108</v>
      </c>
      <c r="L32" s="7" t="n">
        <v>0.0999987021</v>
      </c>
    </row>
    <row r="33" customFormat="false" ht="15" hidden="false" customHeight="false" outlineLevel="0" collapsed="false">
      <c r="A33" s="7" t="s">
        <v>77</v>
      </c>
      <c r="B33" s="7" t="s">
        <v>106</v>
      </c>
      <c r="C33" s="7" t="s">
        <v>107</v>
      </c>
      <c r="D33" s="7" t="s">
        <v>99</v>
      </c>
      <c r="E33" s="7" t="n">
        <v>10</v>
      </c>
      <c r="F33" s="7" t="n">
        <v>86</v>
      </c>
      <c r="G33" s="7" t="n">
        <v>574425</v>
      </c>
      <c r="H33" s="7" t="n">
        <v>2.8721</v>
      </c>
      <c r="I33" s="7" t="n">
        <v>0</v>
      </c>
      <c r="J33" s="7" t="n">
        <v>0</v>
      </c>
      <c r="K33" s="7" t="s">
        <v>100</v>
      </c>
      <c r="L33" s="7" t="n">
        <v>0</v>
      </c>
    </row>
    <row r="34" customFormat="false" ht="15" hidden="false" customHeight="false" outlineLevel="0" collapsed="false">
      <c r="A34" s="7" t="s">
        <v>77</v>
      </c>
      <c r="B34" s="7" t="s">
        <v>97</v>
      </c>
      <c r="C34" s="7" t="s">
        <v>98</v>
      </c>
      <c r="D34" s="7" t="s">
        <v>99</v>
      </c>
      <c r="E34" s="7" t="n">
        <v>20</v>
      </c>
      <c r="F34" s="7" t="n">
        <v>86</v>
      </c>
      <c r="G34" s="7" t="n">
        <v>150881</v>
      </c>
      <c r="H34" s="7" t="n">
        <v>0.7544</v>
      </c>
      <c r="I34" s="7" t="n">
        <v>0</v>
      </c>
      <c r="J34" s="7" t="n">
        <v>0</v>
      </c>
      <c r="K34" s="7" t="s">
        <v>100</v>
      </c>
      <c r="L34" s="7" t="n">
        <v>0</v>
      </c>
    </row>
    <row r="35" customFormat="false" ht="15" hidden="false" customHeight="false" outlineLevel="0" collapsed="false">
      <c r="A35" s="7" t="s">
        <v>77</v>
      </c>
      <c r="B35" s="7" t="s">
        <v>101</v>
      </c>
      <c r="C35" s="7" t="s">
        <v>98</v>
      </c>
      <c r="D35" s="7" t="s">
        <v>99</v>
      </c>
      <c r="E35" s="7" t="n">
        <v>20</v>
      </c>
      <c r="F35" s="7" t="n">
        <v>86</v>
      </c>
      <c r="G35" s="7" t="n">
        <v>75870</v>
      </c>
      <c r="H35" s="7" t="n">
        <v>0.3793</v>
      </c>
      <c r="I35" s="7" t="n">
        <v>0</v>
      </c>
      <c r="J35" s="7" t="n">
        <v>0</v>
      </c>
      <c r="K35" s="7" t="s">
        <v>100</v>
      </c>
      <c r="L35" s="7" t="n">
        <v>0</v>
      </c>
    </row>
    <row r="36" customFormat="false" ht="15" hidden="false" customHeight="false" outlineLevel="0" collapsed="false">
      <c r="A36" s="7" t="s">
        <v>77</v>
      </c>
      <c r="B36" s="7" t="s">
        <v>102</v>
      </c>
      <c r="C36" s="7" t="s">
        <v>103</v>
      </c>
      <c r="D36" s="7" t="s">
        <v>104</v>
      </c>
      <c r="E36" s="7" t="n">
        <v>20</v>
      </c>
      <c r="F36" s="7" t="n">
        <v>86</v>
      </c>
      <c r="G36" s="7" t="n">
        <v>142123</v>
      </c>
      <c r="H36" s="7" t="n">
        <v>0.7106</v>
      </c>
      <c r="I36" s="7" t="n">
        <v>-555725</v>
      </c>
      <c r="J36" s="7" t="n">
        <v>-79.63</v>
      </c>
      <c r="K36" s="7" t="s">
        <v>108</v>
      </c>
      <c r="L36" s="7" t="n">
        <v>0.199996964</v>
      </c>
    </row>
    <row r="37" customFormat="false" ht="15" hidden="false" customHeight="false" outlineLevel="0" collapsed="false">
      <c r="A37" s="7" t="s">
        <v>77</v>
      </c>
      <c r="B37" s="7" t="s">
        <v>106</v>
      </c>
      <c r="C37" s="7" t="s">
        <v>107</v>
      </c>
      <c r="D37" s="7" t="s">
        <v>99</v>
      </c>
      <c r="E37" s="7" t="n">
        <v>20</v>
      </c>
      <c r="F37" s="7" t="n">
        <v>86</v>
      </c>
      <c r="G37" s="7" t="n">
        <v>574425</v>
      </c>
      <c r="H37" s="7" t="n">
        <v>2.8721</v>
      </c>
      <c r="I37" s="7" t="n">
        <v>0</v>
      </c>
      <c r="J37" s="7" t="n">
        <v>0</v>
      </c>
      <c r="K37" s="7" t="s">
        <v>100</v>
      </c>
      <c r="L37" s="7" t="n">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10"/>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3" min="2" style="0" width="13"/>
  </cols>
  <sheetData>
    <row r="1" customFormat="false" ht="15" hidden="false" customHeight="false" outlineLevel="0" collapsed="false">
      <c r="A1" s="6" t="s">
        <v>41</v>
      </c>
      <c r="B1" s="6" t="s">
        <v>87</v>
      </c>
      <c r="C1" s="6" t="s">
        <v>45</v>
      </c>
      <c r="D1" s="6" t="s">
        <v>47</v>
      </c>
      <c r="E1" s="6" t="s">
        <v>90</v>
      </c>
      <c r="F1" s="6" t="s">
        <v>109</v>
      </c>
      <c r="G1" s="6" t="s">
        <v>110</v>
      </c>
      <c r="H1" s="6" t="s">
        <v>111</v>
      </c>
      <c r="I1" s="6" t="s">
        <v>112</v>
      </c>
      <c r="J1" s="6" t="s">
        <v>113</v>
      </c>
      <c r="K1" s="6" t="s">
        <v>114</v>
      </c>
      <c r="L1" s="6" t="s">
        <v>115</v>
      </c>
      <c r="M1" s="6" t="s">
        <v>116</v>
      </c>
      <c r="N1" s="6" t="s">
        <v>117</v>
      </c>
      <c r="O1" s="6" t="s">
        <v>118</v>
      </c>
      <c r="P1" s="6" t="s">
        <v>119</v>
      </c>
      <c r="Q1" s="6" t="s">
        <v>120</v>
      </c>
      <c r="R1" s="6" t="s">
        <v>121</v>
      </c>
      <c r="S1" s="6" t="s">
        <v>122</v>
      </c>
      <c r="T1" s="6" t="s">
        <v>123</v>
      </c>
      <c r="U1" s="6" t="s">
        <v>124</v>
      </c>
      <c r="V1" s="6" t="s">
        <v>125</v>
      </c>
      <c r="W1" s="6" t="s">
        <v>126</v>
      </c>
    </row>
    <row r="2" customFormat="false" ht="15" hidden="false" customHeight="false" outlineLevel="0" collapsed="false">
      <c r="A2" s="7" t="s">
        <v>77</v>
      </c>
      <c r="B2" s="7" t="s">
        <v>102</v>
      </c>
      <c r="C2" s="7" t="n">
        <v>0</v>
      </c>
      <c r="D2" s="7" t="n">
        <v>200001</v>
      </c>
      <c r="E2" s="7" t="n">
        <v>86</v>
      </c>
      <c r="F2" s="7" t="n">
        <v>1600008</v>
      </c>
      <c r="G2" s="7" t="n">
        <v>64</v>
      </c>
      <c r="H2" s="7" t="n">
        <v>1598460</v>
      </c>
      <c r="I2" s="7" t="n">
        <v>63.9381</v>
      </c>
      <c r="J2" s="7" t="n">
        <v>1.001</v>
      </c>
      <c r="K2" s="7" t="n">
        <v>1548</v>
      </c>
      <c r="L2" s="7" t="n">
        <v>1600008</v>
      </c>
      <c r="M2" s="7" t="n">
        <v>64</v>
      </c>
      <c r="N2" s="7" t="n">
        <v>1</v>
      </c>
      <c r="O2" s="7" t="n">
        <v>672816</v>
      </c>
      <c r="P2" s="7" t="n">
        <v>26.9125</v>
      </c>
      <c r="Q2" s="7" t="n">
        <v>2.3781</v>
      </c>
      <c r="R2" s="7" t="n">
        <v>927192</v>
      </c>
      <c r="S2" s="7" t="n">
        <v>57.949</v>
      </c>
      <c r="T2" s="7" t="n">
        <v>86</v>
      </c>
      <c r="U2" s="7" t="n">
        <v>1</v>
      </c>
      <c r="V2" s="7" t="n">
        <v>1</v>
      </c>
      <c r="W2" s="7" t="n">
        <v>2.3781</v>
      </c>
    </row>
    <row r="3" customFormat="false" ht="15" hidden="false" customHeight="false" outlineLevel="0" collapsed="false">
      <c r="A3" s="7" t="s">
        <v>77</v>
      </c>
      <c r="B3" s="7" t="s">
        <v>102</v>
      </c>
      <c r="C3" s="7" t="n">
        <v>0.01</v>
      </c>
      <c r="D3" s="7" t="n">
        <v>200001</v>
      </c>
      <c r="E3" s="7" t="n">
        <v>86</v>
      </c>
      <c r="F3" s="7" t="n">
        <v>1600008</v>
      </c>
      <c r="G3" s="7" t="n">
        <v>64</v>
      </c>
      <c r="H3" s="7" t="n">
        <v>398834</v>
      </c>
      <c r="I3" s="7" t="n">
        <v>15.9533</v>
      </c>
      <c r="J3" s="7" t="n">
        <v>4.0117</v>
      </c>
      <c r="K3" s="7" t="n">
        <v>1548</v>
      </c>
      <c r="L3" s="7" t="n">
        <v>400382</v>
      </c>
      <c r="M3" s="7" t="n">
        <v>16.0152</v>
      </c>
      <c r="N3" s="7" t="n">
        <v>3.9962</v>
      </c>
      <c r="O3" s="7" t="n">
        <v>379355</v>
      </c>
      <c r="P3" s="7" t="n">
        <v>15.1741</v>
      </c>
      <c r="Q3" s="7" t="n">
        <v>4.2177</v>
      </c>
      <c r="R3" s="7" t="n">
        <v>21027</v>
      </c>
      <c r="S3" s="7" t="n">
        <v>5.252</v>
      </c>
      <c r="T3" s="7" t="n">
        <v>82</v>
      </c>
      <c r="U3" s="7" t="n">
        <v>0.9535</v>
      </c>
      <c r="V3" s="7" t="n">
        <v>3.9962</v>
      </c>
      <c r="W3" s="7" t="n">
        <v>1.0554</v>
      </c>
    </row>
    <row r="4" customFormat="false" ht="15" hidden="false" customHeight="false" outlineLevel="0" collapsed="false">
      <c r="A4" s="7" t="s">
        <v>77</v>
      </c>
      <c r="B4" s="7" t="s">
        <v>102</v>
      </c>
      <c r="C4" s="7" t="n">
        <v>0.1</v>
      </c>
      <c r="D4" s="7" t="n">
        <v>200001</v>
      </c>
      <c r="E4" s="7" t="n">
        <v>86</v>
      </c>
      <c r="F4" s="7" t="n">
        <v>1600008</v>
      </c>
      <c r="G4" s="7" t="n">
        <v>64</v>
      </c>
      <c r="H4" s="7" t="n">
        <v>312184</v>
      </c>
      <c r="I4" s="7" t="n">
        <v>12.4873</v>
      </c>
      <c r="J4" s="7" t="n">
        <v>5.1252</v>
      </c>
      <c r="K4" s="7" t="n">
        <v>1548</v>
      </c>
      <c r="L4" s="7" t="n">
        <v>313732</v>
      </c>
      <c r="M4" s="7" t="n">
        <v>12.5492</v>
      </c>
      <c r="N4" s="7" t="n">
        <v>5.0999</v>
      </c>
      <c r="O4" s="7" t="n">
        <v>310346</v>
      </c>
      <c r="P4" s="7" t="n">
        <v>12.4138</v>
      </c>
      <c r="Q4" s="7" t="n">
        <v>5.1556</v>
      </c>
      <c r="R4" s="7" t="n">
        <v>3386</v>
      </c>
      <c r="S4" s="7" t="n">
        <v>1.079</v>
      </c>
      <c r="T4" s="7" t="n">
        <v>44</v>
      </c>
      <c r="U4" s="7" t="n">
        <v>0.5116</v>
      </c>
      <c r="V4" s="7" t="n">
        <v>5.0999</v>
      </c>
      <c r="W4" s="7" t="n">
        <v>1.0109</v>
      </c>
    </row>
    <row r="5" customFormat="false" ht="15" hidden="false" customHeight="false" outlineLevel="0" collapsed="false">
      <c r="A5" s="7" t="s">
        <v>77</v>
      </c>
      <c r="B5" s="7" t="s">
        <v>102</v>
      </c>
      <c r="C5" s="7" t="n">
        <v>0.5</v>
      </c>
      <c r="D5" s="7" t="n">
        <v>200001</v>
      </c>
      <c r="E5" s="7" t="n">
        <v>86</v>
      </c>
      <c r="F5" s="7" t="n">
        <v>1600008</v>
      </c>
      <c r="G5" s="7" t="n">
        <v>64</v>
      </c>
      <c r="H5" s="7" t="n">
        <v>251817</v>
      </c>
      <c r="I5" s="7" t="n">
        <v>10.0726</v>
      </c>
      <c r="J5" s="7" t="n">
        <v>6.3539</v>
      </c>
      <c r="K5" s="7" t="n">
        <v>1548</v>
      </c>
      <c r="L5" s="7" t="n">
        <v>253365</v>
      </c>
      <c r="M5" s="7" t="n">
        <v>10.1345</v>
      </c>
      <c r="N5" s="7" t="n">
        <v>6.315</v>
      </c>
      <c r="O5" s="7" t="n">
        <v>250875</v>
      </c>
      <c r="P5" s="7" t="n">
        <v>10.0349</v>
      </c>
      <c r="Q5" s="7" t="n">
        <v>6.3777</v>
      </c>
      <c r="R5" s="7" t="n">
        <v>2490</v>
      </c>
      <c r="S5" s="7" t="n">
        <v>0.983</v>
      </c>
      <c r="T5" s="7" t="n">
        <v>35</v>
      </c>
      <c r="U5" s="7" t="n">
        <v>0.407</v>
      </c>
      <c r="V5" s="7" t="n">
        <v>6.315</v>
      </c>
      <c r="W5" s="7" t="n">
        <v>1.0099</v>
      </c>
    </row>
    <row r="6" customFormat="false" ht="15" hidden="false" customHeight="false" outlineLevel="0" collapsed="false">
      <c r="A6" s="7" t="s">
        <v>77</v>
      </c>
      <c r="B6" s="7" t="s">
        <v>102</v>
      </c>
      <c r="C6" s="7" t="n">
        <v>1</v>
      </c>
      <c r="D6" s="7" t="n">
        <v>200001</v>
      </c>
      <c r="E6" s="7" t="n">
        <v>86</v>
      </c>
      <c r="F6" s="7" t="n">
        <v>1600008</v>
      </c>
      <c r="G6" s="7" t="n">
        <v>64</v>
      </c>
      <c r="H6" s="7" t="n">
        <v>226791</v>
      </c>
      <c r="I6" s="7" t="n">
        <v>9.0716</v>
      </c>
      <c r="J6" s="7" t="n">
        <v>7.055</v>
      </c>
      <c r="K6" s="7" t="n">
        <v>1548</v>
      </c>
      <c r="L6" s="7" t="n">
        <v>228339</v>
      </c>
      <c r="M6" s="7" t="n">
        <v>9.1335</v>
      </c>
      <c r="N6" s="7" t="n">
        <v>7.0072</v>
      </c>
      <c r="O6" s="7" t="n">
        <v>227580</v>
      </c>
      <c r="P6" s="7" t="n">
        <v>9.1032</v>
      </c>
      <c r="Q6" s="7" t="n">
        <v>7.0305</v>
      </c>
      <c r="R6" s="7" t="n">
        <v>759</v>
      </c>
      <c r="S6" s="7" t="n">
        <v>0.332</v>
      </c>
      <c r="T6" s="7" t="n">
        <v>10</v>
      </c>
      <c r="U6" s="7" t="n">
        <v>0.1163</v>
      </c>
      <c r="V6" s="7" t="n">
        <v>7.0072</v>
      </c>
      <c r="W6" s="7" t="n">
        <v>1.0033</v>
      </c>
    </row>
    <row r="7" customFormat="false" ht="15" hidden="false" customHeight="false" outlineLevel="0" collapsed="false">
      <c r="A7" s="7" t="s">
        <v>77</v>
      </c>
      <c r="B7" s="7" t="s">
        <v>102</v>
      </c>
      <c r="C7" s="7" t="n">
        <v>2</v>
      </c>
      <c r="D7" s="7" t="n">
        <v>200001</v>
      </c>
      <c r="E7" s="7" t="n">
        <v>86</v>
      </c>
      <c r="F7" s="7" t="n">
        <v>1600008</v>
      </c>
      <c r="G7" s="7" t="n">
        <v>64</v>
      </c>
      <c r="H7" s="7" t="n">
        <v>201759</v>
      </c>
      <c r="I7" s="7" t="n">
        <v>8.0703</v>
      </c>
      <c r="J7" s="7" t="n">
        <v>7.9303</v>
      </c>
      <c r="K7" s="7" t="n">
        <v>1548</v>
      </c>
      <c r="L7" s="7" t="n">
        <v>203307</v>
      </c>
      <c r="M7" s="7" t="n">
        <v>8.1322</v>
      </c>
      <c r="N7" s="7" t="n">
        <v>7.8699</v>
      </c>
      <c r="O7" s="7" t="n">
        <v>167360</v>
      </c>
      <c r="P7" s="7" t="n">
        <v>6.6944</v>
      </c>
      <c r="Q7" s="7" t="n">
        <v>9.5603</v>
      </c>
      <c r="R7" s="7" t="n">
        <v>35947</v>
      </c>
      <c r="S7" s="7" t="n">
        <v>17.681</v>
      </c>
      <c r="T7" s="7" t="n">
        <v>80</v>
      </c>
      <c r="U7" s="7" t="n">
        <v>0.9302</v>
      </c>
      <c r="V7" s="7" t="n">
        <v>7.8699</v>
      </c>
      <c r="W7" s="7" t="n">
        <v>1.2148</v>
      </c>
    </row>
    <row r="8" customFormat="false" ht="15" hidden="false" customHeight="false" outlineLevel="0" collapsed="false">
      <c r="A8" s="7" t="s">
        <v>77</v>
      </c>
      <c r="B8" s="7" t="s">
        <v>102</v>
      </c>
      <c r="C8" s="7" t="n">
        <v>5</v>
      </c>
      <c r="D8" s="7" t="n">
        <v>200001</v>
      </c>
      <c r="E8" s="7" t="n">
        <v>86</v>
      </c>
      <c r="F8" s="7" t="n">
        <v>1600008</v>
      </c>
      <c r="G8" s="7" t="n">
        <v>64</v>
      </c>
      <c r="H8" s="7" t="n">
        <v>174468</v>
      </c>
      <c r="I8" s="7" t="n">
        <v>6.9787</v>
      </c>
      <c r="J8" s="7" t="n">
        <v>9.1708</v>
      </c>
      <c r="K8" s="7" t="n">
        <v>1548</v>
      </c>
      <c r="L8" s="7" t="n">
        <v>176016</v>
      </c>
      <c r="M8" s="7" t="n">
        <v>7.0406</v>
      </c>
      <c r="N8" s="7" t="n">
        <v>9.0901</v>
      </c>
      <c r="O8" s="7" t="n">
        <v>173850</v>
      </c>
      <c r="P8" s="7" t="n">
        <v>6.954</v>
      </c>
      <c r="Q8" s="7" t="n">
        <v>9.2034</v>
      </c>
      <c r="R8" s="7" t="n">
        <v>2166</v>
      </c>
      <c r="S8" s="7" t="n">
        <v>1.231</v>
      </c>
      <c r="T8" s="7" t="n">
        <v>37</v>
      </c>
      <c r="U8" s="7" t="n">
        <v>0.4302</v>
      </c>
      <c r="V8" s="7" t="n">
        <v>9.0901</v>
      </c>
      <c r="W8" s="7" t="n">
        <v>1.0125</v>
      </c>
    </row>
    <row r="9" customFormat="false" ht="15" hidden="false" customHeight="false" outlineLevel="0" collapsed="false">
      <c r="A9" s="7" t="s">
        <v>77</v>
      </c>
      <c r="B9" s="7" t="s">
        <v>102</v>
      </c>
      <c r="C9" s="7" t="n">
        <v>10</v>
      </c>
      <c r="D9" s="7" t="n">
        <v>200001</v>
      </c>
      <c r="E9" s="7" t="n">
        <v>86</v>
      </c>
      <c r="F9" s="7" t="n">
        <v>1600008</v>
      </c>
      <c r="G9" s="7" t="n">
        <v>64</v>
      </c>
      <c r="H9" s="7" t="n">
        <v>150022</v>
      </c>
      <c r="I9" s="7" t="n">
        <v>6.0008</v>
      </c>
      <c r="J9" s="7" t="n">
        <v>10.6652</v>
      </c>
      <c r="K9" s="7" t="n">
        <v>1548</v>
      </c>
      <c r="L9" s="7" t="n">
        <v>151570</v>
      </c>
      <c r="M9" s="7" t="n">
        <v>6.0628</v>
      </c>
      <c r="N9" s="7" t="n">
        <v>10.5562</v>
      </c>
      <c r="O9" s="7" t="n">
        <v>133410</v>
      </c>
      <c r="P9" s="7" t="n">
        <v>5.3364</v>
      </c>
      <c r="Q9" s="7" t="n">
        <v>11.9932</v>
      </c>
      <c r="R9" s="7" t="n">
        <v>18160</v>
      </c>
      <c r="S9" s="7" t="n">
        <v>11.981</v>
      </c>
      <c r="T9" s="7" t="n">
        <v>86</v>
      </c>
      <c r="U9" s="7" t="n">
        <v>1</v>
      </c>
      <c r="V9" s="7" t="n">
        <v>10.5562</v>
      </c>
      <c r="W9" s="7" t="n">
        <v>1.1361</v>
      </c>
    </row>
    <row r="10" customFormat="false" ht="15" hidden="false" customHeight="false" outlineLevel="0" collapsed="false">
      <c r="A10" s="7" t="s">
        <v>77</v>
      </c>
      <c r="B10" s="7" t="s">
        <v>102</v>
      </c>
      <c r="C10" s="7" t="n">
        <v>20</v>
      </c>
      <c r="D10" s="7" t="n">
        <v>200001</v>
      </c>
      <c r="E10" s="7" t="n">
        <v>86</v>
      </c>
      <c r="F10" s="7" t="n">
        <v>1600008</v>
      </c>
      <c r="G10" s="7" t="n">
        <v>64</v>
      </c>
      <c r="H10" s="7" t="n">
        <v>125075</v>
      </c>
      <c r="I10" s="7" t="n">
        <v>5.003</v>
      </c>
      <c r="J10" s="7" t="n">
        <v>12.7924</v>
      </c>
      <c r="K10" s="7" t="n">
        <v>1548</v>
      </c>
      <c r="L10" s="7" t="n">
        <v>126623</v>
      </c>
      <c r="M10" s="7" t="n">
        <v>5.0649</v>
      </c>
      <c r="N10" s="7" t="n">
        <v>12.636</v>
      </c>
      <c r="O10" s="7" t="n">
        <v>117091</v>
      </c>
      <c r="P10" s="7" t="n">
        <v>4.6836</v>
      </c>
      <c r="Q10" s="7" t="n">
        <v>13.6647</v>
      </c>
      <c r="R10" s="7" t="n">
        <v>9532</v>
      </c>
      <c r="S10" s="7" t="n">
        <v>7.528</v>
      </c>
      <c r="T10" s="7" t="n">
        <v>86</v>
      </c>
      <c r="U10" s="7" t="n">
        <v>1</v>
      </c>
      <c r="V10" s="7" t="n">
        <v>12.636</v>
      </c>
      <c r="W10" s="7" t="n">
        <v>1.0814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7"/>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5" min="2" style="0" width="12"/>
  </cols>
  <sheetData>
    <row r="1" customFormat="false" ht="15" hidden="false" customHeight="false" outlineLevel="0" collapsed="false">
      <c r="A1" s="8" t="s">
        <v>127</v>
      </c>
    </row>
    <row r="2" customFormat="false" ht="15" hidden="false" customHeight="false" outlineLevel="0" collapsed="false">
      <c r="A2" s="2" t="s">
        <v>128</v>
      </c>
    </row>
    <row r="4" customFormat="false" ht="15" hidden="false" customHeight="false" outlineLevel="0" collapsed="false">
      <c r="A4" s="3" t="s">
        <v>129</v>
      </c>
      <c r="B4" s="4"/>
      <c r="C4" s="4"/>
      <c r="D4" s="4"/>
      <c r="E4" s="4"/>
      <c r="F4" s="4"/>
    </row>
    <row r="5" customFormat="false" ht="15" hidden="false" customHeight="false" outlineLevel="0" collapsed="false">
      <c r="A5" s="2" t="s">
        <v>130</v>
      </c>
    </row>
    <row r="6" customFormat="false" ht="15" hidden="false" customHeight="false" outlineLevel="0" collapsed="false">
      <c r="A6" s="6" t="s">
        <v>131</v>
      </c>
      <c r="B6" s="6" t="s">
        <v>132</v>
      </c>
      <c r="C6" s="6" t="s">
        <v>133</v>
      </c>
      <c r="D6" s="6" t="s">
        <v>134</v>
      </c>
      <c r="E6" s="6" t="s">
        <v>135</v>
      </c>
      <c r="F6" s="6" t="s">
        <v>136</v>
      </c>
    </row>
    <row r="7" customFormat="false" ht="15" hidden="false" customHeight="false" outlineLevel="0" collapsed="false">
      <c r="A7" s="7" t="s">
        <v>82</v>
      </c>
      <c r="B7" s="9" t="n">
        <f aca="false">SUMIFS(Standalone!$P:$P,Standalone!$C:$C,"MemoryStore",Standalone!$E:$E,"",Standalone!$F:$F,16)</f>
        <v>1</v>
      </c>
      <c r="C7" s="9" t="n">
        <f aca="false">SUMIFS(Standalone!$P:$P,Standalone!$C:$C,"MemoryStore",Standalone!$E:$E,"",Standalone!$F:$F,64)</f>
        <v>1</v>
      </c>
      <c r="D7" s="9" t="n">
        <f aca="false">SUMIFS(Standalone!$P:$P,Standalone!$C:$C,"MemoryStore",Standalone!$E:$E,"",Standalone!$F:$F,256)</f>
        <v>1</v>
      </c>
      <c r="E7" s="9" t="n">
        <f aca="false">SUMIFS(Standalone!$P:$P,Standalone!$C:$C,"MemoryStore",Standalone!$E:$E,"",Standalone!$F:$F,1024)</f>
        <v>1</v>
      </c>
      <c r="F7" s="9" t="n">
        <f aca="false">SUMIFS(Standalone!$P:$P,Standalone!$C:$C,"MemoryStore",Standalone!$E:$E,"",Standalone!$F:$F,4096)</f>
        <v>1</v>
      </c>
    </row>
    <row r="8" customFormat="false" ht="15" hidden="false" customHeight="false" outlineLevel="0" collapsed="false">
      <c r="A8" s="7" t="s">
        <v>83</v>
      </c>
      <c r="B8" s="9" t="n">
        <f aca="false">SUMIFS(Standalone!$P:$P,Standalone!$C:$C,"FileStore",Standalone!$E:$E,"",Standalone!$F:$F,16)</f>
        <v>1</v>
      </c>
      <c r="C8" s="9" t="n">
        <f aca="false">SUMIFS(Standalone!$P:$P,Standalone!$C:$C,"FileStore",Standalone!$E:$E,"",Standalone!$F:$F,64)</f>
        <v>1</v>
      </c>
      <c r="D8" s="9" t="n">
        <f aca="false">SUMIFS(Standalone!$P:$P,Standalone!$C:$C,"FileStore",Standalone!$E:$E,"",Standalone!$F:$F,256)</f>
        <v>1</v>
      </c>
      <c r="E8" s="9" t="n">
        <f aca="false">SUMIFS(Standalone!$P:$P,Standalone!$C:$C,"FileStore",Standalone!$E:$E,"",Standalone!$F:$F,1024)</f>
        <v>1</v>
      </c>
      <c r="F8" s="9" t="n">
        <f aca="false">SUMIFS(Standalone!$P:$P,Standalone!$C:$C,"FileStore",Standalone!$E:$E,"",Standalone!$F:$F,4096)</f>
        <v>1</v>
      </c>
    </row>
    <row r="9" customFormat="false" ht="15" hidden="false" customHeight="false" outlineLevel="0" collapsed="false">
      <c r="A9" s="7" t="s">
        <v>79</v>
      </c>
      <c r="B9" s="9" t="n">
        <f aca="false">SUMIFS(Standalone!$P:$P,Standalone!$C:$C,"CompressedStore",Standalone!$E:$E,"",Standalone!$F:$F,16)</f>
        <v>3.1662</v>
      </c>
      <c r="C9" s="9" t="n">
        <f aca="false">SUMIFS(Standalone!$P:$P,Standalone!$C:$C,"CompressedStore",Standalone!$E:$E,"",Standalone!$F:$F,64)</f>
        <v>3.2567</v>
      </c>
      <c r="D9" s="9" t="n">
        <f aca="false">SUMIFS(Standalone!$P:$P,Standalone!$C:$C,"CompressedStore",Standalone!$E:$E,"",Standalone!$F:$F,256)</f>
        <v>3.2682</v>
      </c>
      <c r="E9" s="9" t="n">
        <f aca="false">SUMIFS(Standalone!$P:$P,Standalone!$C:$C,"CompressedStore",Standalone!$E:$E,"",Standalone!$F:$F,1024)</f>
        <v>3.2661</v>
      </c>
      <c r="F9" s="9" t="n">
        <f aca="false">SUMIFS(Standalone!$P:$P,Standalone!$C:$C,"CompressedStore",Standalone!$E:$E,"",Standalone!$F:$F,4096)</f>
        <v>3.27</v>
      </c>
    </row>
    <row r="10" customFormat="false" ht="15" hidden="false" customHeight="false" outlineLevel="0" collapsed="false">
      <c r="A10" s="7" t="s">
        <v>137</v>
      </c>
      <c r="B10" s="9" t="n">
        <f aca="false">SUMIFS(Standalone!$P:$P,Standalone!$C:$C,"LossyStore",Standalone!$E:$E,"",Standalone!$F:$F,16)</f>
        <v>4.6408</v>
      </c>
      <c r="C10" s="9" t="n">
        <f aca="false">SUMIFS(Standalone!$P:$P,Standalone!$C:$C,"LossyStore",Standalone!$E:$E,"",Standalone!$F:$F,64)</f>
        <v>3.7358</v>
      </c>
      <c r="D10" s="9" t="n">
        <f aca="false">SUMIFS(Standalone!$P:$P,Standalone!$C:$C,"LossyStore",Standalone!$E:$E,"",Standalone!$F:$F,256)</f>
        <v>4.1013</v>
      </c>
      <c r="E10" s="9" t="n">
        <f aca="false">SUMIFS(Standalone!$P:$P,Standalone!$C:$C,"LossyStore",Standalone!$E:$E,"",Standalone!$F:$F,1024)</f>
        <v>3.5885</v>
      </c>
      <c r="F10" s="9" t="n">
        <f aca="false">SUMIFS(Standalone!$P:$P,Standalone!$C:$C,"LossyStore",Standalone!$E:$E,"",Standalone!$F:$F,4096)</f>
        <v>4.4958</v>
      </c>
    </row>
    <row r="11" customFormat="false" ht="15" hidden="false" customHeight="false" outlineLevel="0" collapsed="false">
      <c r="A11" s="7" t="s">
        <v>138</v>
      </c>
      <c r="B11" s="9" t="n">
        <f aca="false">SUMIFS(Standalone!$P:$P,Standalone!$C:$C,"LossyStore",Standalone!$E:$E,0.1,Standalone!$F:$F,16)</f>
        <v>6.9234</v>
      </c>
      <c r="C11" s="9" t="n">
        <f aca="false">SUMIFS(Standalone!$P:$P,Standalone!$C:$C,"LossyStore",Standalone!$E:$E,0.1,Standalone!$F:$F,64)</f>
        <v>4.9272</v>
      </c>
      <c r="D11" s="9" t="n">
        <f aca="false">SUMIFS(Standalone!$P:$P,Standalone!$C:$C,"LossyStore",Standalone!$E:$E,0.1,Standalone!$F:$F,256)</f>
        <v>5.4988</v>
      </c>
      <c r="E11" s="9" t="n">
        <f aca="false">SUMIFS(Standalone!$P:$P,Standalone!$C:$C,"LossyStore",Standalone!$E:$E,0.1,Standalone!$F:$F,1024)</f>
        <v>4.6148</v>
      </c>
      <c r="F11" s="9" t="n">
        <f aca="false">SUMIFS(Standalone!$P:$P,Standalone!$C:$C,"LossyStore",Standalone!$E:$E,0.1,Standalone!$F:$F,4096)</f>
        <v>6.2426</v>
      </c>
    </row>
    <row r="12" customFormat="false" ht="15" hidden="false" customHeight="false" outlineLevel="0" collapsed="false">
      <c r="A12" s="7" t="s">
        <v>139</v>
      </c>
      <c r="B12" s="9" t="n">
        <f aca="false">SUMIFS(Standalone!$P:$P,Standalone!$C:$C,"LossyStore",Standalone!$E:$E,1,Standalone!$F:$F,16)</f>
        <v>7.6704</v>
      </c>
      <c r="C12" s="9" t="n">
        <f aca="false">SUMIFS(Standalone!$P:$P,Standalone!$C:$C,"LossyStore",Standalone!$E:$E,1,Standalone!$F:$F,64)</f>
        <v>5.3142</v>
      </c>
      <c r="D12" s="9" t="n">
        <f aca="false">SUMIFS(Standalone!$P:$P,Standalone!$C:$C,"LossyStore",Standalone!$E:$E,1,Standalone!$F:$F,256)</f>
        <v>6.0861</v>
      </c>
      <c r="E12" s="9" t="n">
        <f aca="false">SUMIFS(Standalone!$P:$P,Standalone!$C:$C,"LossyStore",Standalone!$E:$E,1,Standalone!$F:$F,1024)</f>
        <v>4.996</v>
      </c>
      <c r="F12" s="9" t="n">
        <f aca="false">SUMIFS(Standalone!$P:$P,Standalone!$C:$C,"LossyStore",Standalone!$E:$E,1,Standalone!$F:$F,4096)</f>
        <v>6.9393</v>
      </c>
    </row>
    <row r="13" customFormat="false" ht="15" hidden="false" customHeight="false" outlineLevel="0" collapsed="false">
      <c r="A13" s="7" t="s">
        <v>140</v>
      </c>
      <c r="B13" s="9" t="n">
        <f aca="false">SUMIFS(Standalone!$P:$P,Standalone!$C:$C,"LossyStore",Standalone!$E:$E,5,Standalone!$F:$F,16)</f>
        <v>8.3247</v>
      </c>
      <c r="C13" s="9" t="n">
        <f aca="false">SUMIFS(Standalone!$P:$P,Standalone!$C:$C,"LossyStore",Standalone!$E:$E,5,Standalone!$F:$F,64)</f>
        <v>5.5997</v>
      </c>
      <c r="D13" s="9" t="n">
        <f aca="false">SUMIFS(Standalone!$P:$P,Standalone!$C:$C,"LossyStore",Standalone!$E:$E,5,Standalone!$F:$F,256)</f>
        <v>6.5037</v>
      </c>
      <c r="E13" s="9" t="n">
        <f aca="false">SUMIFS(Standalone!$P:$P,Standalone!$C:$C,"LossyStore",Standalone!$E:$E,5,Standalone!$F:$F,1024)</f>
        <v>5.3242</v>
      </c>
      <c r="F13" s="9" t="n">
        <f aca="false">SUMIFS(Standalone!$P:$P,Standalone!$C:$C,"LossyStore",Standalone!$E:$E,5,Standalone!$F:$F,4096)</f>
        <v>7.6174</v>
      </c>
    </row>
    <row r="15" customFormat="false" ht="15" hidden="false" customHeight="false" outlineLevel="0" collapsed="false">
      <c r="A15" s="10" t="s">
        <v>141</v>
      </c>
      <c r="B15" s="2" t="s">
        <v>142</v>
      </c>
    </row>
    <row r="16" customFormat="false" ht="15" hidden="false" customHeight="false" outlineLevel="0" collapsed="false">
      <c r="A16" s="10" t="s">
        <v>143</v>
      </c>
      <c r="B16" s="2" t="s">
        <v>144</v>
      </c>
    </row>
    <row r="18" customFormat="false" ht="15" hidden="false" customHeight="false" outlineLevel="0" collapsed="false">
      <c r="A18" s="3" t="s">
        <v>145</v>
      </c>
      <c r="B18" s="4"/>
      <c r="C18" s="4"/>
      <c r="D18" s="4"/>
      <c r="E18" s="4"/>
      <c r="F18" s="4"/>
    </row>
    <row r="19" customFormat="false" ht="15" hidden="false" customHeight="false" outlineLevel="0" collapsed="false">
      <c r="A19" s="2" t="s">
        <v>146</v>
      </c>
    </row>
    <row r="20" customFormat="false" ht="15" hidden="false" customHeight="false" outlineLevel="0" collapsed="false">
      <c r="A20" s="6" t="s">
        <v>131</v>
      </c>
      <c r="B20" s="6" t="s">
        <v>132</v>
      </c>
      <c r="C20" s="6" t="s">
        <v>133</v>
      </c>
      <c r="D20" s="6" t="s">
        <v>134</v>
      </c>
      <c r="E20" s="6" t="s">
        <v>135</v>
      </c>
      <c r="F20" s="6" t="s">
        <v>136</v>
      </c>
    </row>
    <row r="21" customFormat="false" ht="15" hidden="false" customHeight="false" outlineLevel="0" collapsed="false">
      <c r="A21" s="7" t="s">
        <v>82</v>
      </c>
      <c r="B21" s="11" t="n">
        <f aca="false">SUMIFS(Standalone!$Q:$Q,Standalone!$C:$C,"MemoryStore",Standalone!$E:$E,"",Standalone!$F:$F,16)</f>
        <v>0</v>
      </c>
      <c r="C21" s="11" t="n">
        <f aca="false">SUMIFS(Standalone!$Q:$Q,Standalone!$C:$C,"MemoryStore",Standalone!$E:$E,"",Standalone!$F:$F,64)</f>
        <v>0</v>
      </c>
      <c r="D21" s="11" t="n">
        <f aca="false">SUMIFS(Standalone!$Q:$Q,Standalone!$C:$C,"MemoryStore",Standalone!$E:$E,"",Standalone!$F:$F,256)</f>
        <v>0</v>
      </c>
      <c r="E21" s="11" t="n">
        <f aca="false">SUMIFS(Standalone!$Q:$Q,Standalone!$C:$C,"MemoryStore",Standalone!$E:$E,"",Standalone!$F:$F,1024)</f>
        <v>0</v>
      </c>
      <c r="F21" s="11" t="n">
        <f aca="false">SUMIFS(Standalone!$Q:$Q,Standalone!$C:$C,"MemoryStore",Standalone!$E:$E,"",Standalone!$F:$F,4096)</f>
        <v>0</v>
      </c>
    </row>
    <row r="22" customFormat="false" ht="15" hidden="false" customHeight="false" outlineLevel="0" collapsed="false">
      <c r="A22" s="7" t="s">
        <v>83</v>
      </c>
      <c r="B22" s="11" t="n">
        <f aca="false">SUMIFS(Standalone!$Q:$Q,Standalone!$C:$C,"FileStore",Standalone!$E:$E,"",Standalone!$F:$F,16)</f>
        <v>0.9962</v>
      </c>
      <c r="C22" s="11" t="n">
        <f aca="false">SUMIFS(Standalone!$Q:$Q,Standalone!$C:$C,"FileStore",Standalone!$E:$E,"",Standalone!$F:$F,64)</f>
        <v>0.999</v>
      </c>
      <c r="D22" s="11" t="n">
        <f aca="false">SUMIFS(Standalone!$Q:$Q,Standalone!$C:$C,"FileStore",Standalone!$E:$E,"",Standalone!$F:$F,256)</f>
        <v>0.9996</v>
      </c>
      <c r="E22" s="11" t="n">
        <f aca="false">SUMIFS(Standalone!$Q:$Q,Standalone!$C:$C,"FileStore",Standalone!$E:$E,"",Standalone!$F:$F,1024)</f>
        <v>0.9998</v>
      </c>
      <c r="F22" s="11" t="n">
        <f aca="false">SUMIFS(Standalone!$Q:$Q,Standalone!$C:$C,"FileStore",Standalone!$E:$E,"",Standalone!$F:$F,4096)</f>
        <v>0.9999</v>
      </c>
    </row>
    <row r="23" customFormat="false" ht="15" hidden="false" customHeight="false" outlineLevel="0" collapsed="false">
      <c r="A23" s="7" t="s">
        <v>79</v>
      </c>
      <c r="B23" s="11" t="n">
        <f aca="false">SUMIFS(Standalone!$Q:$Q,Standalone!$C:$C,"CompressedStore",Standalone!$E:$E,"",Standalone!$F:$F,16)</f>
        <v>3.1406</v>
      </c>
      <c r="C23" s="11" t="n">
        <f aca="false">SUMIFS(Standalone!$Q:$Q,Standalone!$C:$C,"CompressedStore",Standalone!$E:$E,"",Standalone!$F:$F,64)</f>
        <v>3.2493</v>
      </c>
      <c r="D23" s="11" t="n">
        <f aca="false">SUMIFS(Standalone!$Q:$Q,Standalone!$C:$C,"CompressedStore",Standalone!$E:$E,"",Standalone!$F:$F,256)</f>
        <v>3.2658</v>
      </c>
      <c r="E23" s="11" t="n">
        <f aca="false">SUMIFS(Standalone!$Q:$Q,Standalone!$C:$C,"CompressedStore",Standalone!$E:$E,"",Standalone!$F:$F,1024)</f>
        <v>3.2649</v>
      </c>
      <c r="F23" s="11" t="n">
        <f aca="false">SUMIFS(Standalone!$Q:$Q,Standalone!$C:$C,"CompressedStore",Standalone!$E:$E,"",Standalone!$F:$F,4096)</f>
        <v>3.2691</v>
      </c>
    </row>
    <row r="24" customFormat="false" ht="15" hidden="false" customHeight="false" outlineLevel="0" collapsed="false">
      <c r="A24" s="7" t="s">
        <v>137</v>
      </c>
      <c r="B24" s="11" t="n">
        <f aca="false">SUMIFS(Standalone!$Q:$Q,Standalone!$C:$C,"LossyStore",Standalone!$E:$E,"",Standalone!$F:$F,16)</f>
        <v>4.3486</v>
      </c>
      <c r="C24" s="11" t="n">
        <f aca="false">SUMIFS(Standalone!$Q:$Q,Standalone!$C:$C,"LossyStore",Standalone!$E:$E,"",Standalone!$F:$F,64)</f>
        <v>3.685</v>
      </c>
      <c r="D24" s="11" t="n">
        <f aca="false">SUMIFS(Standalone!$Q:$Q,Standalone!$C:$C,"LossyStore",Standalone!$E:$E,"",Standalone!$F:$F,256)</f>
        <v>4.0847</v>
      </c>
      <c r="E24" s="11" t="n">
        <f aca="false">SUMIFS(Standalone!$Q:$Q,Standalone!$C:$C,"LossyStore",Standalone!$E:$E,"",Standalone!$F:$F,1024)</f>
        <v>3.5843</v>
      </c>
      <c r="F24" s="11" t="n">
        <f aca="false">SUMIFS(Standalone!$Q:$Q,Standalone!$C:$C,"LossyStore",Standalone!$E:$E,"",Standalone!$F:$F,4096)</f>
        <v>4.4928</v>
      </c>
    </row>
    <row r="25" customFormat="false" ht="15" hidden="false" customHeight="false" outlineLevel="0" collapsed="false">
      <c r="A25" s="7" t="s">
        <v>138</v>
      </c>
      <c r="B25" s="11" t="n">
        <f aca="false">SUMIFS(Standalone!$Q:$Q,Standalone!$C:$C,"LossyStore",Standalone!$E:$E,0.1,Standalone!$F:$F,16)</f>
        <v>6.2926</v>
      </c>
      <c r="C25" s="11" t="n">
        <f aca="false">SUMIFS(Standalone!$Q:$Q,Standalone!$C:$C,"LossyStore",Standalone!$E:$E,0.1,Standalone!$F:$F,64)</f>
        <v>4.8392</v>
      </c>
      <c r="D25" s="11" t="n">
        <f aca="false">SUMIFS(Standalone!$Q:$Q,Standalone!$C:$C,"LossyStore",Standalone!$E:$E,0.1,Standalone!$F:$F,256)</f>
        <v>5.4689</v>
      </c>
      <c r="E25" s="11" t="n">
        <f aca="false">SUMIFS(Standalone!$Q:$Q,Standalone!$C:$C,"LossyStore",Standalone!$E:$E,0.1,Standalone!$F:$F,1024)</f>
        <v>4.608</v>
      </c>
      <c r="F25" s="11" t="n">
        <f aca="false">SUMIFS(Standalone!$Q:$Q,Standalone!$C:$C,"LossyStore",Standalone!$E:$E,0.1,Standalone!$F:$F,4096)</f>
        <v>6.2367</v>
      </c>
    </row>
    <row r="26" customFormat="false" ht="15" hidden="false" customHeight="false" outlineLevel="0" collapsed="false">
      <c r="A26" s="7" t="s">
        <v>139</v>
      </c>
      <c r="B26" s="11" t="n">
        <f aca="false">SUMIFS(Standalone!$Q:$Q,Standalone!$C:$C,"LossyStore",Standalone!$E:$E,1,Standalone!$F:$F,16)</f>
        <v>6.9036</v>
      </c>
      <c r="C26" s="11" t="n">
        <f aca="false">SUMIFS(Standalone!$Q:$Q,Standalone!$C:$C,"LossyStore",Standalone!$E:$E,1,Standalone!$F:$F,64)</f>
        <v>5.2119</v>
      </c>
      <c r="D26" s="11" t="n">
        <f aca="false">SUMIFS(Standalone!$Q:$Q,Standalone!$C:$C,"LossyStore",Standalone!$E:$E,1,Standalone!$F:$F,256)</f>
        <v>6.0494</v>
      </c>
      <c r="E26" s="11" t="n">
        <f aca="false">SUMIFS(Standalone!$Q:$Q,Standalone!$C:$C,"LossyStore",Standalone!$E:$E,1,Standalone!$F:$F,1024)</f>
        <v>4.988</v>
      </c>
      <c r="F26" s="11" t="n">
        <f aca="false">SUMIFS(Standalone!$Q:$Q,Standalone!$C:$C,"LossyStore",Standalone!$E:$E,1,Standalone!$F:$F,4096)</f>
        <v>6.932</v>
      </c>
    </row>
    <row r="27" customFormat="false" ht="15" hidden="false" customHeight="false" outlineLevel="0" collapsed="false">
      <c r="A27" s="7" t="s">
        <v>140</v>
      </c>
      <c r="B27" s="11" t="n">
        <f aca="false">SUMIFS(Standalone!$Q:$Q,Standalone!$C:$C,"LossyStore",Standalone!$E:$E,5,Standalone!$F:$F,16)</f>
        <v>7.4292</v>
      </c>
      <c r="C27" s="11" t="n">
        <f aca="false">SUMIFS(Standalone!$Q:$Q,Standalone!$C:$C,"LossyStore",Standalone!$E:$E,5,Standalone!$F:$F,64)</f>
        <v>5.4863</v>
      </c>
      <c r="D27" s="11" t="n">
        <f aca="false">SUMIFS(Standalone!$Q:$Q,Standalone!$C:$C,"LossyStore",Standalone!$E:$E,5,Standalone!$F:$F,256)</f>
        <v>6.4619</v>
      </c>
      <c r="E27" s="11" t="n">
        <f aca="false">SUMIFS(Standalone!$Q:$Q,Standalone!$C:$C,"LossyStore",Standalone!$E:$E,5,Standalone!$F:$F,1024)</f>
        <v>5.3151</v>
      </c>
      <c r="F27" s="11" t="n">
        <f aca="false">SUMIFS(Standalone!$Q:$Q,Standalone!$C:$C,"LossyStore",Standalone!$E:$E,5,Standalone!$F:$F,4096)</f>
        <v>7.6086</v>
      </c>
    </row>
    <row r="29" customFormat="false" ht="15" hidden="false" customHeight="false" outlineLevel="0" collapsed="false">
      <c r="A29" s="10" t="s">
        <v>141</v>
      </c>
      <c r="B29" s="2" t="s">
        <v>147</v>
      </c>
    </row>
    <row r="30" customFormat="false" ht="15" hidden="false" customHeight="false" outlineLevel="0" collapsed="false">
      <c r="A30" s="10" t="s">
        <v>143</v>
      </c>
      <c r="B30" s="2" t="s">
        <v>148</v>
      </c>
    </row>
    <row r="31" customFormat="false" ht="15" hidden="false" customHeight="false" outlineLevel="0" collapsed="false">
      <c r="A31" s="2" t="s">
        <v>149</v>
      </c>
    </row>
    <row r="33" customFormat="false" ht="15" hidden="false" customHeight="false" outlineLevel="0" collapsed="false">
      <c r="A33" s="3" t="s">
        <v>150</v>
      </c>
      <c r="B33" s="4"/>
      <c r="C33" s="4"/>
      <c r="D33" s="4"/>
      <c r="E33" s="4"/>
      <c r="F33" s="4"/>
    </row>
    <row r="34" customFormat="false" ht="15" hidden="false" customHeight="false" outlineLevel="0" collapsed="false">
      <c r="A34" s="2" t="s">
        <v>151</v>
      </c>
    </row>
    <row r="35" customFormat="false" ht="15" hidden="false" customHeight="false" outlineLevel="0" collapsed="false">
      <c r="A35" s="6" t="s">
        <v>131</v>
      </c>
      <c r="B35" s="6" t="s">
        <v>132</v>
      </c>
      <c r="C35" s="6" t="s">
        <v>133</v>
      </c>
      <c r="D35" s="6" t="s">
        <v>134</v>
      </c>
      <c r="E35" s="6" t="s">
        <v>135</v>
      </c>
      <c r="F35" s="6" t="s">
        <v>136</v>
      </c>
    </row>
    <row r="36" customFormat="false" ht="15" hidden="false" customHeight="false" outlineLevel="0" collapsed="false">
      <c r="A36" s="7" t="s">
        <v>82</v>
      </c>
      <c r="B36" s="12" t="n">
        <f aca="false">SUMIFS(Standalone!$N:$N,Standalone!$C:$C,"MemoryStore",Standalone!$E:$E,"",Standalone!$F:$F,16)</f>
        <v>0</v>
      </c>
      <c r="C36" s="12" t="n">
        <f aca="false">SUMIFS(Standalone!$N:$N,Standalone!$C:$C,"MemoryStore",Standalone!$E:$E,"",Standalone!$F:$F,64)</f>
        <v>0</v>
      </c>
      <c r="D36" s="12" t="n">
        <f aca="false">SUMIFS(Standalone!$N:$N,Standalone!$C:$C,"MemoryStore",Standalone!$E:$E,"",Standalone!$F:$F,256)</f>
        <v>0</v>
      </c>
      <c r="E36" s="12" t="n">
        <f aca="false">SUMIFS(Standalone!$N:$N,Standalone!$C:$C,"MemoryStore",Standalone!$E:$E,"",Standalone!$F:$F,1024)</f>
        <v>0</v>
      </c>
      <c r="F36" s="12" t="n">
        <f aca="false">SUMIFS(Standalone!$N:$N,Standalone!$C:$C,"MemoryStore",Standalone!$E:$E,"",Standalone!$F:$F,4096)</f>
        <v>0</v>
      </c>
    </row>
    <row r="37" customFormat="false" ht="15" hidden="false" customHeight="false" outlineLevel="0" collapsed="false">
      <c r="A37" s="7" t="s">
        <v>83</v>
      </c>
      <c r="B37" s="12" t="n">
        <f aca="false">SUMIFS(Standalone!$N:$N,Standalone!$C:$C,"FileStore",Standalone!$E:$E,"",Standalone!$F:$F,16)</f>
        <v>21236</v>
      </c>
      <c r="C37" s="12" t="n">
        <f aca="false">SUMIFS(Standalone!$N:$N,Standalone!$C:$C,"FileStore",Standalone!$E:$E,"",Standalone!$F:$F,64)</f>
        <v>5876</v>
      </c>
      <c r="D37" s="12" t="n">
        <f aca="false">SUMIFS(Standalone!$N:$N,Standalone!$C:$C,"FileStore",Standalone!$E:$E,"",Standalone!$F:$F,256)</f>
        <v>2036</v>
      </c>
      <c r="E37" s="12" t="n">
        <f aca="false">SUMIFS(Standalone!$N:$N,Standalone!$C:$C,"FileStore",Standalone!$E:$E,"",Standalone!$F:$F,1024)</f>
        <v>1076</v>
      </c>
      <c r="F37" s="12" t="n">
        <f aca="false">SUMIFS(Standalone!$N:$N,Standalone!$C:$C,"FileStore",Standalone!$E:$E,"",Standalone!$F:$F,4096)</f>
        <v>836</v>
      </c>
    </row>
    <row r="38" customFormat="false" ht="15" hidden="false" customHeight="false" outlineLevel="0" collapsed="false">
      <c r="A38" s="7" t="s">
        <v>79</v>
      </c>
      <c r="B38" s="12" t="n">
        <f aca="false">SUMIFS(Standalone!$N:$N,Standalone!$C:$C,"CompressedStore",Standalone!$E:$E,"",Standalone!$F:$F,16)</f>
        <v>14400</v>
      </c>
      <c r="C38" s="12" t="n">
        <f aca="false">SUMIFS(Standalone!$N:$N,Standalone!$C:$C,"CompressedStore",Standalone!$E:$E,"",Standalone!$F:$F,64)</f>
        <v>3904</v>
      </c>
      <c r="D38" s="12" t="n">
        <f aca="false">SUMIFS(Standalone!$N:$N,Standalone!$C:$C,"CompressedStore",Standalone!$E:$E,"",Standalone!$F:$F,256)</f>
        <v>1280</v>
      </c>
      <c r="E38" s="12" t="n">
        <f aca="false">SUMIFS(Standalone!$N:$N,Standalone!$C:$C,"CompressedStore",Standalone!$E:$E,"",Standalone!$F:$F,1024)</f>
        <v>624</v>
      </c>
      <c r="F38" s="12" t="n">
        <f aca="false">SUMIFS(Standalone!$N:$N,Standalone!$C:$C,"CompressedStore",Standalone!$E:$E,"",Standalone!$F:$F,4096)</f>
        <v>460</v>
      </c>
    </row>
    <row r="39" customFormat="false" ht="15" hidden="false" customHeight="false" outlineLevel="0" collapsed="false">
      <c r="A39" s="7" t="s">
        <v>137</v>
      </c>
      <c r="B39" s="12" t="n">
        <f aca="false">SUMIFS(Standalone!$N:$N,Standalone!$C:$C,"LossyStore",Standalone!$E:$E,"",Standalone!$F:$F,16)</f>
        <v>81090</v>
      </c>
      <c r="C39" s="12" t="n">
        <f aca="false">SUMIFS(Standalone!$N:$N,Standalone!$C:$C,"LossyStore",Standalone!$E:$E,"",Standalone!$F:$F,64)</f>
        <v>20674</v>
      </c>
      <c r="D39" s="12" t="n">
        <f aca="false">SUMIFS(Standalone!$N:$N,Standalone!$C:$C,"LossyStore",Standalone!$E:$E,"",Standalone!$F:$F,256)</f>
        <v>5570</v>
      </c>
      <c r="E39" s="12" t="n">
        <f aca="false">SUMIFS(Standalone!$N:$N,Standalone!$C:$C,"LossyStore",Standalone!$E:$E,"",Standalone!$F:$F,1024)</f>
        <v>1794</v>
      </c>
      <c r="F39" s="12" t="n">
        <f aca="false">SUMIFS(Standalone!$N:$N,Standalone!$C:$C,"LossyStore",Standalone!$E:$E,"",Standalone!$F:$F,4096)</f>
        <v>850</v>
      </c>
    </row>
    <row r="40" customFormat="false" ht="15" hidden="false" customHeight="false" outlineLevel="0" collapsed="false">
      <c r="A40" s="7" t="s">
        <v>138</v>
      </c>
      <c r="B40" s="12" t="n">
        <f aca="false">SUMIFS(Standalone!$N:$N,Standalone!$C:$C,"LossyStore",Standalone!$E:$E,0.1,Standalone!$F:$F,16)</f>
        <v>81090</v>
      </c>
      <c r="C40" s="12" t="n">
        <f aca="false">SUMIFS(Standalone!$N:$N,Standalone!$C:$C,"LossyStore",Standalone!$E:$E,0.1,Standalone!$F:$F,64)</f>
        <v>20674</v>
      </c>
      <c r="D40" s="12" t="n">
        <f aca="false">SUMIFS(Standalone!$N:$N,Standalone!$C:$C,"LossyStore",Standalone!$E:$E,0.1,Standalone!$F:$F,256)</f>
        <v>5570</v>
      </c>
      <c r="E40" s="12" t="n">
        <f aca="false">SUMIFS(Standalone!$N:$N,Standalone!$C:$C,"LossyStore",Standalone!$E:$E,0.1,Standalone!$F:$F,1024)</f>
        <v>1794</v>
      </c>
      <c r="F40" s="12" t="n">
        <f aca="false">SUMIFS(Standalone!$N:$N,Standalone!$C:$C,"LossyStore",Standalone!$E:$E,0.1,Standalone!$F:$F,4096)</f>
        <v>850</v>
      </c>
    </row>
    <row r="41" customFormat="false" ht="15" hidden="false" customHeight="false" outlineLevel="0" collapsed="false">
      <c r="A41" s="7" t="s">
        <v>139</v>
      </c>
      <c r="B41" s="12" t="n">
        <f aca="false">SUMIFS(Standalone!$N:$N,Standalone!$C:$C,"LossyStore",Standalone!$E:$E,1,Standalone!$F:$F,16)</f>
        <v>81090</v>
      </c>
      <c r="C41" s="12" t="n">
        <f aca="false">SUMIFS(Standalone!$N:$N,Standalone!$C:$C,"LossyStore",Standalone!$E:$E,1,Standalone!$F:$F,64)</f>
        <v>20674</v>
      </c>
      <c r="D41" s="12" t="n">
        <f aca="false">SUMIFS(Standalone!$N:$N,Standalone!$C:$C,"LossyStore",Standalone!$E:$E,1,Standalone!$F:$F,256)</f>
        <v>5570</v>
      </c>
      <c r="E41" s="12" t="n">
        <f aca="false">SUMIFS(Standalone!$N:$N,Standalone!$C:$C,"LossyStore",Standalone!$E:$E,1,Standalone!$F:$F,1024)</f>
        <v>1794</v>
      </c>
      <c r="F41" s="12" t="n">
        <f aca="false">SUMIFS(Standalone!$N:$N,Standalone!$C:$C,"LossyStore",Standalone!$E:$E,1,Standalone!$F:$F,4096)</f>
        <v>850</v>
      </c>
    </row>
    <row r="42" customFormat="false" ht="15" hidden="false" customHeight="false" outlineLevel="0" collapsed="false">
      <c r="A42" s="7" t="s">
        <v>140</v>
      </c>
      <c r="B42" s="12" t="n">
        <f aca="false">SUMIFS(Standalone!$N:$N,Standalone!$C:$C,"LossyStore",Standalone!$E:$E,5,Standalone!$F:$F,16)</f>
        <v>81090</v>
      </c>
      <c r="C42" s="12" t="n">
        <f aca="false">SUMIFS(Standalone!$N:$N,Standalone!$C:$C,"LossyStore",Standalone!$E:$E,5,Standalone!$F:$F,64)</f>
        <v>20674</v>
      </c>
      <c r="D42" s="12" t="n">
        <f aca="false">SUMIFS(Standalone!$N:$N,Standalone!$C:$C,"LossyStore",Standalone!$E:$E,5,Standalone!$F:$F,256)</f>
        <v>5570</v>
      </c>
      <c r="E42" s="12" t="n">
        <f aca="false">SUMIFS(Standalone!$N:$N,Standalone!$C:$C,"LossyStore",Standalone!$E:$E,5,Standalone!$F:$F,1024)</f>
        <v>1794</v>
      </c>
      <c r="F42" s="12" t="n">
        <f aca="false">SUMIFS(Standalone!$N:$N,Standalone!$C:$C,"LossyStore",Standalone!$E:$E,5,Standalone!$F:$F,4096)</f>
        <v>850</v>
      </c>
    </row>
    <row r="44" customFormat="false" ht="15" hidden="false" customHeight="false" outlineLevel="0" collapsed="false">
      <c r="A44" s="10" t="s">
        <v>141</v>
      </c>
      <c r="B44" s="2" t="s">
        <v>152</v>
      </c>
    </row>
    <row r="45" customFormat="false" ht="15" hidden="false" customHeight="false" outlineLevel="0" collapsed="false">
      <c r="A45" s="10" t="s">
        <v>143</v>
      </c>
      <c r="B45" s="2" t="s">
        <v>153</v>
      </c>
    </row>
    <row r="47" customFormat="false" ht="15" hidden="false" customHeight="false" outlineLevel="0" collapsed="false">
      <c r="A47" s="3" t="s">
        <v>154</v>
      </c>
      <c r="B47" s="4"/>
      <c r="C47" s="4"/>
      <c r="D47" s="4"/>
      <c r="E47" s="4"/>
      <c r="F47" s="4"/>
    </row>
    <row r="48" customFormat="false" ht="15" hidden="false" customHeight="false" outlineLevel="0" collapsed="false">
      <c r="A48" s="2" t="s">
        <v>155</v>
      </c>
    </row>
    <row r="49" customFormat="false" ht="15" hidden="false" customHeight="false" outlineLevel="0" collapsed="false">
      <c r="A49" s="6" t="s">
        <v>131</v>
      </c>
      <c r="B49" s="6" t="s">
        <v>132</v>
      </c>
      <c r="C49" s="6" t="s">
        <v>133</v>
      </c>
      <c r="D49" s="6" t="s">
        <v>134</v>
      </c>
      <c r="E49" s="6" t="s">
        <v>135</v>
      </c>
      <c r="F49" s="6" t="s">
        <v>136</v>
      </c>
    </row>
    <row r="50" customFormat="false" ht="15" hidden="false" customHeight="false" outlineLevel="0" collapsed="false">
      <c r="A50" s="7" t="s">
        <v>156</v>
      </c>
      <c r="B50" s="9" t="n">
        <f aca="false">SUMIFS(Chained!$P:$P,Chained!$C:$C,"MemoryStore-&gt;FileStore-&gt;CompressedStore",Chained!$E:$E,"",Chained!$F:$F,16)</f>
        <v>2.7898</v>
      </c>
      <c r="C50" s="9" t="n">
        <f aca="false">SUMIFS(Chained!$P:$P,Chained!$C:$C,"MemoryStore-&gt;FileStore-&gt;CompressedStore",Chained!$E:$E,"",Chained!$F:$F,64)</f>
        <v>2.8373</v>
      </c>
      <c r="D50" s="9" t="n">
        <f aca="false">SUMIFS(Chained!$P:$P,Chained!$C:$C,"MemoryStore-&gt;FileStore-&gt;CompressedStore",Chained!$E:$E,"",Chained!$F:$F,256)</f>
        <v>2.8423</v>
      </c>
      <c r="E50" s="9" t="n">
        <f aca="false">SUMIFS(Chained!$P:$P,Chained!$C:$C,"MemoryStore-&gt;FileStore-&gt;CompressedStore",Chained!$E:$E,"",Chained!$F:$F,1024)</f>
        <v>2.8433</v>
      </c>
      <c r="F50" s="9" t="n">
        <f aca="false">SUMIFS(Chained!$P:$P,Chained!$C:$C,"MemoryStore-&gt;FileStore-&gt;CompressedStore",Chained!$E:$E,"",Chained!$F:$F,4096)</f>
        <v>2.8463</v>
      </c>
    </row>
    <row r="51" customFormat="false" ht="15" hidden="false" customHeight="false" outlineLevel="0" collapsed="false">
      <c r="A51" s="7" t="s">
        <v>157</v>
      </c>
      <c r="B51" s="9" t="n">
        <f aca="false">SUMIFS(Chained!$P:$P,Chained!$C:$C,"MemoryStore-&gt;FileStore-&gt;LossyStore",Chained!$E:$E,"",Chained!$F:$F,16)</f>
        <v>3.7919</v>
      </c>
      <c r="C51" s="9" t="n">
        <f aca="false">SUMIFS(Chained!$P:$P,Chained!$C:$C,"MemoryStore-&gt;FileStore-&gt;LossyStore",Chained!$E:$E,"",Chained!$F:$F,64)</f>
        <v>3.1693</v>
      </c>
      <c r="D51" s="9" t="n">
        <f aca="false">SUMIFS(Chained!$P:$P,Chained!$C:$C,"MemoryStore-&gt;FileStore-&gt;LossyStore",Chained!$E:$E,"",Chained!$F:$F,256)</f>
        <v>3.4128</v>
      </c>
      <c r="E51" s="9" t="n">
        <f aca="false">SUMIFS(Chained!$P:$P,Chained!$C:$C,"MemoryStore-&gt;FileStore-&gt;LossyStore",Chained!$E:$E,"",Chained!$F:$F,1024)</f>
        <v>3.0471</v>
      </c>
      <c r="F51" s="9" t="n">
        <f aca="false">SUMIFS(Chained!$P:$P,Chained!$C:$C,"MemoryStore-&gt;FileStore-&gt;LossyStore",Chained!$E:$E,"",Chained!$F:$F,4096)</f>
        <v>3.7125</v>
      </c>
    </row>
    <row r="52" customFormat="false" ht="15" hidden="false" customHeight="false" outlineLevel="0" collapsed="false">
      <c r="A52" s="7" t="s">
        <v>158</v>
      </c>
      <c r="B52" s="9" t="n">
        <f aca="false">SUMIFS(Chained!$P:$P,Chained!$C:$C,"MemoryStore-&gt;FileStore-&gt;LossyStore",Chained!$E:$E,0.1,Chained!$F:$F,16)</f>
        <v>5.0391</v>
      </c>
      <c r="C52" s="9" t="n">
        <f aca="false">SUMIFS(Chained!$P:$P,Chained!$C:$C,"MemoryStore-&gt;FileStore-&gt;LossyStore",Chained!$E:$E,0.1,Chained!$F:$F,64)</f>
        <v>3.921</v>
      </c>
      <c r="D52" s="9" t="n">
        <f aca="false">SUMIFS(Chained!$P:$P,Chained!$C:$C,"MemoryStore-&gt;FileStore-&gt;LossyStore",Chained!$E:$E,0.1,Chained!$F:$F,256)</f>
        <v>4.252</v>
      </c>
      <c r="E52" s="9" t="n">
        <f aca="false">SUMIFS(Chained!$P:$P,Chained!$C:$C,"MemoryStore-&gt;FileStore-&gt;LossyStore",Chained!$E:$E,0.1,Chained!$F:$F,1024)</f>
        <v>3.7001</v>
      </c>
      <c r="F52" s="9" t="n">
        <f aca="false">SUMIFS(Chained!$P:$P,Chained!$C:$C,"MemoryStore-&gt;FileStore-&gt;LossyStore",Chained!$E:$E,0.1,Chained!$F:$F,4096)</f>
        <v>4.7346</v>
      </c>
    </row>
    <row r="53" customFormat="false" ht="15" hidden="false" customHeight="false" outlineLevel="0" collapsed="false">
      <c r="A53" s="7" t="s">
        <v>159</v>
      </c>
      <c r="B53" s="9" t="n">
        <f aca="false">SUMIFS(Chained!$P:$P,Chained!$C:$C,"MemoryStore-&gt;FileStore-&gt;LossyStore",Chained!$E:$E,1,Chained!$F:$F,16)</f>
        <v>5.3965</v>
      </c>
      <c r="C53" s="9" t="n">
        <f aca="false">SUMIFS(Chained!$P:$P,Chained!$C:$C,"MemoryStore-&gt;FileStore-&gt;LossyStore",Chained!$E:$E,1,Chained!$F:$F,64)</f>
        <v>4.1448</v>
      </c>
      <c r="D53" s="9" t="n">
        <f aca="false">SUMIFS(Chained!$P:$P,Chained!$C:$C,"MemoryStore-&gt;FileStore-&gt;LossyStore",Chained!$E:$E,1,Chained!$F:$F,256)</f>
        <v>4.5718</v>
      </c>
      <c r="E53" s="9" t="n">
        <f aca="false">SUMIFS(Chained!$P:$P,Chained!$C:$C,"MemoryStore-&gt;FileStore-&gt;LossyStore",Chained!$E:$E,1,Chained!$F:$F,1024)</f>
        <v>3.9232</v>
      </c>
      <c r="F53" s="9" t="n">
        <f aca="false">SUMIFS(Chained!$P:$P,Chained!$C:$C,"MemoryStore-&gt;FileStore-&gt;LossyStore",Chained!$E:$E,1,Chained!$F:$F,4096)</f>
        <v>5.0977</v>
      </c>
    </row>
    <row r="54" customFormat="false" ht="15" hidden="false" customHeight="false" outlineLevel="0" collapsed="false">
      <c r="A54" s="7" t="s">
        <v>160</v>
      </c>
      <c r="B54" s="9" t="n">
        <f aca="false">SUMIFS(Chained!$P:$P,Chained!$C:$C,"MemoryStore-&gt;FileStore-&gt;LossyStore",Chained!$E:$E,5,Chained!$F:$F,16)</f>
        <v>5.6818</v>
      </c>
      <c r="C54" s="9" t="n">
        <f aca="false">SUMIFS(Chained!$P:$P,Chained!$C:$C,"MemoryStore-&gt;FileStore-&gt;LossyStore",Chained!$E:$E,5,Chained!$F:$F,64)</f>
        <v>4.3049</v>
      </c>
      <c r="D54" s="9" t="n">
        <f aca="false">SUMIFS(Chained!$P:$P,Chained!$C:$C,"MemoryStore-&gt;FileStore-&gt;LossyStore",Chained!$E:$E,5,Chained!$F:$F,256)</f>
        <v>4.7886</v>
      </c>
      <c r="E54" s="9" t="n">
        <f aca="false">SUMIFS(Chained!$P:$P,Chained!$C:$C,"MemoryStore-&gt;FileStore-&gt;LossyStore",Chained!$E:$E,5,Chained!$F:$F,1024)</f>
        <v>4.111</v>
      </c>
      <c r="F54" s="9" t="n">
        <f aca="false">SUMIFS(Chained!$P:$P,Chained!$C:$C,"MemoryStore-&gt;FileStore-&gt;LossyStore",Chained!$E:$E,5,Chained!$F:$F,4096)</f>
        <v>5.4291</v>
      </c>
    </row>
    <row r="56" customFormat="false" ht="15" hidden="false" customHeight="false" outlineLevel="0" collapsed="false">
      <c r="A56" s="10" t="s">
        <v>141</v>
      </c>
      <c r="B56" s="2" t="s">
        <v>161</v>
      </c>
    </row>
    <row r="57" customFormat="false" ht="15" hidden="false" customHeight="false" outlineLevel="0" collapsed="false">
      <c r="A57" s="10" t="s">
        <v>143</v>
      </c>
      <c r="B57" s="2" t="s">
        <v>162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3"/>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13" min="2" style="0" width="15"/>
  </cols>
  <sheetData>
    <row r="1" customFormat="false" ht="15" hidden="false" customHeight="false" outlineLevel="0" collapsed="false">
      <c r="A1" s="8" t="s">
        <v>163</v>
      </c>
    </row>
    <row r="2" customFormat="false" ht="15" hidden="false" customHeight="false" outlineLevel="0" collapsed="false">
      <c r="A2" s="2" t="s">
        <v>164</v>
      </c>
    </row>
    <row r="4" customFormat="false" ht="15" hidden="false" customHeight="false" outlineLevel="0" collapsed="false">
      <c r="A4" s="3" t="s">
        <v>165</v>
      </c>
      <c r="B4" s="4"/>
    </row>
    <row r="5" customFormat="false" ht="15" hidden="false" customHeight="false" outlineLevel="0" collapsed="false">
      <c r="A5" s="5" t="s">
        <v>41</v>
      </c>
      <c r="B5" s="7" t="s">
        <v>77</v>
      </c>
    </row>
    <row r="6" customFormat="false" ht="15" hidden="false" customHeight="false" outlineLevel="0" collapsed="false">
      <c r="A6" s="5" t="s">
        <v>166</v>
      </c>
      <c r="B6" s="7" t="s">
        <v>167</v>
      </c>
    </row>
    <row r="7" customFormat="false" ht="15" hidden="false" customHeight="false" outlineLevel="0" collapsed="false">
      <c r="A7" s="5" t="s">
        <v>168</v>
      </c>
      <c r="B7" s="13" t="n">
        <v>5278962</v>
      </c>
    </row>
    <row r="8" customFormat="false" ht="15" hidden="false" customHeight="false" outlineLevel="0" collapsed="false">
      <c r="A8" s="5" t="s">
        <v>47</v>
      </c>
      <c r="B8" s="13" t="n">
        <v>200001</v>
      </c>
    </row>
    <row r="9" customFormat="false" ht="15" hidden="false" customHeight="false" outlineLevel="0" collapsed="false">
      <c r="A9" s="5" t="s">
        <v>169</v>
      </c>
      <c r="B9" s="13" t="n">
        <v>4</v>
      </c>
    </row>
    <row r="10" customFormat="false" ht="15" hidden="false" customHeight="false" outlineLevel="0" collapsed="false">
      <c r="A10" s="5" t="s">
        <v>170</v>
      </c>
      <c r="B10" s="13" t="n">
        <v>28</v>
      </c>
    </row>
    <row r="11" customFormat="false" ht="15" hidden="false" customHeight="false" outlineLevel="0" collapsed="false">
      <c r="A11" s="5" t="s">
        <v>171</v>
      </c>
      <c r="B11" s="13" t="n">
        <v>5600028</v>
      </c>
    </row>
    <row r="12" customFormat="false" ht="15" hidden="false" customHeight="false" outlineLevel="0" collapsed="false">
      <c r="A12" s="5" t="s">
        <v>172</v>
      </c>
      <c r="B12" s="7" t="s">
        <v>173</v>
      </c>
    </row>
    <row r="13" customFormat="false" ht="15" hidden="false" customHeight="false" outlineLevel="0" collapsed="false">
      <c r="A13" s="5" t="s">
        <v>174</v>
      </c>
      <c r="B13" s="7" t="s">
        <v>175</v>
      </c>
    </row>
    <row r="14" customFormat="false" ht="15" hidden="false" customHeight="false" outlineLevel="0" collapsed="false">
      <c r="A14" s="5" t="s">
        <v>176</v>
      </c>
      <c r="B14" s="13" t="n">
        <v>2</v>
      </c>
    </row>
    <row r="15" customFormat="false" ht="15" hidden="false" customHeight="false" outlineLevel="0" collapsed="false">
      <c r="A15" s="5" t="s">
        <v>177</v>
      </c>
      <c r="B15" s="7" t="s">
        <v>178</v>
      </c>
    </row>
    <row r="16" customFormat="false" ht="15" hidden="false" customHeight="false" outlineLevel="0" collapsed="false">
      <c r="A16" s="5" t="s">
        <v>179</v>
      </c>
      <c r="B16" s="13" t="n">
        <v>0</v>
      </c>
    </row>
    <row r="17" customFormat="false" ht="15" hidden="false" customHeight="false" outlineLevel="0" collapsed="false">
      <c r="A17" s="5" t="s">
        <v>180</v>
      </c>
      <c r="B17" s="13" t="n">
        <v>60000</v>
      </c>
    </row>
    <row r="18" customFormat="false" ht="15" hidden="false" customHeight="false" outlineLevel="0" collapsed="false">
      <c r="A18" s="5" t="s">
        <v>181</v>
      </c>
      <c r="B18" s="7" t="s">
        <v>182</v>
      </c>
    </row>
    <row r="19" customFormat="false" ht="15" hidden="false" customHeight="false" outlineLevel="0" collapsed="false">
      <c r="A19" s="5" t="s">
        <v>183</v>
      </c>
      <c r="B19" s="7" t="s">
        <v>184</v>
      </c>
    </row>
    <row r="21" customFormat="false" ht="15" hidden="false" customHeight="false" outlineLevel="0" collapsed="false">
      <c r="A21" s="3" t="s">
        <v>185</v>
      </c>
      <c r="B21" s="4"/>
      <c r="C21" s="4"/>
      <c r="D21" s="4"/>
      <c r="E21" s="4"/>
      <c r="F21" s="4"/>
      <c r="G21" s="4"/>
      <c r="H21" s="4"/>
      <c r="I21" s="4"/>
      <c r="J21" s="4"/>
      <c r="K21" s="4"/>
      <c r="L21" s="4"/>
      <c r="M21" s="4"/>
    </row>
    <row r="22" customFormat="false" ht="15" hidden="false" customHeight="false" outlineLevel="0" collapsed="false">
      <c r="A22" s="6" t="s">
        <v>41</v>
      </c>
      <c r="B22" s="6" t="s">
        <v>87</v>
      </c>
      <c r="C22" s="6" t="s">
        <v>186</v>
      </c>
      <c r="D22" s="6" t="s">
        <v>187</v>
      </c>
      <c r="E22" s="6" t="s">
        <v>188</v>
      </c>
      <c r="F22" s="6" t="s">
        <v>189</v>
      </c>
      <c r="G22" s="6" t="s">
        <v>190</v>
      </c>
      <c r="H22" s="6" t="s">
        <v>191</v>
      </c>
      <c r="I22" s="6" t="s">
        <v>192</v>
      </c>
      <c r="J22" s="6" t="s">
        <v>193</v>
      </c>
      <c r="K22" s="6" t="s">
        <v>194</v>
      </c>
      <c r="L22" s="6" t="s">
        <v>195</v>
      </c>
      <c r="M22" s="6" t="s">
        <v>196</v>
      </c>
    </row>
    <row r="23" customFormat="false" ht="15" hidden="false" customHeight="false" outlineLevel="0" collapsed="false">
      <c r="A23" s="7" t="s">
        <v>77</v>
      </c>
      <c r="B23" s="7" t="s">
        <v>97</v>
      </c>
      <c r="C23" s="7" t="s">
        <v>98</v>
      </c>
      <c r="D23" s="7" t="n">
        <v>4</v>
      </c>
      <c r="E23" s="7" t="n">
        <v>1</v>
      </c>
      <c r="F23" s="7" t="n">
        <v>5</v>
      </c>
      <c r="G23" s="7" t="n">
        <v>26</v>
      </c>
      <c r="H23" s="7" t="n">
        <v>0.01</v>
      </c>
      <c r="I23" s="7" t="n">
        <v>0</v>
      </c>
      <c r="J23" s="7" t="n">
        <v>25</v>
      </c>
      <c r="K23" s="7"/>
      <c r="L23" s="7" t="s">
        <v>99</v>
      </c>
      <c r="M23" s="7" t="n">
        <v>6</v>
      </c>
    </row>
    <row r="24" customFormat="false" ht="15" hidden="false" customHeight="false" outlineLevel="0" collapsed="false">
      <c r="A24" s="7" t="s">
        <v>77</v>
      </c>
      <c r="B24" s="7" t="s">
        <v>101</v>
      </c>
      <c r="C24" s="7" t="s">
        <v>98</v>
      </c>
      <c r="D24" s="7" t="n">
        <v>4</v>
      </c>
      <c r="E24" s="7" t="n">
        <v>1</v>
      </c>
      <c r="F24" s="7" t="n">
        <v>5</v>
      </c>
      <c r="G24" s="7" t="n">
        <v>4</v>
      </c>
      <c r="H24" s="7" t="n">
        <v>0</v>
      </c>
      <c r="I24" s="7" t="n">
        <v>0</v>
      </c>
      <c r="J24" s="7" t="n">
        <v>3</v>
      </c>
      <c r="K24" s="7"/>
      <c r="L24" s="7" t="s">
        <v>99</v>
      </c>
      <c r="M24" s="7" t="n">
        <v>1</v>
      </c>
    </row>
    <row r="25" customFormat="false" ht="15" hidden="false" customHeight="false" outlineLevel="0" collapsed="false">
      <c r="A25" s="7" t="s">
        <v>77</v>
      </c>
      <c r="B25" s="7" t="s">
        <v>102</v>
      </c>
      <c r="C25" s="7" t="s">
        <v>103</v>
      </c>
      <c r="D25" s="7" t="n">
        <v>8</v>
      </c>
      <c r="E25" s="7" t="n">
        <v>1</v>
      </c>
      <c r="F25" s="7" t="n">
        <v>9</v>
      </c>
      <c r="G25" s="7" t="n">
        <v>80200</v>
      </c>
      <c r="H25" s="7" t="n">
        <v>40.1</v>
      </c>
      <c r="I25" s="7" t="n">
        <v>0.01</v>
      </c>
      <c r="J25" s="7" t="n">
        <v>900</v>
      </c>
      <c r="K25" s="7" t="s">
        <v>197</v>
      </c>
      <c r="L25" s="7" t="s">
        <v>104</v>
      </c>
      <c r="M25" s="7" t="n">
        <v>725.07</v>
      </c>
    </row>
    <row r="26" customFormat="false" ht="15" hidden="false" customHeight="false" outlineLevel="0" collapsed="false">
      <c r="A26" s="7" t="s">
        <v>77</v>
      </c>
      <c r="B26" s="7" t="s">
        <v>198</v>
      </c>
      <c r="C26" s="7" t="s">
        <v>107</v>
      </c>
      <c r="D26" s="7" t="n">
        <v>8</v>
      </c>
      <c r="E26" s="7" t="n">
        <v>1</v>
      </c>
      <c r="F26" s="7" t="n">
        <v>9</v>
      </c>
      <c r="G26" s="7" t="n">
        <v>66667</v>
      </c>
      <c r="H26" s="7" t="n">
        <v>33.33</v>
      </c>
      <c r="I26" s="7" t="n">
        <v>1000000000000</v>
      </c>
      <c r="J26" s="7" t="n">
        <v>1003999960000</v>
      </c>
      <c r="K26" s="7"/>
      <c r="L26" s="7" t="s">
        <v>99</v>
      </c>
      <c r="M26" s="7" t="n">
        <v>1000000000000</v>
      </c>
    </row>
    <row r="28" customFormat="false" ht="15" hidden="false" customHeight="false" outlineLevel="0" collapsed="false">
      <c r="A28" s="3" t="s">
        <v>199</v>
      </c>
      <c r="B28" s="4"/>
    </row>
    <row r="29" customFormat="false" ht="15" hidden="false" customHeight="false" outlineLevel="0" collapsed="false">
      <c r="A29" s="5" t="s">
        <v>97</v>
      </c>
      <c r="B29" s="2" t="s">
        <v>200</v>
      </c>
    </row>
    <row r="30" customFormat="false" ht="15" hidden="false" customHeight="false" outlineLevel="0" collapsed="false">
      <c r="A30" s="5" t="s">
        <v>101</v>
      </c>
      <c r="B30" s="2" t="s">
        <v>201</v>
      </c>
    </row>
    <row r="31" customFormat="false" ht="15" hidden="false" customHeight="false" outlineLevel="0" collapsed="false">
      <c r="A31" s="5" t="s">
        <v>102</v>
      </c>
      <c r="B31" s="2" t="s">
        <v>202</v>
      </c>
    </row>
    <row r="32" customFormat="false" ht="15" hidden="false" customHeight="false" outlineLevel="0" collapsed="false">
      <c r="A32" s="5" t="s">
        <v>198</v>
      </c>
      <c r="B32" s="2" t="s">
        <v>203</v>
      </c>
    </row>
    <row r="33" customFormat="false" ht="15" hidden="false" customHeight="false" outlineLevel="0" collapsed="false">
      <c r="A33" s="5" t="s">
        <v>204</v>
      </c>
      <c r="B33" s="2" t="s">
        <v>205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4"/>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5" min="2" style="0" width="12"/>
  </cols>
  <sheetData>
    <row r="1" customFormat="false" ht="15" hidden="false" customHeight="false" outlineLevel="0" collapsed="false">
      <c r="A1" s="8" t="s">
        <v>206</v>
      </c>
    </row>
    <row r="2" customFormat="false" ht="15" hidden="false" customHeight="false" outlineLevel="0" collapsed="false">
      <c r="A2" s="2" t="s">
        <v>207</v>
      </c>
    </row>
    <row r="4" customFormat="false" ht="15" hidden="false" customHeight="false" outlineLevel="0" collapsed="false">
      <c r="A4" s="3" t="s">
        <v>208</v>
      </c>
      <c r="B4" s="4"/>
      <c r="C4" s="4"/>
      <c r="D4" s="4"/>
      <c r="E4" s="4"/>
      <c r="F4" s="4"/>
    </row>
    <row r="5" customFormat="false" ht="15" hidden="false" customHeight="false" outlineLevel="0" collapsed="false">
      <c r="A5" s="2" t="s">
        <v>209</v>
      </c>
    </row>
    <row r="6" customFormat="false" ht="15" hidden="false" customHeight="false" outlineLevel="0" collapsed="false">
      <c r="A6" s="6" t="s">
        <v>131</v>
      </c>
      <c r="B6" s="6" t="s">
        <v>132</v>
      </c>
      <c r="C6" s="6" t="s">
        <v>133</v>
      </c>
      <c r="D6" s="6" t="s">
        <v>134</v>
      </c>
      <c r="E6" s="6" t="s">
        <v>135</v>
      </c>
      <c r="F6" s="6" t="s">
        <v>136</v>
      </c>
    </row>
    <row r="7" customFormat="false" ht="15" hidden="false" customHeight="false" outlineLevel="0" collapsed="false">
      <c r="A7" s="7" t="s">
        <v>156</v>
      </c>
      <c r="B7" s="12" t="n">
        <f aca="false">SUMIFS(Chained!$AG:$AG,Chained!$C:$C,"MemoryStore-&gt;FileStore-&gt;CompressedStore",Chained!$E:$E,"",Chained!$F:$F,16)</f>
        <v>367248</v>
      </c>
      <c r="C7" s="12" t="n">
        <f aca="false">SUMIFS(Chained!$AG:$AG,Chained!$C:$C,"MemoryStore-&gt;FileStore-&gt;CompressedStore",Chained!$E:$E,"",Chained!$F:$F,64)</f>
        <v>367248</v>
      </c>
      <c r="D7" s="12" t="n">
        <f aca="false">SUMIFS(Chained!$AG:$AG,Chained!$C:$C,"MemoryStore-&gt;FileStore-&gt;CompressedStore",Chained!$E:$E,"",Chained!$F:$F,256)</f>
        <v>367248</v>
      </c>
      <c r="E7" s="12" t="n">
        <f aca="false">SUMIFS(Chained!$AG:$AG,Chained!$C:$C,"MemoryStore-&gt;FileStore-&gt;CompressedStore",Chained!$E:$E,"",Chained!$F:$F,1024)</f>
        <v>367248</v>
      </c>
      <c r="F7" s="12" t="n">
        <f aca="false">SUMIFS(Chained!$AG:$AG,Chained!$C:$C,"MemoryStore-&gt;FileStore-&gt;CompressedStore",Chained!$E:$E,"",Chained!$F:$F,4096)</f>
        <v>367248</v>
      </c>
    </row>
    <row r="8" customFormat="false" ht="15" hidden="false" customHeight="false" outlineLevel="0" collapsed="false">
      <c r="A8" s="7" t="s">
        <v>157</v>
      </c>
      <c r="B8" s="12" t="n">
        <f aca="false">SUMIFS(Chained!$AG:$AG,Chained!$C:$C,"MemoryStore-&gt;FileStore-&gt;LossyStore",Chained!$E:$E,"",Chained!$F:$F,16)</f>
        <v>367248</v>
      </c>
      <c r="C8" s="12" t="n">
        <f aca="false">SUMIFS(Chained!$AG:$AG,Chained!$C:$C,"MemoryStore-&gt;FileStore-&gt;LossyStore",Chained!$E:$E,"",Chained!$F:$F,64)</f>
        <v>367248</v>
      </c>
      <c r="D8" s="12" t="n">
        <f aca="false">SUMIFS(Chained!$AG:$AG,Chained!$C:$C,"MemoryStore-&gt;FileStore-&gt;LossyStore",Chained!$E:$E,"",Chained!$F:$F,256)</f>
        <v>367248</v>
      </c>
      <c r="E8" s="12" t="n">
        <f aca="false">SUMIFS(Chained!$AG:$AG,Chained!$C:$C,"MemoryStore-&gt;FileStore-&gt;LossyStore",Chained!$E:$E,"",Chained!$F:$F,1024)</f>
        <v>367248</v>
      </c>
      <c r="F8" s="12" t="n">
        <f aca="false">SUMIFS(Chained!$AG:$AG,Chained!$C:$C,"MemoryStore-&gt;FileStore-&gt;LossyStore",Chained!$E:$E,"",Chained!$F:$F,4096)</f>
        <v>367248</v>
      </c>
    </row>
    <row r="9" customFormat="false" ht="15" hidden="false" customHeight="false" outlineLevel="0" collapsed="false">
      <c r="A9" s="7" t="s">
        <v>158</v>
      </c>
      <c r="B9" s="12" t="n">
        <f aca="false">SUMIFS(Chained!$AG:$AG,Chained!$C:$C,"MemoryStore-&gt;FileStore-&gt;LossyStore",Chained!$E:$E,0.1,Chained!$F:$F,16)</f>
        <v>367248</v>
      </c>
      <c r="C9" s="12" t="n">
        <f aca="false">SUMIFS(Chained!$AG:$AG,Chained!$C:$C,"MemoryStore-&gt;FileStore-&gt;LossyStore",Chained!$E:$E,0.1,Chained!$F:$F,64)</f>
        <v>367248</v>
      </c>
      <c r="D9" s="12" t="n">
        <f aca="false">SUMIFS(Chained!$AG:$AG,Chained!$C:$C,"MemoryStore-&gt;FileStore-&gt;LossyStore",Chained!$E:$E,0.1,Chained!$F:$F,256)</f>
        <v>367248</v>
      </c>
      <c r="E9" s="12" t="n">
        <f aca="false">SUMIFS(Chained!$AG:$AG,Chained!$C:$C,"MemoryStore-&gt;FileStore-&gt;LossyStore",Chained!$E:$E,0.1,Chained!$F:$F,1024)</f>
        <v>367248</v>
      </c>
      <c r="F9" s="12" t="n">
        <f aca="false">SUMIFS(Chained!$AG:$AG,Chained!$C:$C,"MemoryStore-&gt;FileStore-&gt;LossyStore",Chained!$E:$E,0.1,Chained!$F:$F,4096)</f>
        <v>367248</v>
      </c>
    </row>
    <row r="10" customFormat="false" ht="15" hidden="false" customHeight="false" outlineLevel="0" collapsed="false">
      <c r="A10" s="7" t="s">
        <v>159</v>
      </c>
      <c r="B10" s="12" t="n">
        <f aca="false">SUMIFS(Chained!$AG:$AG,Chained!$C:$C,"MemoryStore-&gt;FileStore-&gt;LossyStore",Chained!$E:$E,1,Chained!$F:$F,16)</f>
        <v>367248</v>
      </c>
      <c r="C10" s="12" t="n">
        <f aca="false">SUMIFS(Chained!$AG:$AG,Chained!$C:$C,"MemoryStore-&gt;FileStore-&gt;LossyStore",Chained!$E:$E,1,Chained!$F:$F,64)</f>
        <v>367248</v>
      </c>
      <c r="D10" s="12" t="n">
        <f aca="false">SUMIFS(Chained!$AG:$AG,Chained!$C:$C,"MemoryStore-&gt;FileStore-&gt;LossyStore",Chained!$E:$E,1,Chained!$F:$F,256)</f>
        <v>367248</v>
      </c>
      <c r="E10" s="12" t="n">
        <f aca="false">SUMIFS(Chained!$AG:$AG,Chained!$C:$C,"MemoryStore-&gt;FileStore-&gt;LossyStore",Chained!$E:$E,1,Chained!$F:$F,1024)</f>
        <v>367248</v>
      </c>
      <c r="F10" s="12" t="n">
        <f aca="false">SUMIFS(Chained!$AG:$AG,Chained!$C:$C,"MemoryStore-&gt;FileStore-&gt;LossyStore",Chained!$E:$E,1,Chained!$F:$F,4096)</f>
        <v>367248</v>
      </c>
    </row>
    <row r="11" customFormat="false" ht="15" hidden="false" customHeight="false" outlineLevel="0" collapsed="false">
      <c r="A11" s="7" t="s">
        <v>160</v>
      </c>
      <c r="B11" s="12" t="n">
        <f aca="false">SUMIFS(Chained!$AG:$AG,Chained!$C:$C,"MemoryStore-&gt;FileStore-&gt;LossyStore",Chained!$E:$E,5,Chained!$F:$F,16)</f>
        <v>367248</v>
      </c>
      <c r="C11" s="12" t="n">
        <f aca="false">SUMIFS(Chained!$AG:$AG,Chained!$C:$C,"MemoryStore-&gt;FileStore-&gt;LossyStore",Chained!$E:$E,5,Chained!$F:$F,64)</f>
        <v>367248</v>
      </c>
      <c r="D11" s="12" t="n">
        <f aca="false">SUMIFS(Chained!$AG:$AG,Chained!$C:$C,"MemoryStore-&gt;FileStore-&gt;LossyStore",Chained!$E:$E,5,Chained!$F:$F,256)</f>
        <v>367248</v>
      </c>
      <c r="E11" s="12" t="n">
        <f aca="false">SUMIFS(Chained!$AG:$AG,Chained!$C:$C,"MemoryStore-&gt;FileStore-&gt;LossyStore",Chained!$E:$E,5,Chained!$F:$F,1024)</f>
        <v>367248</v>
      </c>
      <c r="F11" s="12" t="n">
        <f aca="false">SUMIFS(Chained!$AG:$AG,Chained!$C:$C,"MemoryStore-&gt;FileStore-&gt;LossyStore",Chained!$E:$E,5,Chained!$F:$F,4096)</f>
        <v>367248</v>
      </c>
    </row>
    <row r="12" customFormat="false" ht="15" hidden="false" customHeight="false" outlineLevel="0" collapsed="false">
      <c r="A12" s="2" t="s">
        <v>210</v>
      </c>
    </row>
    <row r="13" customFormat="false" ht="15" hidden="false" customHeight="false" outlineLevel="0" collapsed="false">
      <c r="A13" s="6" t="s">
        <v>131</v>
      </c>
      <c r="B13" s="6" t="s">
        <v>132</v>
      </c>
      <c r="C13" s="6" t="s">
        <v>133</v>
      </c>
      <c r="D13" s="6" t="s">
        <v>134</v>
      </c>
      <c r="E13" s="6" t="s">
        <v>135</v>
      </c>
      <c r="F13" s="6" t="s">
        <v>136</v>
      </c>
    </row>
    <row r="14" customFormat="false" ht="15" hidden="false" customHeight="false" outlineLevel="0" collapsed="false">
      <c r="A14" s="7" t="s">
        <v>156</v>
      </c>
      <c r="B14" s="14" t="n">
        <f aca="false">B7/5600028</f>
        <v>0.0655796721016395</v>
      </c>
      <c r="C14" s="14" t="n">
        <f aca="false">C7/5600028</f>
        <v>0.0655796721016395</v>
      </c>
      <c r="D14" s="14" t="n">
        <f aca="false">D7/5600028</f>
        <v>0.0655796721016395</v>
      </c>
      <c r="E14" s="14" t="n">
        <f aca="false">E7/5600028</f>
        <v>0.0655796721016395</v>
      </c>
      <c r="F14" s="14" t="n">
        <f aca="false">F7/5600028</f>
        <v>0.0655796721016395</v>
      </c>
    </row>
    <row r="15" customFormat="false" ht="15" hidden="false" customHeight="false" outlineLevel="0" collapsed="false">
      <c r="A15" s="7" t="s">
        <v>157</v>
      </c>
      <c r="B15" s="14" t="n">
        <f aca="false">B8/5600028</f>
        <v>0.0655796721016395</v>
      </c>
      <c r="C15" s="14" t="n">
        <f aca="false">C8/5600028</f>
        <v>0.0655796721016395</v>
      </c>
      <c r="D15" s="14" t="n">
        <f aca="false">D8/5600028</f>
        <v>0.0655796721016395</v>
      </c>
      <c r="E15" s="14" t="n">
        <f aca="false">E8/5600028</f>
        <v>0.0655796721016395</v>
      </c>
      <c r="F15" s="14" t="n">
        <f aca="false">F8/5600028</f>
        <v>0.0655796721016395</v>
      </c>
    </row>
    <row r="16" customFormat="false" ht="15" hidden="false" customHeight="false" outlineLevel="0" collapsed="false">
      <c r="A16" s="7" t="s">
        <v>158</v>
      </c>
      <c r="B16" s="14" t="n">
        <f aca="false">B9/5600028</f>
        <v>0.0655796721016395</v>
      </c>
      <c r="C16" s="14" t="n">
        <f aca="false">C9/5600028</f>
        <v>0.0655796721016395</v>
      </c>
      <c r="D16" s="14" t="n">
        <f aca="false">D9/5600028</f>
        <v>0.0655796721016395</v>
      </c>
      <c r="E16" s="14" t="n">
        <f aca="false">E9/5600028</f>
        <v>0.0655796721016395</v>
      </c>
      <c r="F16" s="14" t="n">
        <f aca="false">F9/5600028</f>
        <v>0.0655796721016395</v>
      </c>
    </row>
    <row r="17" customFormat="false" ht="15" hidden="false" customHeight="false" outlineLevel="0" collapsed="false">
      <c r="A17" s="7" t="s">
        <v>159</v>
      </c>
      <c r="B17" s="14" t="n">
        <f aca="false">B10/5600028</f>
        <v>0.0655796721016395</v>
      </c>
      <c r="C17" s="14" t="n">
        <f aca="false">C10/5600028</f>
        <v>0.0655796721016395</v>
      </c>
      <c r="D17" s="14" t="n">
        <f aca="false">D10/5600028</f>
        <v>0.0655796721016395</v>
      </c>
      <c r="E17" s="14" t="n">
        <f aca="false">E10/5600028</f>
        <v>0.0655796721016395</v>
      </c>
      <c r="F17" s="14" t="n">
        <f aca="false">F10/5600028</f>
        <v>0.0655796721016395</v>
      </c>
    </row>
    <row r="18" customFormat="false" ht="15" hidden="false" customHeight="false" outlineLevel="0" collapsed="false">
      <c r="A18" s="7" t="s">
        <v>160</v>
      </c>
      <c r="B18" s="14" t="n">
        <f aca="false">B11/5600028</f>
        <v>0.0655796721016395</v>
      </c>
      <c r="C18" s="14" t="n">
        <f aca="false">C11/5600028</f>
        <v>0.0655796721016395</v>
      </c>
      <c r="D18" s="14" t="n">
        <f aca="false">D11/5600028</f>
        <v>0.0655796721016395</v>
      </c>
      <c r="E18" s="14" t="n">
        <f aca="false">E11/5600028</f>
        <v>0.0655796721016395</v>
      </c>
      <c r="F18" s="14" t="n">
        <f aca="false">F11/5600028</f>
        <v>0.0655796721016395</v>
      </c>
    </row>
    <row r="20" customFormat="false" ht="15" hidden="false" customHeight="false" outlineLevel="0" collapsed="false">
      <c r="A20" s="10" t="s">
        <v>141</v>
      </c>
      <c r="B20" s="2" t="s">
        <v>211</v>
      </c>
    </row>
    <row r="21" customFormat="false" ht="15" hidden="false" customHeight="false" outlineLevel="0" collapsed="false">
      <c r="A21" s="10" t="s">
        <v>143</v>
      </c>
      <c r="B21" s="2" t="s">
        <v>212</v>
      </c>
    </row>
    <row r="24" customFormat="false" ht="15" hidden="false" customHeight="false" outlineLevel="0" collapsed="false">
      <c r="A24" s="3" t="s">
        <v>213</v>
      </c>
      <c r="B24" s="4"/>
      <c r="C24" s="4"/>
      <c r="D24" s="4"/>
      <c r="E24" s="4"/>
      <c r="F24" s="4"/>
    </row>
    <row r="25" customFormat="false" ht="15" hidden="false" customHeight="false" outlineLevel="0" collapsed="false">
      <c r="A25" s="2" t="s">
        <v>214</v>
      </c>
    </row>
    <row r="26" customFormat="false" ht="15" hidden="false" customHeight="false" outlineLevel="0" collapsed="false">
      <c r="A26" s="6" t="s">
        <v>131</v>
      </c>
      <c r="B26" s="6" t="s">
        <v>132</v>
      </c>
      <c r="C26" s="6" t="s">
        <v>133</v>
      </c>
      <c r="D26" s="6" t="s">
        <v>134</v>
      </c>
      <c r="E26" s="6" t="s">
        <v>135</v>
      </c>
      <c r="F26" s="6" t="s">
        <v>136</v>
      </c>
    </row>
    <row r="27" customFormat="false" ht="15" hidden="false" customHeight="false" outlineLevel="0" collapsed="false">
      <c r="A27" s="7" t="s">
        <v>156</v>
      </c>
      <c r="B27" s="9" t="n">
        <f aca="false">IFERROR((SUMIFS(Chained!$P:$P,Chained!$C:$C,"MemoryStore-&gt;FileStore-&gt;CompressedStore",Chained!$E:$E,"",Chained!$F:$F,16))/(SUMIFS(Standalone!$P:$P,Standalone!$C:$C,"CompressedStore",Standalone!$E:$E,"",Standalone!$F:$F,16)),0)</f>
        <v>0.881119322847578</v>
      </c>
      <c r="C27" s="9" t="n">
        <f aca="false">IFERROR((SUMIFS(Chained!$P:$P,Chained!$C:$C,"MemoryStore-&gt;FileStore-&gt;CompressedStore",Chained!$E:$E,"",Chained!$F:$F,64))/(SUMIFS(Standalone!$P:$P,Standalone!$C:$C,"CompressedStore",Standalone!$E:$E,"",Standalone!$F:$F,64)),0)</f>
        <v>0.871219332453097</v>
      </c>
      <c r="D27" s="9" t="n">
        <f aca="false">IFERROR((SUMIFS(Chained!$P:$P,Chained!$C:$C,"MemoryStore-&gt;FileStore-&gt;CompressedStore",Chained!$E:$E,"",Chained!$F:$F,256))/(SUMIFS(Standalone!$P:$P,Standalone!$C:$C,"CompressedStore",Standalone!$E:$E,"",Standalone!$F:$F,256)),0)</f>
        <v>0.869683617893642</v>
      </c>
      <c r="E27" s="9" t="n">
        <f aca="false">IFERROR((SUMIFS(Chained!$P:$P,Chained!$C:$C,"MemoryStore-&gt;FileStore-&gt;CompressedStore",Chained!$E:$E,"",Chained!$F:$F,1024))/(SUMIFS(Standalone!$P:$P,Standalone!$C:$C,"CompressedStore",Standalone!$E:$E,"",Standalone!$F:$F,1024)),0)</f>
        <v>0.870548972780993</v>
      </c>
      <c r="F27" s="9" t="n">
        <f aca="false">IFERROR((SUMIFS(Chained!$P:$P,Chained!$C:$C,"MemoryStore-&gt;FileStore-&gt;CompressedStore",Chained!$E:$E,"",Chained!$F:$F,4096))/(SUMIFS(Standalone!$P:$P,Standalone!$C:$C,"CompressedStore",Standalone!$E:$E,"",Standalone!$F:$F,4096)),0)</f>
        <v>0.870428134556575</v>
      </c>
    </row>
    <row r="28" customFormat="false" ht="15" hidden="false" customHeight="false" outlineLevel="0" collapsed="false">
      <c r="A28" s="7" t="s">
        <v>157</v>
      </c>
      <c r="B28" s="9" t="n">
        <f aca="false">IFERROR((SUMIFS(Chained!$P:$P,Chained!$C:$C,"MemoryStore-&gt;FileStore-&gt;LossyStore",Chained!$E:$E,"",Chained!$F:$F,16))/(SUMIFS(Standalone!$P:$P,Standalone!$C:$C,"LossyStore",Standalone!$E:$E,"",Standalone!$F:$F,16)),0)</f>
        <v>0.817078951904844</v>
      </c>
      <c r="C28" s="9" t="n">
        <f aca="false">IFERROR((SUMIFS(Chained!$P:$P,Chained!$C:$C,"MemoryStore-&gt;FileStore-&gt;LossyStore",Chained!$E:$E,"",Chained!$F:$F,64))/(SUMIFS(Standalone!$P:$P,Standalone!$C:$C,"LossyStore",Standalone!$E:$E,"",Standalone!$F:$F,64)),0)</f>
        <v>0.848359119867231</v>
      </c>
      <c r="D28" s="9" t="n">
        <f aca="false">IFERROR((SUMIFS(Chained!$P:$P,Chained!$C:$C,"MemoryStore-&gt;FileStore-&gt;LossyStore",Chained!$E:$E,"",Chained!$F:$F,256))/(SUMIFS(Standalone!$P:$P,Standalone!$C:$C,"LossyStore",Standalone!$E:$E,"",Standalone!$F:$F,256)),0)</f>
        <v>0.832126398946675</v>
      </c>
      <c r="E28" s="9" t="n">
        <f aca="false">IFERROR((SUMIFS(Chained!$P:$P,Chained!$C:$C,"MemoryStore-&gt;FileStore-&gt;LossyStore",Chained!$E:$E,"",Chained!$F:$F,1024))/(SUMIFS(Standalone!$P:$P,Standalone!$C:$C,"LossyStore",Standalone!$E:$E,"",Standalone!$F:$F,1024)),0)</f>
        <v>0.849129162602759</v>
      </c>
      <c r="F28" s="9" t="n">
        <f aca="false">IFERROR((SUMIFS(Chained!$P:$P,Chained!$C:$C,"MemoryStore-&gt;FileStore-&gt;LossyStore",Chained!$E:$E,"",Chained!$F:$F,4096))/(SUMIFS(Standalone!$P:$P,Standalone!$C:$C,"LossyStore",Standalone!$E:$E,"",Standalone!$F:$F,4096)),0)</f>
        <v>0.825770719338049</v>
      </c>
    </row>
    <row r="29" customFormat="false" ht="15" hidden="false" customHeight="false" outlineLevel="0" collapsed="false">
      <c r="A29" s="7" t="s">
        <v>158</v>
      </c>
      <c r="B29" s="9" t="n">
        <f aca="false">IFERROR((SUMIFS(Chained!$P:$P,Chained!$C:$C,"MemoryStore-&gt;FileStore-&gt;LossyStore",Chained!$E:$E,0.1,Chained!$F:$F,16))/(SUMIFS(Standalone!$P:$P,Standalone!$C:$C,"LossyStore",Standalone!$E:$E,0.1,Standalone!$F:$F,16)),0)</f>
        <v>0.727836034318399</v>
      </c>
      <c r="C29" s="9" t="n">
        <f aca="false">IFERROR((SUMIFS(Chained!$P:$P,Chained!$C:$C,"MemoryStore-&gt;FileStore-&gt;LossyStore",Chained!$E:$E,0.1,Chained!$F:$F,64))/(SUMIFS(Standalone!$P:$P,Standalone!$C:$C,"LossyStore",Standalone!$E:$E,0.1,Standalone!$F:$F,64)),0)</f>
        <v>0.795786653677545</v>
      </c>
      <c r="D29" s="9" t="n">
        <f aca="false">IFERROR((SUMIFS(Chained!$P:$P,Chained!$C:$C,"MemoryStore-&gt;FileStore-&gt;LossyStore",Chained!$E:$E,0.1,Chained!$F:$F,256))/(SUMIFS(Standalone!$P:$P,Standalone!$C:$C,"LossyStore",Standalone!$E:$E,0.1,Standalone!$F:$F,256)),0)</f>
        <v>0.773259620280788</v>
      </c>
      <c r="E29" s="9" t="n">
        <f aca="false">IFERROR((SUMIFS(Chained!$P:$P,Chained!$C:$C,"MemoryStore-&gt;FileStore-&gt;LossyStore",Chained!$E:$E,0.1,Chained!$F:$F,1024))/(SUMIFS(Standalone!$P:$P,Standalone!$C:$C,"LossyStore",Standalone!$E:$E,0.1,Standalone!$F:$F,1024)),0)</f>
        <v>0.801789893386496</v>
      </c>
      <c r="F29" s="9" t="n">
        <f aca="false">IFERROR((SUMIFS(Chained!$P:$P,Chained!$C:$C,"MemoryStore-&gt;FileStore-&gt;LossyStore",Chained!$E:$E,0.1,Chained!$F:$F,4096))/(SUMIFS(Standalone!$P:$P,Standalone!$C:$C,"LossyStore",Standalone!$E:$E,0.1,Standalone!$F:$F,4096)),0)</f>
        <v>0.758433985839234</v>
      </c>
    </row>
    <row r="30" customFormat="false" ht="15" hidden="false" customHeight="false" outlineLevel="0" collapsed="false">
      <c r="A30" s="7" t="s">
        <v>159</v>
      </c>
      <c r="B30" s="9" t="n">
        <f aca="false">IFERROR((SUMIFS(Chained!$P:$P,Chained!$C:$C,"MemoryStore-&gt;FileStore-&gt;LossyStore",Chained!$E:$E,1,Chained!$F:$F,16))/(SUMIFS(Standalone!$P:$P,Standalone!$C:$C,"LossyStore",Standalone!$E:$E,1,Standalone!$F:$F,16)),0)</f>
        <v>0.703548706716729</v>
      </c>
      <c r="C30" s="9" t="n">
        <f aca="false">IFERROR((SUMIFS(Chained!$P:$P,Chained!$C:$C,"MemoryStore-&gt;FileStore-&gt;LossyStore",Chained!$E:$E,1,Chained!$F:$F,64))/(SUMIFS(Standalone!$P:$P,Standalone!$C:$C,"LossyStore",Standalone!$E:$E,1,Standalone!$F:$F,64)),0)</f>
        <v>0.779948063678447</v>
      </c>
      <c r="D30" s="9" t="n">
        <f aca="false">IFERROR((SUMIFS(Chained!$P:$P,Chained!$C:$C,"MemoryStore-&gt;FileStore-&gt;LossyStore",Chained!$E:$E,1,Chained!$F:$F,256))/(SUMIFS(Standalone!$P:$P,Standalone!$C:$C,"LossyStore",Standalone!$E:$E,1,Standalone!$F:$F,256)),0)</f>
        <v>0.751187131332052</v>
      </c>
      <c r="E30" s="9" t="n">
        <f aca="false">IFERROR((SUMIFS(Chained!$P:$P,Chained!$C:$C,"MemoryStore-&gt;FileStore-&gt;LossyStore",Chained!$E:$E,1,Chained!$F:$F,1024))/(SUMIFS(Standalone!$P:$P,Standalone!$C:$C,"LossyStore",Standalone!$E:$E,1,Standalone!$F:$F,1024)),0)</f>
        <v>0.785268214571657</v>
      </c>
      <c r="F30" s="9" t="n">
        <f aca="false">IFERROR((SUMIFS(Chained!$P:$P,Chained!$C:$C,"MemoryStore-&gt;FileStore-&gt;LossyStore",Chained!$E:$E,1,Chained!$F:$F,4096))/(SUMIFS(Standalone!$P:$P,Standalone!$C:$C,"LossyStore",Standalone!$E:$E,1,Standalone!$F:$F,4096)),0)</f>
        <v>0.734613001311371</v>
      </c>
    </row>
    <row r="31" customFormat="false" ht="15" hidden="false" customHeight="false" outlineLevel="0" collapsed="false">
      <c r="A31" s="7" t="s">
        <v>160</v>
      </c>
      <c r="B31" s="9" t="n">
        <f aca="false">IFERROR((SUMIFS(Chained!$P:$P,Chained!$C:$C,"MemoryStore-&gt;FileStore-&gt;LossyStore",Chained!$E:$E,5,Chained!$F:$F,16))/(SUMIFS(Standalone!$P:$P,Standalone!$C:$C,"LossyStore",Standalone!$E:$E,5,Standalone!$F:$F,16)),0)</f>
        <v>0.682523093925307</v>
      </c>
      <c r="C31" s="9" t="n">
        <f aca="false">IFERROR((SUMIFS(Chained!$P:$P,Chained!$C:$C,"MemoryStore-&gt;FileStore-&gt;LossyStore",Chained!$E:$E,5,Chained!$F:$F,64))/(SUMIFS(Standalone!$P:$P,Standalone!$C:$C,"LossyStore",Standalone!$E:$E,5,Standalone!$F:$F,64)),0)</f>
        <v>0.768773327142525</v>
      </c>
      <c r="D31" s="9" t="n">
        <f aca="false">IFERROR((SUMIFS(Chained!$P:$P,Chained!$C:$C,"MemoryStore-&gt;FileStore-&gt;LossyStore",Chained!$E:$E,5,Chained!$F:$F,256))/(SUMIFS(Standalone!$P:$P,Standalone!$C:$C,"LossyStore",Standalone!$E:$E,5,Standalone!$F:$F,256)),0)</f>
        <v>0.736288574196227</v>
      </c>
      <c r="E31" s="9" t="n">
        <f aca="false">IFERROR((SUMIFS(Chained!$P:$P,Chained!$C:$C,"MemoryStore-&gt;FileStore-&gt;LossyStore",Chained!$E:$E,5,Chained!$F:$F,1024))/(SUMIFS(Standalone!$P:$P,Standalone!$C:$C,"LossyStore",Standalone!$E:$E,5,Standalone!$F:$F,1024)),0)</f>
        <v>0.772134780812141</v>
      </c>
      <c r="F31" s="9" t="n">
        <f aca="false">IFERROR((SUMIFS(Chained!$P:$P,Chained!$C:$C,"MemoryStore-&gt;FileStore-&gt;LossyStore",Chained!$E:$E,5,Chained!$F:$F,4096))/(SUMIFS(Standalone!$P:$P,Standalone!$C:$C,"LossyStore",Standalone!$E:$E,5,Standalone!$F:$F,4096)),0)</f>
        <v>0.71272350145719</v>
      </c>
    </row>
    <row r="33" customFormat="false" ht="15" hidden="false" customHeight="false" outlineLevel="0" collapsed="false">
      <c r="A33" s="10" t="s">
        <v>141</v>
      </c>
      <c r="B33" s="2" t="s">
        <v>215</v>
      </c>
    </row>
    <row r="34" customFormat="false" ht="15" hidden="false" customHeight="false" outlineLevel="0" collapsed="false">
      <c r="A34" s="10" t="s">
        <v>143</v>
      </c>
      <c r="B34" s="2" t="s">
        <v>216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1"/>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10" min="2" style="0" width="13"/>
  </cols>
  <sheetData>
    <row r="1" customFormat="false" ht="15" hidden="false" customHeight="false" outlineLevel="0" collapsed="false">
      <c r="A1" s="8" t="s">
        <v>217</v>
      </c>
    </row>
    <row r="2" customFormat="false" ht="15" hidden="false" customHeight="false" outlineLevel="0" collapsed="false">
      <c r="A2" s="2" t="s">
        <v>218</v>
      </c>
    </row>
    <row r="4" customFormat="false" ht="15" hidden="false" customHeight="false" outlineLevel="0" collapsed="false">
      <c r="A4" s="3" t="s">
        <v>219</v>
      </c>
      <c r="B4" s="4"/>
      <c r="C4" s="4"/>
      <c r="D4" s="4"/>
      <c r="E4" s="4"/>
      <c r="F4" s="4"/>
    </row>
    <row r="5" customFormat="false" ht="15" hidden="false" customHeight="false" outlineLevel="0" collapsed="false">
      <c r="A5" s="6" t="s">
        <v>131</v>
      </c>
      <c r="B5" s="6" t="s">
        <v>132</v>
      </c>
      <c r="C5" s="6" t="s">
        <v>133</v>
      </c>
      <c r="D5" s="6" t="s">
        <v>134</v>
      </c>
      <c r="E5" s="6" t="s">
        <v>135</v>
      </c>
      <c r="F5" s="6" t="s">
        <v>136</v>
      </c>
    </row>
    <row r="6" customFormat="false" ht="15" hidden="false" customHeight="false" outlineLevel="0" collapsed="false">
      <c r="A6" s="7" t="s">
        <v>137</v>
      </c>
      <c r="B6" s="9" t="n">
        <f aca="false">SUMIFS(Standalone!$P:$P,Standalone!$C:$C,"LossyStore",Standalone!$E:$E,"",Standalone!$F:$F,16)</f>
        <v>4.6408</v>
      </c>
      <c r="C6" s="9" t="n">
        <f aca="false">SUMIFS(Standalone!$P:$P,Standalone!$C:$C,"LossyStore",Standalone!$E:$E,"",Standalone!$F:$F,64)</f>
        <v>3.7358</v>
      </c>
      <c r="D6" s="9" t="n">
        <f aca="false">SUMIFS(Standalone!$P:$P,Standalone!$C:$C,"LossyStore",Standalone!$E:$E,"",Standalone!$F:$F,256)</f>
        <v>4.1013</v>
      </c>
      <c r="E6" s="9" t="n">
        <f aca="false">SUMIFS(Standalone!$P:$P,Standalone!$C:$C,"LossyStore",Standalone!$E:$E,"",Standalone!$F:$F,1024)</f>
        <v>3.5885</v>
      </c>
      <c r="F6" s="9" t="n">
        <f aca="false">SUMIFS(Standalone!$P:$P,Standalone!$C:$C,"LossyStore",Standalone!$E:$E,"",Standalone!$F:$F,4096)</f>
        <v>4.4958</v>
      </c>
    </row>
    <row r="7" customFormat="false" ht="15" hidden="false" customHeight="false" outlineLevel="0" collapsed="false">
      <c r="A7" s="7" t="s">
        <v>138</v>
      </c>
      <c r="B7" s="9" t="n">
        <f aca="false">SUMIFS(Standalone!$P:$P,Standalone!$C:$C,"LossyStore",Standalone!$E:$E,0.1,Standalone!$F:$F,16)</f>
        <v>6.9234</v>
      </c>
      <c r="C7" s="9" t="n">
        <f aca="false">SUMIFS(Standalone!$P:$P,Standalone!$C:$C,"LossyStore",Standalone!$E:$E,0.1,Standalone!$F:$F,64)</f>
        <v>4.9272</v>
      </c>
      <c r="D7" s="9" t="n">
        <f aca="false">SUMIFS(Standalone!$P:$P,Standalone!$C:$C,"LossyStore",Standalone!$E:$E,0.1,Standalone!$F:$F,256)</f>
        <v>5.4988</v>
      </c>
      <c r="E7" s="9" t="n">
        <f aca="false">SUMIFS(Standalone!$P:$P,Standalone!$C:$C,"LossyStore",Standalone!$E:$E,0.1,Standalone!$F:$F,1024)</f>
        <v>4.6148</v>
      </c>
      <c r="F7" s="9" t="n">
        <f aca="false">SUMIFS(Standalone!$P:$P,Standalone!$C:$C,"LossyStore",Standalone!$E:$E,0.1,Standalone!$F:$F,4096)</f>
        <v>6.2426</v>
      </c>
    </row>
    <row r="8" customFormat="false" ht="15" hidden="false" customHeight="false" outlineLevel="0" collapsed="false">
      <c r="A8" s="7" t="s">
        <v>139</v>
      </c>
      <c r="B8" s="9" t="n">
        <f aca="false">SUMIFS(Standalone!$P:$P,Standalone!$C:$C,"LossyStore",Standalone!$E:$E,1,Standalone!$F:$F,16)</f>
        <v>7.6704</v>
      </c>
      <c r="C8" s="9" t="n">
        <f aca="false">SUMIFS(Standalone!$P:$P,Standalone!$C:$C,"LossyStore",Standalone!$E:$E,1,Standalone!$F:$F,64)</f>
        <v>5.3142</v>
      </c>
      <c r="D8" s="9" t="n">
        <f aca="false">SUMIFS(Standalone!$P:$P,Standalone!$C:$C,"LossyStore",Standalone!$E:$E,1,Standalone!$F:$F,256)</f>
        <v>6.0861</v>
      </c>
      <c r="E8" s="9" t="n">
        <f aca="false">SUMIFS(Standalone!$P:$P,Standalone!$C:$C,"LossyStore",Standalone!$E:$E,1,Standalone!$F:$F,1024)</f>
        <v>4.996</v>
      </c>
      <c r="F8" s="9" t="n">
        <f aca="false">SUMIFS(Standalone!$P:$P,Standalone!$C:$C,"LossyStore",Standalone!$E:$E,1,Standalone!$F:$F,4096)</f>
        <v>6.9393</v>
      </c>
    </row>
    <row r="9" customFormat="false" ht="15" hidden="false" customHeight="false" outlineLevel="0" collapsed="false">
      <c r="A9" s="7" t="s">
        <v>140</v>
      </c>
      <c r="B9" s="9" t="n">
        <f aca="false">SUMIFS(Standalone!$P:$P,Standalone!$C:$C,"LossyStore",Standalone!$E:$E,5,Standalone!$F:$F,16)</f>
        <v>8.3247</v>
      </c>
      <c r="C9" s="9" t="n">
        <f aca="false">SUMIFS(Standalone!$P:$P,Standalone!$C:$C,"LossyStore",Standalone!$E:$E,5,Standalone!$F:$F,64)</f>
        <v>5.5997</v>
      </c>
      <c r="D9" s="9" t="n">
        <f aca="false">SUMIFS(Standalone!$P:$P,Standalone!$C:$C,"LossyStore",Standalone!$E:$E,5,Standalone!$F:$F,256)</f>
        <v>6.5037</v>
      </c>
      <c r="E9" s="9" t="n">
        <f aca="false">SUMIFS(Standalone!$P:$P,Standalone!$C:$C,"LossyStore",Standalone!$E:$E,5,Standalone!$F:$F,1024)</f>
        <v>5.3242</v>
      </c>
      <c r="F9" s="9" t="n">
        <f aca="false">SUMIFS(Standalone!$P:$P,Standalone!$C:$C,"LossyStore",Standalone!$E:$E,5,Standalone!$F:$F,4096)</f>
        <v>7.6174</v>
      </c>
    </row>
    <row r="11" customFormat="false" ht="15" hidden="false" customHeight="false" outlineLevel="0" collapsed="false">
      <c r="A11" s="10" t="s">
        <v>141</v>
      </c>
      <c r="B11" s="2" t="s">
        <v>220</v>
      </c>
    </row>
    <row r="12" customFormat="false" ht="15" hidden="false" customHeight="false" outlineLevel="0" collapsed="false">
      <c r="A12" s="10" t="s">
        <v>143</v>
      </c>
      <c r="B12" s="2" t="s">
        <v>221</v>
      </c>
    </row>
    <row r="14" customFormat="false" ht="15" hidden="false" customHeight="false" outlineLevel="0" collapsed="false">
      <c r="A14" s="3" t="s">
        <v>222</v>
      </c>
      <c r="B14" s="4"/>
      <c r="C14" s="4"/>
      <c r="D14" s="4"/>
      <c r="E14" s="4"/>
      <c r="F14" s="4"/>
    </row>
    <row r="15" customFormat="false" ht="15" hidden="false" customHeight="false" outlineLevel="0" collapsed="false">
      <c r="A15" s="2" t="s">
        <v>223</v>
      </c>
    </row>
    <row r="16" customFormat="false" ht="15" hidden="false" customHeight="false" outlineLevel="0" collapsed="false">
      <c r="A16" s="6" t="s">
        <v>131</v>
      </c>
      <c r="B16" s="6" t="s">
        <v>132</v>
      </c>
      <c r="C16" s="6" t="s">
        <v>133</v>
      </c>
      <c r="D16" s="6" t="s">
        <v>134</v>
      </c>
      <c r="E16" s="6" t="s">
        <v>135</v>
      </c>
      <c r="F16" s="6" t="s">
        <v>136</v>
      </c>
    </row>
    <row r="17" customFormat="false" ht="15" hidden="false" customHeight="false" outlineLevel="0" collapsed="false">
      <c r="A17" s="7" t="s">
        <v>138</v>
      </c>
      <c r="B17" s="9" t="n">
        <f aca="false">B7/B6</f>
        <v>1.49185485261162</v>
      </c>
      <c r="C17" s="9" t="n">
        <f aca="false">C7/C6</f>
        <v>1.31891428877349</v>
      </c>
      <c r="D17" s="9" t="n">
        <f aca="false">D7/D6</f>
        <v>1.34074561724331</v>
      </c>
      <c r="E17" s="9" t="n">
        <f aca="false">E7/E6</f>
        <v>1.28599693465236</v>
      </c>
      <c r="F17" s="9" t="n">
        <f aca="false">F7/F6</f>
        <v>1.38854041549891</v>
      </c>
    </row>
    <row r="18" customFormat="false" ht="15" hidden="false" customHeight="false" outlineLevel="0" collapsed="false">
      <c r="A18" s="7" t="s">
        <v>139</v>
      </c>
      <c r="B18" s="9" t="n">
        <f aca="false">B8/B6</f>
        <v>1.65281847957249</v>
      </c>
      <c r="C18" s="9" t="n">
        <f aca="false">C8/C6</f>
        <v>1.42250655816693</v>
      </c>
      <c r="D18" s="9" t="n">
        <f aca="false">D8/D6</f>
        <v>1.48394411528052</v>
      </c>
      <c r="E18" s="9" t="n">
        <f aca="false">E8/E6</f>
        <v>1.39222516371743</v>
      </c>
      <c r="F18" s="9" t="n">
        <f aca="false">F8/F6</f>
        <v>1.54350727345522</v>
      </c>
    </row>
    <row r="19" customFormat="false" ht="15" hidden="false" customHeight="false" outlineLevel="0" collapsed="false">
      <c r="A19" s="7" t="s">
        <v>140</v>
      </c>
      <c r="B19" s="9" t="n">
        <f aca="false">B9/B6</f>
        <v>1.79380710222375</v>
      </c>
      <c r="C19" s="9" t="n">
        <f aca="false">C9/C6</f>
        <v>1.49892927886932</v>
      </c>
      <c r="D19" s="9" t="n">
        <f aca="false">D9/D6</f>
        <v>1.5857654889913</v>
      </c>
      <c r="E19" s="9" t="n">
        <f aca="false">E9/E6</f>
        <v>1.48368399052529</v>
      </c>
      <c r="F19" s="9" t="n">
        <f aca="false">F9/F6</f>
        <v>1.69433693669647</v>
      </c>
    </row>
    <row r="22" customFormat="false" ht="15" hidden="false" customHeight="false" outlineLevel="0" collapsed="false">
      <c r="A22" s="10" t="s">
        <v>141</v>
      </c>
      <c r="B22" s="2" t="s">
        <v>224</v>
      </c>
    </row>
    <row r="23" customFormat="false" ht="15" hidden="false" customHeight="false" outlineLevel="0" collapsed="false">
      <c r="A23" s="10" t="s">
        <v>143</v>
      </c>
      <c r="B23" s="2" t="s">
        <v>225</v>
      </c>
    </row>
    <row r="26" customFormat="false" ht="15" hidden="false" customHeight="false" outlineLevel="0" collapsed="false">
      <c r="A26" s="3" t="s">
        <v>226</v>
      </c>
      <c r="B26" s="4"/>
      <c r="C26" s="4"/>
      <c r="D26" s="4"/>
      <c r="E26" s="4"/>
      <c r="F26" s="4"/>
      <c r="G26" s="4"/>
    </row>
    <row r="27" customFormat="false" ht="15" hidden="false" customHeight="false" outlineLevel="0" collapsed="false">
      <c r="A27" s="2" t="s">
        <v>227</v>
      </c>
    </row>
    <row r="28" customFormat="false" ht="15" hidden="false" customHeight="false" outlineLevel="0" collapsed="false">
      <c r="A28" s="6" t="s">
        <v>228</v>
      </c>
      <c r="B28" s="6" t="s">
        <v>91</v>
      </c>
      <c r="C28" s="6" t="s">
        <v>229</v>
      </c>
      <c r="D28" s="6" t="s">
        <v>230</v>
      </c>
      <c r="E28" s="6" t="s">
        <v>95</v>
      </c>
      <c r="F28" s="6" t="s">
        <v>231</v>
      </c>
      <c r="G28" s="6" t="s">
        <v>232</v>
      </c>
    </row>
    <row r="29" customFormat="false" ht="15" hidden="false" customHeight="false" outlineLevel="0" collapsed="false">
      <c r="A29" s="7" t="n">
        <v>0</v>
      </c>
      <c r="B29" s="13" t="n">
        <v>697848</v>
      </c>
      <c r="C29" s="7" t="n">
        <v>3.4892</v>
      </c>
      <c r="D29" s="15" t="n">
        <f aca="false">IFERROR(B29/B29-1,0)</f>
        <v>0</v>
      </c>
      <c r="E29" s="7" t="s">
        <v>105</v>
      </c>
      <c r="F29" s="7" t="n">
        <v>0</v>
      </c>
      <c r="G29" s="16" t="n">
        <f aca="false">A29/100</f>
        <v>0</v>
      </c>
    </row>
    <row r="30" customFormat="false" ht="15" hidden="false" customHeight="false" outlineLevel="0" collapsed="false">
      <c r="A30" s="7" t="n">
        <v>0.01</v>
      </c>
      <c r="B30" s="13" t="n">
        <v>404387</v>
      </c>
      <c r="C30" s="7" t="n">
        <v>2.0219</v>
      </c>
      <c r="D30" s="15" t="n">
        <f aca="false">IFERROR(B30/B29-1,0)</f>
        <v>-0.420522807258887</v>
      </c>
      <c r="E30" s="7" t="s">
        <v>108</v>
      </c>
      <c r="F30" s="7" t="n">
        <v>9.99979122E-005</v>
      </c>
      <c r="G30" s="16" t="n">
        <f aca="false">A30/100</f>
        <v>0.0001</v>
      </c>
    </row>
    <row r="31" customFormat="false" ht="15" hidden="false" customHeight="false" outlineLevel="0" collapsed="false">
      <c r="A31" s="7" t="n">
        <v>0.1</v>
      </c>
      <c r="B31" s="13" t="n">
        <v>335378</v>
      </c>
      <c r="C31" s="7" t="n">
        <v>1.6769</v>
      </c>
      <c r="D31" s="15" t="n">
        <f aca="false">IFERROR(B31/B29-1,0)</f>
        <v>-0.519411103850695</v>
      </c>
      <c r="E31" s="7" t="s">
        <v>108</v>
      </c>
      <c r="F31" s="7" t="n">
        <v>0.000999989495</v>
      </c>
      <c r="G31" s="16" t="n">
        <f aca="false">A31/100</f>
        <v>0.001</v>
      </c>
    </row>
    <row r="32" customFormat="false" ht="15" hidden="false" customHeight="false" outlineLevel="0" collapsed="false">
      <c r="A32" s="7" t="n">
        <v>0.5</v>
      </c>
      <c r="B32" s="13" t="n">
        <v>275907</v>
      </c>
      <c r="C32" s="7" t="n">
        <v>1.3795</v>
      </c>
      <c r="D32" s="15" t="n">
        <f aca="false">IFERROR(B32/B29-1,0)</f>
        <v>-0.604631667641091</v>
      </c>
      <c r="E32" s="7" t="s">
        <v>108</v>
      </c>
      <c r="F32" s="7" t="n">
        <v>0.00499984237</v>
      </c>
      <c r="G32" s="16" t="n">
        <f aca="false">A32/100</f>
        <v>0.005</v>
      </c>
    </row>
    <row r="33" customFormat="false" ht="15" hidden="false" customHeight="false" outlineLevel="0" collapsed="false">
      <c r="A33" s="7" t="n">
        <v>1</v>
      </c>
      <c r="B33" s="13" t="n">
        <v>252612</v>
      </c>
      <c r="C33" s="7" t="n">
        <v>1.2631</v>
      </c>
      <c r="D33" s="15" t="n">
        <f aca="false">IFERROR(B33/B29-1,0)</f>
        <v>-0.638012862399835</v>
      </c>
      <c r="E33" s="7" t="s">
        <v>108</v>
      </c>
      <c r="F33" s="7" t="n">
        <v>0.00999997912</v>
      </c>
      <c r="G33" s="16" t="n">
        <f aca="false">A33/100</f>
        <v>0.01</v>
      </c>
    </row>
    <row r="34" customFormat="false" ht="15" hidden="false" customHeight="false" outlineLevel="0" collapsed="false">
      <c r="A34" s="7" t="n">
        <v>2</v>
      </c>
      <c r="B34" s="13" t="n">
        <v>192392</v>
      </c>
      <c r="C34" s="7" t="n">
        <v>0.962</v>
      </c>
      <c r="D34" s="15" t="n">
        <f aca="false">IFERROR(B34/B29-1,0)</f>
        <v>-0.724306725819949</v>
      </c>
      <c r="E34" s="7" t="s">
        <v>108</v>
      </c>
      <c r="F34" s="7" t="n">
        <v>0.0199999694</v>
      </c>
      <c r="G34" s="16" t="n">
        <f aca="false">A34/100</f>
        <v>0.02</v>
      </c>
    </row>
    <row r="35" customFormat="false" ht="15" hidden="false" customHeight="false" outlineLevel="0" collapsed="false">
      <c r="A35" s="17" t="n">
        <v>5</v>
      </c>
      <c r="B35" s="18" t="n">
        <v>198882</v>
      </c>
      <c r="C35" s="17" t="n">
        <v>0.9944</v>
      </c>
      <c r="D35" s="19" t="n">
        <f aca="false">IFERROR(B35/B29-1,0)</f>
        <v>-0.715006706331465</v>
      </c>
      <c r="E35" s="17" t="s">
        <v>108</v>
      </c>
      <c r="F35" s="17" t="n">
        <v>0.0499991623</v>
      </c>
      <c r="G35" s="20" t="n">
        <f aca="false">A35/100</f>
        <v>0.05</v>
      </c>
    </row>
    <row r="36" customFormat="false" ht="15" hidden="false" customHeight="false" outlineLevel="0" collapsed="false">
      <c r="A36" s="7" t="n">
        <v>10</v>
      </c>
      <c r="B36" s="13" t="n">
        <v>158442</v>
      </c>
      <c r="C36" s="7" t="n">
        <v>0.7922</v>
      </c>
      <c r="D36" s="15" t="n">
        <f aca="false">IFERROR(B36/B29-1,0)</f>
        <v>-0.772956288475427</v>
      </c>
      <c r="E36" s="7" t="s">
        <v>108</v>
      </c>
      <c r="F36" s="7" t="n">
        <v>0.0999987021</v>
      </c>
      <c r="G36" s="16" t="n">
        <f aca="false">A36/100</f>
        <v>0.1</v>
      </c>
    </row>
    <row r="37" customFormat="false" ht="15" hidden="false" customHeight="false" outlineLevel="0" collapsed="false">
      <c r="A37" s="7" t="n">
        <v>20</v>
      </c>
      <c r="B37" s="13" t="n">
        <v>142123</v>
      </c>
      <c r="C37" s="7" t="n">
        <v>0.7106</v>
      </c>
      <c r="D37" s="15" t="n">
        <f aca="false">IFERROR(B37/B29-1,0)</f>
        <v>-0.796341037016657</v>
      </c>
      <c r="E37" s="7" t="s">
        <v>108</v>
      </c>
      <c r="F37" s="7" t="n">
        <v>0.199996964</v>
      </c>
      <c r="G37" s="16" t="n">
        <f aca="false">A37/100</f>
        <v>0.2</v>
      </c>
    </row>
    <row r="39" customFormat="false" ht="15" hidden="false" customHeight="false" outlineLevel="0" collapsed="false">
      <c r="A39" s="2" t="s">
        <v>233</v>
      </c>
    </row>
    <row r="40" customFormat="false" ht="15" hidden="false" customHeight="false" outlineLevel="0" collapsed="false">
      <c r="A40" s="2" t="s">
        <v>234</v>
      </c>
    </row>
    <row r="41" customFormat="false" ht="15" hidden="false" customHeight="false" outlineLevel="0" collapsed="false">
      <c r="A41" s="2" t="s">
        <v>235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4"/>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5" min="2" style="0" width="12"/>
  </cols>
  <sheetData>
    <row r="1" customFormat="false" ht="15" hidden="false" customHeight="false" outlineLevel="0" collapsed="false">
      <c r="A1" s="8" t="s">
        <v>236</v>
      </c>
    </row>
    <row r="3" customFormat="false" ht="15" hidden="false" customHeight="false" outlineLevel="0" collapsed="false">
      <c r="A3" s="3" t="s">
        <v>237</v>
      </c>
      <c r="B3" s="4"/>
      <c r="C3" s="4"/>
      <c r="D3" s="4"/>
      <c r="E3" s="4"/>
      <c r="F3" s="4"/>
    </row>
    <row r="4" customFormat="false" ht="15" hidden="false" customHeight="false" outlineLevel="0" collapsed="false">
      <c r="A4" s="2" t="s">
        <v>238</v>
      </c>
    </row>
    <row r="5" customFormat="false" ht="15" hidden="false" customHeight="false" outlineLevel="0" collapsed="false">
      <c r="A5" s="6" t="s">
        <v>131</v>
      </c>
      <c r="B5" s="6" t="s">
        <v>132</v>
      </c>
      <c r="C5" s="6" t="s">
        <v>133</v>
      </c>
      <c r="D5" s="6" t="s">
        <v>134</v>
      </c>
      <c r="E5" s="6" t="s">
        <v>135</v>
      </c>
      <c r="F5" s="6" t="s">
        <v>136</v>
      </c>
    </row>
    <row r="6" customFormat="false" ht="15" hidden="false" customHeight="false" outlineLevel="0" collapsed="false">
      <c r="A6" s="7" t="s">
        <v>82</v>
      </c>
      <c r="B6" s="21" t="n">
        <f aca="false">SUMIFS(Standalone!$O:$O,Standalone!$C:$C,"MemoryStore",Standalone!$E:$E,"",Standalone!$F:$F,16)</f>
        <v>0</v>
      </c>
      <c r="C6" s="21" t="n">
        <f aca="false">SUMIFS(Standalone!$O:$O,Standalone!$C:$C,"MemoryStore",Standalone!$E:$E,"",Standalone!$F:$F,64)</f>
        <v>0</v>
      </c>
      <c r="D6" s="21" t="n">
        <f aca="false">SUMIFS(Standalone!$O:$O,Standalone!$C:$C,"MemoryStore",Standalone!$E:$E,"",Standalone!$F:$F,256)</f>
        <v>0</v>
      </c>
      <c r="E6" s="21" t="n">
        <f aca="false">SUMIFS(Standalone!$O:$O,Standalone!$C:$C,"MemoryStore",Standalone!$E:$E,"",Standalone!$F:$F,1024)</f>
        <v>0</v>
      </c>
      <c r="F6" s="21" t="n">
        <f aca="false">SUMIFS(Standalone!$O:$O,Standalone!$C:$C,"MemoryStore",Standalone!$E:$E,"",Standalone!$F:$F,4096)</f>
        <v>0</v>
      </c>
    </row>
    <row r="7" customFormat="false" ht="15" hidden="false" customHeight="false" outlineLevel="0" collapsed="false">
      <c r="A7" s="7" t="s">
        <v>83</v>
      </c>
      <c r="B7" s="21" t="n">
        <f aca="false">SUMIFS(Standalone!$O:$O,Standalone!$C:$C,"FileStore",Standalone!$E:$E,"",Standalone!$F:$F,16)</f>
        <v>0.003778</v>
      </c>
      <c r="C7" s="21" t="n">
        <f aca="false">SUMIFS(Standalone!$O:$O,Standalone!$C:$C,"FileStore",Standalone!$E:$E,"",Standalone!$F:$F,64)</f>
        <v>0.001048</v>
      </c>
      <c r="D7" s="21" t="n">
        <f aca="false">SUMIFS(Standalone!$O:$O,Standalone!$C:$C,"FileStore",Standalone!$E:$E,"",Standalone!$F:$F,256)</f>
        <v>0.000363</v>
      </c>
      <c r="E7" s="21" t="n">
        <f aca="false">SUMIFS(Standalone!$O:$O,Standalone!$C:$C,"FileStore",Standalone!$E:$E,"",Standalone!$F:$F,1024)</f>
        <v>0.000192</v>
      </c>
      <c r="F7" s="21" t="n">
        <f aca="false">SUMIFS(Standalone!$O:$O,Standalone!$C:$C,"FileStore",Standalone!$E:$E,"",Standalone!$F:$F,4096)</f>
        <v>0.000149</v>
      </c>
    </row>
    <row r="8" customFormat="false" ht="15" hidden="false" customHeight="false" outlineLevel="0" collapsed="false">
      <c r="A8" s="7" t="s">
        <v>79</v>
      </c>
      <c r="B8" s="21" t="n">
        <f aca="false">SUMIFS(Standalone!$O:$O,Standalone!$C:$C,"CompressedStore",Standalone!$E:$E,"",Standalone!$F:$F,16)</f>
        <v>0.008076</v>
      </c>
      <c r="C8" s="21" t="n">
        <f aca="false">SUMIFS(Standalone!$O:$O,Standalone!$C:$C,"CompressedStore",Standalone!$E:$E,"",Standalone!$F:$F,64)</f>
        <v>0.002265</v>
      </c>
      <c r="D8" s="21" t="n">
        <f aca="false">SUMIFS(Standalone!$O:$O,Standalone!$C:$C,"CompressedStore",Standalone!$E:$E,"",Standalone!$F:$F,256)</f>
        <v>0.000746</v>
      </c>
      <c r="E8" s="21" t="n">
        <f aca="false">SUMIFS(Standalone!$O:$O,Standalone!$C:$C,"CompressedStore",Standalone!$E:$E,"",Standalone!$F:$F,1024)</f>
        <v>0.000364</v>
      </c>
      <c r="F8" s="21" t="n">
        <f aca="false">SUMIFS(Standalone!$O:$O,Standalone!$C:$C,"CompressedStore",Standalone!$E:$E,"",Standalone!$F:$F,4096)</f>
        <v>0.000269</v>
      </c>
    </row>
    <row r="9" customFormat="false" ht="15" hidden="false" customHeight="false" outlineLevel="0" collapsed="false">
      <c r="A9" s="7" t="s">
        <v>137</v>
      </c>
      <c r="B9" s="21" t="n">
        <f aca="false">SUMIFS(Standalone!$O:$O,Standalone!$C:$C,"LossyStore",Standalone!$E:$E,"",Standalone!$F:$F,16)</f>
        <v>0.062969</v>
      </c>
      <c r="C9" s="21" t="n">
        <f aca="false">SUMIFS(Standalone!$O:$O,Standalone!$C:$C,"LossyStore",Standalone!$E:$E,"",Standalone!$F:$F,64)</f>
        <v>0.013604</v>
      </c>
      <c r="D9" s="21" t="n">
        <f aca="false">SUMIFS(Standalone!$O:$O,Standalone!$C:$C,"LossyStore",Standalone!$E:$E,"",Standalone!$F:$F,256)</f>
        <v>0.004063</v>
      </c>
      <c r="E9" s="21" t="n">
        <f aca="false">SUMIFS(Standalone!$O:$O,Standalone!$C:$C,"LossyStore",Standalone!$E:$E,"",Standalone!$F:$F,1024)</f>
        <v>0.001148</v>
      </c>
      <c r="F9" s="21" t="n">
        <f aca="false">SUMIFS(Standalone!$O:$O,Standalone!$C:$C,"LossyStore",Standalone!$E:$E,"",Standalone!$F:$F,4096)</f>
        <v>0.000682</v>
      </c>
    </row>
    <row r="10" customFormat="false" ht="15" hidden="false" customHeight="false" outlineLevel="0" collapsed="false">
      <c r="A10" s="7" t="s">
        <v>138</v>
      </c>
      <c r="B10" s="21" t="n">
        <f aca="false">SUMIFS(Standalone!$O:$O,Standalone!$C:$C,"LossyStore",Standalone!$E:$E,0.1,Standalone!$F:$F,16)</f>
        <v>0.091118</v>
      </c>
      <c r="C10" s="21" t="n">
        <f aca="false">SUMIFS(Standalone!$O:$O,Standalone!$C:$C,"LossyStore",Standalone!$E:$E,0.1,Standalone!$F:$F,64)</f>
        <v>0.017865</v>
      </c>
      <c r="D10" s="21" t="n">
        <f aca="false">SUMIFS(Standalone!$O:$O,Standalone!$C:$C,"LossyStore",Standalone!$E:$E,0.1,Standalone!$F:$F,256)</f>
        <v>0.00544</v>
      </c>
      <c r="E10" s="21" t="n">
        <f aca="false">SUMIFS(Standalone!$O:$O,Standalone!$C:$C,"LossyStore",Standalone!$E:$E,0.1,Standalone!$F:$F,1024)</f>
        <v>0.001476</v>
      </c>
      <c r="F10" s="21" t="n">
        <f aca="false">SUMIFS(Standalone!$O:$O,Standalone!$C:$C,"LossyStore",Standalone!$E:$E,0.1,Standalone!$F:$F,4096)</f>
        <v>0.000947</v>
      </c>
    </row>
    <row r="11" customFormat="false" ht="15" hidden="false" customHeight="false" outlineLevel="0" collapsed="false">
      <c r="A11" s="7" t="s">
        <v>139</v>
      </c>
      <c r="B11" s="21" t="n">
        <f aca="false">SUMIFS(Standalone!$O:$O,Standalone!$C:$C,"LossyStore",Standalone!$E:$E,1,Standalone!$F:$F,16)</f>
        <v>0.099966</v>
      </c>
      <c r="C11" s="21" t="n">
        <f aca="false">SUMIFS(Standalone!$O:$O,Standalone!$C:$C,"LossyStore",Standalone!$E:$E,1,Standalone!$F:$F,64)</f>
        <v>0.019241</v>
      </c>
      <c r="D11" s="21" t="n">
        <f aca="false">SUMIFS(Standalone!$O:$O,Standalone!$C:$C,"LossyStore",Standalone!$E:$E,1,Standalone!$F:$F,256)</f>
        <v>0.006017</v>
      </c>
      <c r="E11" s="21" t="n">
        <f aca="false">SUMIFS(Standalone!$O:$O,Standalone!$C:$C,"LossyStore",Standalone!$E:$E,1,Standalone!$F:$F,1024)</f>
        <v>0.001598</v>
      </c>
      <c r="F11" s="21" t="n">
        <f aca="false">SUMIFS(Standalone!$O:$O,Standalone!$C:$C,"LossyStore",Standalone!$E:$E,1,Standalone!$F:$F,4096)</f>
        <v>0.001052</v>
      </c>
    </row>
    <row r="12" customFormat="false" ht="15" hidden="false" customHeight="false" outlineLevel="0" collapsed="false">
      <c r="A12" s="7" t="s">
        <v>140</v>
      </c>
      <c r="B12" s="21" t="n">
        <f aca="false">SUMIFS(Standalone!$O:$O,Standalone!$C:$C,"LossyStore",Standalone!$E:$E,5,Standalone!$F:$F,16)</f>
        <v>0.107577</v>
      </c>
      <c r="C12" s="21" t="n">
        <f aca="false">SUMIFS(Standalone!$O:$O,Standalone!$C:$C,"LossyStore",Standalone!$E:$E,5,Standalone!$F:$F,64)</f>
        <v>0.020254</v>
      </c>
      <c r="D12" s="21" t="n">
        <f aca="false">SUMIFS(Standalone!$O:$O,Standalone!$C:$C,"LossyStore",Standalone!$E:$E,5,Standalone!$F:$F,256)</f>
        <v>0.006427</v>
      </c>
      <c r="E12" s="21" t="n">
        <f aca="false">SUMIFS(Standalone!$O:$O,Standalone!$C:$C,"LossyStore",Standalone!$E:$E,5,Standalone!$F:$F,1024)</f>
        <v>0.001703</v>
      </c>
      <c r="F12" s="21" t="n">
        <f aca="false">SUMIFS(Standalone!$O:$O,Standalone!$C:$C,"LossyStore",Standalone!$E:$E,5,Standalone!$F:$F,4096)</f>
        <v>0.001155</v>
      </c>
    </row>
    <row r="14" customFormat="false" ht="15" hidden="false" customHeight="false" outlineLevel="0" collapsed="false">
      <c r="A14" s="10" t="s">
        <v>141</v>
      </c>
      <c r="B14" s="2" t="s">
        <v>239</v>
      </c>
    </row>
    <row r="15" customFormat="false" ht="15" hidden="false" customHeight="false" outlineLevel="0" collapsed="false">
      <c r="A15" s="10" t="s">
        <v>143</v>
      </c>
      <c r="B15" s="2" t="s">
        <v>240</v>
      </c>
    </row>
    <row r="17" customFormat="false" ht="15" hidden="false" customHeight="false" outlineLevel="0" collapsed="false">
      <c r="A17" s="3" t="s">
        <v>241</v>
      </c>
      <c r="B17" s="4"/>
      <c r="C17" s="4"/>
      <c r="D17" s="4"/>
      <c r="E17" s="4"/>
      <c r="F17" s="4"/>
    </row>
    <row r="18" customFormat="false" ht="15" hidden="false" customHeight="false" outlineLevel="0" collapsed="false">
      <c r="A18" s="6" t="s">
        <v>131</v>
      </c>
      <c r="B18" s="6" t="s">
        <v>132</v>
      </c>
      <c r="C18" s="6" t="s">
        <v>133</v>
      </c>
      <c r="D18" s="6" t="s">
        <v>134</v>
      </c>
      <c r="E18" s="6" t="s">
        <v>135</v>
      </c>
      <c r="F18" s="6" t="s">
        <v>136</v>
      </c>
    </row>
    <row r="19" customFormat="false" ht="15" hidden="false" customHeight="false" outlineLevel="0" collapsed="false">
      <c r="A19" s="7" t="s">
        <v>82</v>
      </c>
      <c r="B19" s="12" t="n">
        <f aca="false">SUMIFS(Standalone!$R:$R,Standalone!$C:$C,"MemoryStore",Standalone!$E:$E,"",Standalone!$F:$F,16)</f>
        <v>0</v>
      </c>
      <c r="C19" s="12" t="n">
        <f aca="false">SUMIFS(Standalone!$R:$R,Standalone!$C:$C,"MemoryStore",Standalone!$E:$E,"",Standalone!$F:$F,64)</f>
        <v>0</v>
      </c>
      <c r="D19" s="12" t="n">
        <f aca="false">SUMIFS(Standalone!$R:$R,Standalone!$C:$C,"MemoryStore",Standalone!$E:$E,"",Standalone!$F:$F,256)</f>
        <v>0</v>
      </c>
      <c r="E19" s="12" t="n">
        <f aca="false">SUMIFS(Standalone!$R:$R,Standalone!$C:$C,"MemoryStore",Standalone!$E:$E,"",Standalone!$F:$F,1024)</f>
        <v>0</v>
      </c>
      <c r="F19" s="12" t="n">
        <f aca="false">SUMIFS(Standalone!$R:$R,Standalone!$C:$C,"MemoryStore",Standalone!$E:$E,"",Standalone!$F:$F,4096)</f>
        <v>0</v>
      </c>
    </row>
    <row r="20" customFormat="false" ht="15" hidden="false" customHeight="false" outlineLevel="0" collapsed="false">
      <c r="A20" s="7" t="s">
        <v>83</v>
      </c>
      <c r="B20" s="12" t="n">
        <f aca="false">SUMIFS(Standalone!$R:$R,Standalone!$C:$C,"FileStore",Standalone!$E:$E,"",Standalone!$F:$F,16)</f>
        <v>342</v>
      </c>
      <c r="C20" s="12" t="n">
        <f aca="false">SUMIFS(Standalone!$R:$R,Standalone!$C:$C,"FileStore",Standalone!$E:$E,"",Standalone!$F:$F,64)</f>
        <v>86</v>
      </c>
      <c r="D20" s="12" t="n">
        <f aca="false">SUMIFS(Standalone!$R:$R,Standalone!$C:$C,"FileStore",Standalone!$E:$E,"",Standalone!$F:$F,256)</f>
        <v>22</v>
      </c>
      <c r="E20" s="12" t="n">
        <f aca="false">SUMIFS(Standalone!$R:$R,Standalone!$C:$C,"FileStore",Standalone!$E:$E,"",Standalone!$F:$F,1024)</f>
        <v>6</v>
      </c>
      <c r="F20" s="12" t="n">
        <f aca="false">SUMIFS(Standalone!$R:$R,Standalone!$C:$C,"FileStore",Standalone!$E:$E,"",Standalone!$F:$F,4096)</f>
        <v>2</v>
      </c>
    </row>
    <row r="21" customFormat="false" ht="15" hidden="false" customHeight="false" outlineLevel="0" collapsed="false">
      <c r="A21" s="7" t="s">
        <v>79</v>
      </c>
      <c r="B21" s="12" t="n">
        <f aca="false">SUMIFS(Standalone!$R:$R,Standalone!$C:$C,"CompressedStore",Standalone!$E:$E,"",Standalone!$F:$F,16)</f>
        <v>342</v>
      </c>
      <c r="C21" s="12" t="n">
        <f aca="false">SUMIFS(Standalone!$R:$R,Standalone!$C:$C,"CompressedStore",Standalone!$E:$E,"",Standalone!$F:$F,64)</f>
        <v>86</v>
      </c>
      <c r="D21" s="12" t="n">
        <f aca="false">SUMIFS(Standalone!$R:$R,Standalone!$C:$C,"CompressedStore",Standalone!$E:$E,"",Standalone!$F:$F,256)</f>
        <v>22</v>
      </c>
      <c r="E21" s="12" t="n">
        <f aca="false">SUMIFS(Standalone!$R:$R,Standalone!$C:$C,"CompressedStore",Standalone!$E:$E,"",Standalone!$F:$F,1024)</f>
        <v>6</v>
      </c>
      <c r="F21" s="12" t="n">
        <f aca="false">SUMIFS(Standalone!$R:$R,Standalone!$C:$C,"CompressedStore",Standalone!$E:$E,"",Standalone!$F:$F,4096)</f>
        <v>2</v>
      </c>
    </row>
    <row r="22" customFormat="false" ht="15" hidden="false" customHeight="false" outlineLevel="0" collapsed="false">
      <c r="A22" s="7" t="s">
        <v>137</v>
      </c>
      <c r="B22" s="12" t="n">
        <f aca="false">SUMIFS(Standalone!$R:$R,Standalone!$C:$C,"LossyStore",Standalone!$E:$E,"",Standalone!$F:$F,16)</f>
        <v>342</v>
      </c>
      <c r="C22" s="12" t="n">
        <f aca="false">SUMIFS(Standalone!$R:$R,Standalone!$C:$C,"LossyStore",Standalone!$E:$E,"",Standalone!$F:$F,64)</f>
        <v>86</v>
      </c>
      <c r="D22" s="12" t="n">
        <f aca="false">SUMIFS(Standalone!$R:$R,Standalone!$C:$C,"LossyStore",Standalone!$E:$E,"",Standalone!$F:$F,256)</f>
        <v>22</v>
      </c>
      <c r="E22" s="12" t="n">
        <f aca="false">SUMIFS(Standalone!$R:$R,Standalone!$C:$C,"LossyStore",Standalone!$E:$E,"",Standalone!$F:$F,1024)</f>
        <v>6</v>
      </c>
      <c r="F22" s="12" t="n">
        <f aca="false">SUMIFS(Standalone!$R:$R,Standalone!$C:$C,"LossyStore",Standalone!$E:$E,"",Standalone!$F:$F,4096)</f>
        <v>2</v>
      </c>
    </row>
    <row r="23" customFormat="false" ht="15" hidden="false" customHeight="false" outlineLevel="0" collapsed="false">
      <c r="A23" s="7" t="s">
        <v>138</v>
      </c>
      <c r="B23" s="12" t="n">
        <f aca="false">SUMIFS(Standalone!$R:$R,Standalone!$C:$C,"LossyStore",Standalone!$E:$E,0.1,Standalone!$F:$F,16)</f>
        <v>342</v>
      </c>
      <c r="C23" s="12" t="n">
        <f aca="false">SUMIFS(Standalone!$R:$R,Standalone!$C:$C,"LossyStore",Standalone!$E:$E,0.1,Standalone!$F:$F,64)</f>
        <v>86</v>
      </c>
      <c r="D23" s="12" t="n">
        <f aca="false">SUMIFS(Standalone!$R:$R,Standalone!$C:$C,"LossyStore",Standalone!$E:$E,0.1,Standalone!$F:$F,256)</f>
        <v>22</v>
      </c>
      <c r="E23" s="12" t="n">
        <f aca="false">SUMIFS(Standalone!$R:$R,Standalone!$C:$C,"LossyStore",Standalone!$E:$E,0.1,Standalone!$F:$F,1024)</f>
        <v>6</v>
      </c>
      <c r="F23" s="12" t="n">
        <f aca="false">SUMIFS(Standalone!$R:$R,Standalone!$C:$C,"LossyStore",Standalone!$E:$E,0.1,Standalone!$F:$F,4096)</f>
        <v>2</v>
      </c>
    </row>
    <row r="24" customFormat="false" ht="15" hidden="false" customHeight="false" outlineLevel="0" collapsed="false">
      <c r="A24" s="7" t="s">
        <v>139</v>
      </c>
      <c r="B24" s="12" t="n">
        <f aca="false">SUMIFS(Standalone!$R:$R,Standalone!$C:$C,"LossyStore",Standalone!$E:$E,1,Standalone!$F:$F,16)</f>
        <v>342</v>
      </c>
      <c r="C24" s="12" t="n">
        <f aca="false">SUMIFS(Standalone!$R:$R,Standalone!$C:$C,"LossyStore",Standalone!$E:$E,1,Standalone!$F:$F,64)</f>
        <v>86</v>
      </c>
      <c r="D24" s="12" t="n">
        <f aca="false">SUMIFS(Standalone!$R:$R,Standalone!$C:$C,"LossyStore",Standalone!$E:$E,1,Standalone!$F:$F,256)</f>
        <v>22</v>
      </c>
      <c r="E24" s="12" t="n">
        <f aca="false">SUMIFS(Standalone!$R:$R,Standalone!$C:$C,"LossyStore",Standalone!$E:$E,1,Standalone!$F:$F,1024)</f>
        <v>6</v>
      </c>
      <c r="F24" s="12" t="n">
        <f aca="false">SUMIFS(Standalone!$R:$R,Standalone!$C:$C,"LossyStore",Standalone!$E:$E,1,Standalone!$F:$F,4096)</f>
        <v>2</v>
      </c>
    </row>
    <row r="25" customFormat="false" ht="15" hidden="false" customHeight="false" outlineLevel="0" collapsed="false">
      <c r="A25" s="7" t="s">
        <v>140</v>
      </c>
      <c r="B25" s="12" t="n">
        <f aca="false">SUMIFS(Standalone!$R:$R,Standalone!$C:$C,"LossyStore",Standalone!$E:$E,5,Standalone!$F:$F,16)</f>
        <v>342</v>
      </c>
      <c r="C25" s="12" t="n">
        <f aca="false">SUMIFS(Standalone!$R:$R,Standalone!$C:$C,"LossyStore",Standalone!$E:$E,5,Standalone!$F:$F,64)</f>
        <v>86</v>
      </c>
      <c r="D25" s="12" t="n">
        <f aca="false">SUMIFS(Standalone!$R:$R,Standalone!$C:$C,"LossyStore",Standalone!$E:$E,5,Standalone!$F:$F,256)</f>
        <v>22</v>
      </c>
      <c r="E25" s="12" t="n">
        <f aca="false">SUMIFS(Standalone!$R:$R,Standalone!$C:$C,"LossyStore",Standalone!$E:$E,5,Standalone!$F:$F,1024)</f>
        <v>6</v>
      </c>
      <c r="F25" s="12" t="n">
        <f aca="false">SUMIFS(Standalone!$R:$R,Standalone!$C:$C,"LossyStore",Standalone!$E:$E,5,Standalone!$F:$F,4096)</f>
        <v>2</v>
      </c>
    </row>
    <row r="27" customFormat="false" ht="15" hidden="false" customHeight="false" outlineLevel="0" collapsed="false">
      <c r="A27" s="10" t="s">
        <v>141</v>
      </c>
      <c r="B27" s="2" t="s">
        <v>242</v>
      </c>
    </row>
    <row r="28" customFormat="false" ht="15" hidden="false" customHeight="false" outlineLevel="0" collapsed="false">
      <c r="A28" s="10" t="s">
        <v>143</v>
      </c>
      <c r="B28" s="2" t="s">
        <v>243</v>
      </c>
    </row>
    <row r="30" customFormat="false" ht="15" hidden="false" customHeight="false" outlineLevel="0" collapsed="false">
      <c r="A30" s="3" t="s">
        <v>244</v>
      </c>
      <c r="B30" s="4"/>
      <c r="C30" s="4"/>
      <c r="D30" s="4"/>
      <c r="E30" s="4"/>
      <c r="F30" s="4"/>
    </row>
    <row r="31" customFormat="false" ht="15" hidden="false" customHeight="false" outlineLevel="0" collapsed="false">
      <c r="A31" s="6" t="s">
        <v>131</v>
      </c>
      <c r="B31" s="6" t="s">
        <v>132</v>
      </c>
      <c r="C31" s="6" t="s">
        <v>133</v>
      </c>
      <c r="D31" s="6" t="s">
        <v>134</v>
      </c>
      <c r="E31" s="6" t="s">
        <v>135</v>
      </c>
      <c r="F31" s="6" t="s">
        <v>136</v>
      </c>
    </row>
    <row r="32" customFormat="false" ht="15" hidden="false" customHeight="false" outlineLevel="0" collapsed="false">
      <c r="A32" s="7" t="s">
        <v>82</v>
      </c>
      <c r="B32" s="22" t="n">
        <f aca="false">SUMIFS(Standalone!$J:$J,Standalone!$C:$C,"MemoryStore",Standalone!$E:$E,"",Standalone!$F:$F,16)</f>
        <v>0.5524</v>
      </c>
      <c r="C32" s="22" t="n">
        <f aca="false">SUMIFS(Standalone!$J:$J,Standalone!$C:$C,"MemoryStore",Standalone!$E:$E,"",Standalone!$F:$F,64)</f>
        <v>0.5433</v>
      </c>
      <c r="D32" s="22" t="n">
        <f aca="false">SUMIFS(Standalone!$J:$J,Standalone!$C:$C,"MemoryStore",Standalone!$E:$E,"",Standalone!$F:$F,256)</f>
        <v>0.5541</v>
      </c>
      <c r="E32" s="22" t="n">
        <f aca="false">SUMIFS(Standalone!$J:$J,Standalone!$C:$C,"MemoryStore",Standalone!$E:$E,"",Standalone!$F:$F,1024)</f>
        <v>0.5631</v>
      </c>
      <c r="F32" s="22" t="n">
        <f aca="false">SUMIFS(Standalone!$J:$J,Standalone!$C:$C,"MemoryStore",Standalone!$E:$E,"",Standalone!$F:$F,4096)</f>
        <v>0.553</v>
      </c>
    </row>
    <row r="33" customFormat="false" ht="15" hidden="false" customHeight="false" outlineLevel="0" collapsed="false">
      <c r="A33" s="7" t="s">
        <v>83</v>
      </c>
      <c r="B33" s="22" t="n">
        <f aca="false">SUMIFS(Standalone!$J:$J,Standalone!$C:$C,"FileStore",Standalone!$E:$E,"",Standalone!$F:$F,16)</f>
        <v>0.5655</v>
      </c>
      <c r="C33" s="22" t="n">
        <f aca="false">SUMIFS(Standalone!$J:$J,Standalone!$C:$C,"FileStore",Standalone!$E:$E,"",Standalone!$F:$F,64)</f>
        <v>0.5518</v>
      </c>
      <c r="D33" s="22" t="n">
        <f aca="false">SUMIFS(Standalone!$J:$J,Standalone!$C:$C,"FileStore",Standalone!$E:$E,"",Standalone!$F:$F,256)</f>
        <v>0.5552</v>
      </c>
      <c r="E33" s="22" t="n">
        <f aca="false">SUMIFS(Standalone!$J:$J,Standalone!$C:$C,"FileStore",Standalone!$E:$E,"",Standalone!$F:$F,1024)</f>
        <v>0.5617</v>
      </c>
      <c r="F33" s="22" t="n">
        <f aca="false">SUMIFS(Standalone!$J:$J,Standalone!$C:$C,"FileStore",Standalone!$E:$E,"",Standalone!$F:$F,4096)</f>
        <v>0.5609</v>
      </c>
    </row>
    <row r="34" customFormat="false" ht="15" hidden="false" customHeight="false" outlineLevel="0" collapsed="false">
      <c r="A34" s="7" t="s">
        <v>79</v>
      </c>
      <c r="B34" s="22" t="n">
        <f aca="false">SUMIFS(Standalone!$J:$J,Standalone!$C:$C,"CompressedStore",Standalone!$E:$E,"",Standalone!$F:$F,16)</f>
        <v>0.5819</v>
      </c>
      <c r="C34" s="22" t="n">
        <f aca="false">SUMIFS(Standalone!$J:$J,Standalone!$C:$C,"CompressedStore",Standalone!$E:$E,"",Standalone!$F:$F,64)</f>
        <v>0.5901</v>
      </c>
      <c r="D34" s="22" t="n">
        <f aca="false">SUMIFS(Standalone!$J:$J,Standalone!$C:$C,"CompressedStore",Standalone!$E:$E,"",Standalone!$F:$F,256)</f>
        <v>0.5804</v>
      </c>
      <c r="E34" s="22" t="n">
        <f aca="false">SUMIFS(Standalone!$J:$J,Standalone!$C:$C,"CompressedStore",Standalone!$E:$E,"",Standalone!$F:$F,1024)</f>
        <v>0.579</v>
      </c>
      <c r="F34" s="22" t="n">
        <f aca="false">SUMIFS(Standalone!$J:$J,Standalone!$C:$C,"CompressedStore",Standalone!$E:$E,"",Standalone!$F:$F,4096)</f>
        <v>0.5787</v>
      </c>
    </row>
    <row r="35" customFormat="false" ht="15" hidden="false" customHeight="false" outlineLevel="0" collapsed="false">
      <c r="A35" s="7" t="s">
        <v>137</v>
      </c>
      <c r="B35" s="22" t="n">
        <f aca="false">SUMIFS(Standalone!$J:$J,Standalone!$C:$C,"LossyStore",Standalone!$E:$E,"",Standalone!$F:$F,16)</f>
        <v>0.5962</v>
      </c>
      <c r="C35" s="22" t="n">
        <f aca="false">SUMIFS(Standalone!$J:$J,Standalone!$C:$C,"LossyStore",Standalone!$E:$E,"",Standalone!$F:$F,64)</f>
        <v>0.5748</v>
      </c>
      <c r="D35" s="22" t="n">
        <f aca="false">SUMIFS(Standalone!$J:$J,Standalone!$C:$C,"LossyStore",Standalone!$E:$E,"",Standalone!$F:$F,256)</f>
        <v>0.5822</v>
      </c>
      <c r="E35" s="22" t="n">
        <f aca="false">SUMIFS(Standalone!$J:$J,Standalone!$C:$C,"LossyStore",Standalone!$E:$E,"",Standalone!$F:$F,1024)</f>
        <v>0.5791</v>
      </c>
      <c r="F35" s="22" t="n">
        <f aca="false">SUMIFS(Standalone!$J:$J,Standalone!$C:$C,"LossyStore",Standalone!$E:$E,"",Standalone!$F:$F,4096)</f>
        <v>0.5741</v>
      </c>
    </row>
    <row r="36" customFormat="false" ht="15" hidden="false" customHeight="false" outlineLevel="0" collapsed="false">
      <c r="A36" s="7" t="s">
        <v>138</v>
      </c>
      <c r="B36" s="22" t="n">
        <f aca="false">SUMIFS(Standalone!$J:$J,Standalone!$C:$C,"LossyStore",Standalone!$E:$E,0.1,Standalone!$F:$F,16)</f>
        <v>0.5848</v>
      </c>
      <c r="C36" s="22" t="n">
        <f aca="false">SUMIFS(Standalone!$J:$J,Standalone!$C:$C,"LossyStore",Standalone!$E:$E,0.1,Standalone!$F:$F,64)</f>
        <v>0.5862</v>
      </c>
      <c r="D36" s="22" t="n">
        <f aca="false">SUMIFS(Standalone!$J:$J,Standalone!$C:$C,"LossyStore",Standalone!$E:$E,0.1,Standalone!$F:$F,256)</f>
        <v>0.5772</v>
      </c>
      <c r="E36" s="22" t="n">
        <f aca="false">SUMIFS(Standalone!$J:$J,Standalone!$C:$C,"LossyStore",Standalone!$E:$E,0.1,Standalone!$F:$F,1024)</f>
        <v>0.5878</v>
      </c>
      <c r="F36" s="22" t="n">
        <f aca="false">SUMIFS(Standalone!$J:$J,Standalone!$C:$C,"LossyStore",Standalone!$E:$E,0.1,Standalone!$F:$F,4096)</f>
        <v>0.5764</v>
      </c>
    </row>
    <row r="37" customFormat="false" ht="15" hidden="false" customHeight="false" outlineLevel="0" collapsed="false">
      <c r="A37" s="7" t="s">
        <v>139</v>
      </c>
      <c r="B37" s="22" t="n">
        <f aca="false">SUMIFS(Standalone!$J:$J,Standalone!$C:$C,"LossyStore",Standalone!$E:$E,1,Standalone!$F:$F,16)</f>
        <v>0.59</v>
      </c>
      <c r="C37" s="22" t="n">
        <f aca="false">SUMIFS(Standalone!$J:$J,Standalone!$C:$C,"LossyStore",Standalone!$E:$E,1,Standalone!$F:$F,64)</f>
        <v>0.5725</v>
      </c>
      <c r="D37" s="22" t="n">
        <f aca="false">SUMIFS(Standalone!$J:$J,Standalone!$C:$C,"LossyStore",Standalone!$E:$E,1,Standalone!$F:$F,256)</f>
        <v>0.5848</v>
      </c>
      <c r="E37" s="22" t="n">
        <f aca="false">SUMIFS(Standalone!$J:$J,Standalone!$C:$C,"LossyStore",Standalone!$E:$E,1,Standalone!$F:$F,1024)</f>
        <v>0.5993</v>
      </c>
      <c r="F37" s="22" t="n">
        <f aca="false">SUMIFS(Standalone!$J:$J,Standalone!$C:$C,"LossyStore",Standalone!$E:$E,1,Standalone!$F:$F,4096)</f>
        <v>0.5928</v>
      </c>
    </row>
    <row r="38" customFormat="false" ht="15" hidden="false" customHeight="false" outlineLevel="0" collapsed="false">
      <c r="A38" s="7" t="s">
        <v>140</v>
      </c>
      <c r="B38" s="22" t="n">
        <f aca="false">SUMIFS(Standalone!$J:$J,Standalone!$C:$C,"LossyStore",Standalone!$E:$E,5,Standalone!$F:$F,16)</f>
        <v>0.6005</v>
      </c>
      <c r="C38" s="22" t="n">
        <f aca="false">SUMIFS(Standalone!$J:$J,Standalone!$C:$C,"LossyStore",Standalone!$E:$E,5,Standalone!$F:$F,64)</f>
        <v>0.5857</v>
      </c>
      <c r="D38" s="22" t="n">
        <f aca="false">SUMIFS(Standalone!$J:$J,Standalone!$C:$C,"LossyStore",Standalone!$E:$E,5,Standalone!$F:$F,256)</f>
        <v>0.591</v>
      </c>
      <c r="E38" s="22" t="n">
        <f aca="false">SUMIFS(Standalone!$J:$J,Standalone!$C:$C,"LossyStore",Standalone!$E:$E,5,Standalone!$F:$F,1024)</f>
        <v>0.5736</v>
      </c>
      <c r="F38" s="22" t="n">
        <f aca="false">SUMIFS(Standalone!$J:$J,Standalone!$C:$C,"LossyStore",Standalone!$E:$E,5,Standalone!$F:$F,4096)</f>
        <v>0.5785</v>
      </c>
    </row>
    <row r="40" customFormat="false" ht="15" hidden="false" customHeight="false" outlineLevel="0" collapsed="false">
      <c r="A40" s="10" t="s">
        <v>141</v>
      </c>
      <c r="B40" s="2" t="s">
        <v>245</v>
      </c>
    </row>
    <row r="41" customFormat="false" ht="15" hidden="false" customHeight="false" outlineLevel="0" collapsed="false">
      <c r="A41" s="10" t="s">
        <v>143</v>
      </c>
      <c r="B41" s="2" t="s">
        <v>246</v>
      </c>
    </row>
    <row r="43" customFormat="false" ht="15" hidden="false" customHeight="false" outlineLevel="0" collapsed="false">
      <c r="A43" s="3" t="s">
        <v>247</v>
      </c>
      <c r="B43" s="4"/>
      <c r="C43" s="4"/>
      <c r="D43" s="4"/>
      <c r="E43" s="4"/>
      <c r="F43" s="4"/>
    </row>
    <row r="44" customFormat="false" ht="15" hidden="false" customHeight="false" outlineLevel="0" collapsed="false">
      <c r="A44" s="6" t="s">
        <v>131</v>
      </c>
      <c r="B44" s="6" t="s">
        <v>132</v>
      </c>
      <c r="C44" s="6" t="s">
        <v>133</v>
      </c>
      <c r="D44" s="6" t="s">
        <v>134</v>
      </c>
      <c r="E44" s="6" t="s">
        <v>135</v>
      </c>
      <c r="F44" s="6" t="s">
        <v>136</v>
      </c>
    </row>
    <row r="45" customFormat="false" ht="15" hidden="false" customHeight="false" outlineLevel="0" collapsed="false">
      <c r="A45" s="7" t="s">
        <v>82</v>
      </c>
      <c r="B45" s="22" t="n">
        <f aca="false">SUMIFS(Standalone!$K:$K,Standalone!$C:$C,"MemoryStore",Standalone!$E:$E,"",Standalone!$F:$F,16)</f>
        <v>0.4543</v>
      </c>
      <c r="C45" s="22" t="n">
        <f aca="false">SUMIFS(Standalone!$K:$K,Standalone!$C:$C,"MemoryStore",Standalone!$E:$E,"",Standalone!$F:$F,64)</f>
        <v>0.4761</v>
      </c>
      <c r="D45" s="22" t="n">
        <f aca="false">SUMIFS(Standalone!$K:$K,Standalone!$C:$C,"MemoryStore",Standalone!$E:$E,"",Standalone!$F:$F,256)</f>
        <v>0.447</v>
      </c>
      <c r="E45" s="22" t="n">
        <f aca="false">SUMIFS(Standalone!$K:$K,Standalone!$C:$C,"MemoryStore",Standalone!$E:$E,"",Standalone!$F:$F,1024)</f>
        <v>0.4526</v>
      </c>
      <c r="F45" s="22" t="n">
        <f aca="false">SUMIFS(Standalone!$K:$K,Standalone!$C:$C,"MemoryStore",Standalone!$E:$E,"",Standalone!$F:$F,4096)</f>
        <v>0.4386</v>
      </c>
    </row>
    <row r="46" customFormat="false" ht="15" hidden="false" customHeight="false" outlineLevel="0" collapsed="false">
      <c r="A46" s="7" t="s">
        <v>83</v>
      </c>
      <c r="B46" s="22" t="n">
        <f aca="false">SUMIFS(Standalone!$K:$K,Standalone!$C:$C,"FileStore",Standalone!$E:$E,"",Standalone!$F:$F,16)</f>
        <v>0.4276</v>
      </c>
      <c r="C46" s="22" t="n">
        <f aca="false">SUMIFS(Standalone!$K:$K,Standalone!$C:$C,"FileStore",Standalone!$E:$E,"",Standalone!$F:$F,64)</f>
        <v>0.4364</v>
      </c>
      <c r="D46" s="22" t="n">
        <f aca="false">SUMIFS(Standalone!$K:$K,Standalone!$C:$C,"FileStore",Standalone!$E:$E,"",Standalone!$F:$F,256)</f>
        <v>0.4543</v>
      </c>
      <c r="E46" s="22" t="n">
        <f aca="false">SUMIFS(Standalone!$K:$K,Standalone!$C:$C,"FileStore",Standalone!$E:$E,"",Standalone!$F:$F,1024)</f>
        <v>0.437</v>
      </c>
      <c r="F46" s="22" t="n">
        <f aca="false">SUMIFS(Standalone!$K:$K,Standalone!$C:$C,"FileStore",Standalone!$E:$E,"",Standalone!$F:$F,4096)</f>
        <v>0.4296</v>
      </c>
    </row>
    <row r="47" customFormat="false" ht="15" hidden="false" customHeight="false" outlineLevel="0" collapsed="false">
      <c r="A47" s="7" t="s">
        <v>79</v>
      </c>
      <c r="B47" s="22" t="n">
        <f aca="false">SUMIFS(Standalone!$K:$K,Standalone!$C:$C,"CompressedStore",Standalone!$E:$E,"",Standalone!$F:$F,16)</f>
        <v>0.4137</v>
      </c>
      <c r="C47" s="22" t="n">
        <f aca="false">SUMIFS(Standalone!$K:$K,Standalone!$C:$C,"CompressedStore",Standalone!$E:$E,"",Standalone!$F:$F,64)</f>
        <v>0.45</v>
      </c>
      <c r="D47" s="22" t="n">
        <f aca="false">SUMIFS(Standalone!$K:$K,Standalone!$C:$C,"CompressedStore",Standalone!$E:$E,"",Standalone!$F:$F,256)</f>
        <v>0.4496</v>
      </c>
      <c r="E47" s="22" t="n">
        <f aca="false">SUMIFS(Standalone!$K:$K,Standalone!$C:$C,"CompressedStore",Standalone!$E:$E,"",Standalone!$F:$F,1024)</f>
        <v>0.4553</v>
      </c>
      <c r="F47" s="22" t="n">
        <f aca="false">SUMIFS(Standalone!$K:$K,Standalone!$C:$C,"CompressedStore",Standalone!$E:$E,"",Standalone!$F:$F,4096)</f>
        <v>0.4638</v>
      </c>
    </row>
    <row r="48" customFormat="false" ht="15" hidden="false" customHeight="false" outlineLevel="0" collapsed="false">
      <c r="A48" s="7" t="s">
        <v>137</v>
      </c>
      <c r="B48" s="22" t="n">
        <f aca="false">SUMIFS(Standalone!$K:$K,Standalone!$C:$C,"LossyStore",Standalone!$E:$E,"",Standalone!$F:$F,16)</f>
        <v>0.5092</v>
      </c>
      <c r="C48" s="22" t="n">
        <f aca="false">SUMIFS(Standalone!$K:$K,Standalone!$C:$C,"LossyStore",Standalone!$E:$E,"",Standalone!$F:$F,64)</f>
        <v>0.4405</v>
      </c>
      <c r="D48" s="22" t="n">
        <f aca="false">SUMIFS(Standalone!$K:$K,Standalone!$C:$C,"LossyStore",Standalone!$E:$E,"",Standalone!$F:$F,256)</f>
        <v>0.5088</v>
      </c>
      <c r="E48" s="22" t="n">
        <f aca="false">SUMIFS(Standalone!$K:$K,Standalone!$C:$C,"LossyStore",Standalone!$E:$E,"",Standalone!$F:$F,1024)</f>
        <v>0.4499</v>
      </c>
      <c r="F48" s="22" t="n">
        <f aca="false">SUMIFS(Standalone!$K:$K,Standalone!$C:$C,"LossyStore",Standalone!$E:$E,"",Standalone!$F:$F,4096)</f>
        <v>0.499</v>
      </c>
    </row>
    <row r="49" customFormat="false" ht="15" hidden="false" customHeight="false" outlineLevel="0" collapsed="false">
      <c r="A49" s="7" t="s">
        <v>138</v>
      </c>
      <c r="B49" s="22" t="n">
        <f aca="false">SUMIFS(Standalone!$K:$K,Standalone!$C:$C,"LossyStore",Standalone!$E:$E,0.1,Standalone!$F:$F,16)</f>
        <v>0.3918</v>
      </c>
      <c r="C49" s="22" t="n">
        <f aca="false">SUMIFS(Standalone!$K:$K,Standalone!$C:$C,"LossyStore",Standalone!$E:$E,0.1,Standalone!$F:$F,64)</f>
        <v>0.4162</v>
      </c>
      <c r="D49" s="22" t="n">
        <f aca="false">SUMIFS(Standalone!$K:$K,Standalone!$C:$C,"LossyStore",Standalone!$E:$E,0.1,Standalone!$F:$F,256)</f>
        <v>0.4122</v>
      </c>
      <c r="E49" s="22" t="n">
        <f aca="false">SUMIFS(Standalone!$K:$K,Standalone!$C:$C,"LossyStore",Standalone!$E:$E,0.1,Standalone!$F:$F,1024)</f>
        <v>0.4121</v>
      </c>
      <c r="F49" s="22" t="n">
        <f aca="false">SUMIFS(Standalone!$K:$K,Standalone!$C:$C,"LossyStore",Standalone!$E:$E,0.1,Standalone!$F:$F,4096)</f>
        <v>0.43</v>
      </c>
    </row>
    <row r="50" customFormat="false" ht="15" hidden="false" customHeight="false" outlineLevel="0" collapsed="false">
      <c r="A50" s="7" t="s">
        <v>139</v>
      </c>
      <c r="B50" s="22" t="n">
        <f aca="false">SUMIFS(Standalone!$K:$K,Standalone!$C:$C,"LossyStore",Standalone!$E:$E,1,Standalone!$F:$F,16)</f>
        <v>0.3887</v>
      </c>
      <c r="C50" s="22" t="n">
        <f aca="false">SUMIFS(Standalone!$K:$K,Standalone!$C:$C,"LossyStore",Standalone!$E:$E,1,Standalone!$F:$F,64)</f>
        <v>0.3804</v>
      </c>
      <c r="D50" s="22" t="n">
        <f aca="false">SUMIFS(Standalone!$K:$K,Standalone!$C:$C,"LossyStore",Standalone!$E:$E,1,Standalone!$F:$F,256)</f>
        <v>0.3945</v>
      </c>
      <c r="E50" s="22" t="n">
        <f aca="false">SUMIFS(Standalone!$K:$K,Standalone!$C:$C,"LossyStore",Standalone!$E:$E,1,Standalone!$F:$F,1024)</f>
        <v>0.4373</v>
      </c>
      <c r="F50" s="22" t="n">
        <f aca="false">SUMIFS(Standalone!$K:$K,Standalone!$C:$C,"LossyStore",Standalone!$E:$E,1,Standalone!$F:$F,4096)</f>
        <v>0.4478</v>
      </c>
    </row>
    <row r="51" customFormat="false" ht="15" hidden="false" customHeight="false" outlineLevel="0" collapsed="false">
      <c r="A51" s="7" t="s">
        <v>140</v>
      </c>
      <c r="B51" s="22" t="n">
        <f aca="false">SUMIFS(Standalone!$K:$K,Standalone!$C:$C,"LossyStore",Standalone!$E:$E,5,Standalone!$F:$F,16)</f>
        <v>0.3995</v>
      </c>
      <c r="C51" s="22" t="n">
        <f aca="false">SUMIFS(Standalone!$K:$K,Standalone!$C:$C,"LossyStore",Standalone!$E:$E,5,Standalone!$F:$F,64)</f>
        <v>0.3759</v>
      </c>
      <c r="D51" s="22" t="n">
        <f aca="false">SUMIFS(Standalone!$K:$K,Standalone!$C:$C,"LossyStore",Standalone!$E:$E,5,Standalone!$F:$F,256)</f>
        <v>0.4066</v>
      </c>
      <c r="E51" s="22" t="n">
        <f aca="false">SUMIFS(Standalone!$K:$K,Standalone!$C:$C,"LossyStore",Standalone!$E:$E,5,Standalone!$F:$F,1024)</f>
        <v>0.4316</v>
      </c>
      <c r="F51" s="22" t="n">
        <f aca="false">SUMIFS(Standalone!$K:$K,Standalone!$C:$C,"LossyStore",Standalone!$E:$E,5,Standalone!$F:$F,4096)</f>
        <v>0.4488</v>
      </c>
    </row>
    <row r="53" customFormat="false" ht="15" hidden="false" customHeight="false" outlineLevel="0" collapsed="false">
      <c r="A53" s="10" t="s">
        <v>141</v>
      </c>
      <c r="B53" s="2" t="s">
        <v>248</v>
      </c>
    </row>
    <row r="54" customFormat="false" ht="15" hidden="false" customHeight="false" outlineLevel="0" collapsed="false">
      <c r="A54" s="10" t="s">
        <v>143</v>
      </c>
      <c r="B54" s="2" t="s">
        <v>249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2"/>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8" min="2" style="0" width="15"/>
  </cols>
  <sheetData>
    <row r="1" customFormat="false" ht="15" hidden="false" customHeight="false" outlineLevel="0" collapsed="false">
      <c r="A1" s="8" t="s">
        <v>250</v>
      </c>
    </row>
    <row r="2" customFormat="false" ht="15" hidden="false" customHeight="false" outlineLevel="0" collapsed="false">
      <c r="A2" s="2" t="s">
        <v>251</v>
      </c>
    </row>
    <row r="3" customFormat="false" ht="15" hidden="false" customHeight="false" outlineLevel="0" collapsed="false">
      <c r="A3" s="2" t="s">
        <v>252</v>
      </c>
    </row>
    <row r="5" customFormat="false" ht="15" hidden="false" customHeight="false" outlineLevel="0" collapsed="false">
      <c r="A5" s="3" t="s">
        <v>253</v>
      </c>
      <c r="B5" s="4"/>
      <c r="C5" s="4"/>
      <c r="D5" s="4"/>
      <c r="E5" s="4"/>
      <c r="F5" s="4"/>
      <c r="G5" s="4"/>
    </row>
    <row r="6" customFormat="false" ht="15" hidden="false" customHeight="false" outlineLevel="0" collapsed="false">
      <c r="A6" s="6" t="s">
        <v>228</v>
      </c>
      <c r="B6" s="6" t="s">
        <v>254</v>
      </c>
      <c r="C6" s="6" t="s">
        <v>255</v>
      </c>
      <c r="D6" s="6" t="s">
        <v>256</v>
      </c>
      <c r="E6" s="6" t="s">
        <v>257</v>
      </c>
      <c r="F6" s="6" t="s">
        <v>258</v>
      </c>
      <c r="G6" s="6" t="s">
        <v>259</v>
      </c>
    </row>
    <row r="7" customFormat="false" ht="15" hidden="false" customHeight="false" outlineLevel="0" collapsed="false">
      <c r="A7" s="7" t="n">
        <v>0</v>
      </c>
      <c r="B7" s="12" t="n">
        <f aca="false">SUMIFS('Float Column'!$G:$G,'Float Column'!$B:$B,"producedPower",'Float Column'!$E:$E,0)</f>
        <v>697848</v>
      </c>
      <c r="C7" s="9" t="n">
        <f aca="false">B7*8/200001</f>
        <v>27.9137804310978</v>
      </c>
      <c r="D7" s="9" t="n">
        <f aca="false">1600008/B7</f>
        <v>2.29277435773979</v>
      </c>
      <c r="E7" s="9" t="n">
        <f aca="false">$B$7/B7</f>
        <v>1</v>
      </c>
      <c r="G7" s="15" t="n">
        <f aca="false">B7/(SUMIFS('Float Column'!$G:$G,'Float Column'!$B:$B,"producedPower",'Float Column'!$E:$E,0)+SUMIFS('Float Column'!$G:$G,'Float Column'!$B:$B,"producerId",'Float Column'!$E:$E,0)+SUMIFS('Float Column'!$G:$G,'Float Column'!$B:$B,"groupId",'Float Column'!$E:$E,0)+SUMIFS('Float Column'!$G:$G,'Float Column'!$B:$B,"ts",'Float Column'!$E:$E,0))</f>
        <v>0.465534908046836</v>
      </c>
    </row>
    <row r="8" customFormat="false" ht="15" hidden="false" customHeight="false" outlineLevel="0" collapsed="false">
      <c r="A8" s="7" t="n">
        <v>0.01</v>
      </c>
      <c r="B8" s="12" t="n">
        <f aca="false">SUMIFS('Float Column'!$G:$G,'Float Column'!$B:$B,"producedPower",'Float Column'!$E:$E,0.01)</f>
        <v>404387</v>
      </c>
      <c r="C8" s="9" t="n">
        <f aca="false">B8*8/200001</f>
        <v>16.1753991230044</v>
      </c>
      <c r="D8" s="9" t="n">
        <f aca="false">1600008/B8</f>
        <v>3.95662570755242</v>
      </c>
      <c r="E8" s="9" t="n">
        <f aca="false">$B$7/B8</f>
        <v>1.72569345701024</v>
      </c>
      <c r="F8" s="23" t="n">
        <f aca="false">B8/B7-1</f>
        <v>-0.420522807258887</v>
      </c>
      <c r="G8" s="15" t="n">
        <f aca="false">B8/(SUMIFS('Float Column'!$G:$G,'Float Column'!$B:$B,"producedPower",'Float Column'!$E:$E,0.01)+SUMIFS('Float Column'!$G:$G,'Float Column'!$B:$B,"producerId",'Float Column'!$E:$E,0.01)+SUMIFS('Float Column'!$G:$G,'Float Column'!$B:$B,"groupId",'Float Column'!$E:$E,0.01)+SUMIFS('Float Column'!$G:$G,'Float Column'!$B:$B,"ts",'Float Column'!$E:$E,0.01))</f>
        <v>0.335434149853637</v>
      </c>
    </row>
    <row r="9" customFormat="false" ht="15" hidden="false" customHeight="false" outlineLevel="0" collapsed="false">
      <c r="A9" s="7" t="n">
        <v>0.1</v>
      </c>
      <c r="B9" s="12" t="n">
        <f aca="false">SUMIFS('Float Column'!$G:$G,'Float Column'!$B:$B,"producedPower",'Float Column'!$E:$E,0.1)</f>
        <v>335378</v>
      </c>
      <c r="C9" s="9" t="n">
        <f aca="false">B9*8/200001</f>
        <v>13.4150529247354</v>
      </c>
      <c r="D9" s="9" t="n">
        <f aca="false">1600008/B9</f>
        <v>4.77076015719576</v>
      </c>
      <c r="E9" s="9" t="n">
        <f aca="false">$B$7/B9</f>
        <v>2.08078049245926</v>
      </c>
      <c r="F9" s="23" t="n">
        <f aca="false">B9/B8-1</f>
        <v>-0.170650886403371</v>
      </c>
      <c r="G9" s="15" t="n">
        <f aca="false">B9/(SUMIFS('Float Column'!$G:$G,'Float Column'!$B:$B,"producedPower",'Float Column'!$E:$E,0.1)+SUMIFS('Float Column'!$G:$G,'Float Column'!$B:$B,"producerId",'Float Column'!$E:$E,0.1)+SUMIFS('Float Column'!$G:$G,'Float Column'!$B:$B,"groupId",'Float Column'!$E:$E,0.1)+SUMIFS('Float Column'!$G:$G,'Float Column'!$B:$B,"ts",'Float Column'!$E:$E,0.1))</f>
        <v>0.295083207661053</v>
      </c>
    </row>
    <row r="10" customFormat="false" ht="15" hidden="false" customHeight="false" outlineLevel="0" collapsed="false">
      <c r="A10" s="7" t="n">
        <v>0.5</v>
      </c>
      <c r="B10" s="12" t="n">
        <f aca="false">SUMIFS('Float Column'!$G:$G,'Float Column'!$B:$B,"producedPower",'Float Column'!$E:$E,0.5)</f>
        <v>275907</v>
      </c>
      <c r="C10" s="9" t="n">
        <f aca="false">B10*8/200001</f>
        <v>11.0362248188759</v>
      </c>
      <c r="D10" s="9" t="n">
        <f aca="false">1600008/B10</f>
        <v>5.79908447411628</v>
      </c>
      <c r="E10" s="9" t="n">
        <f aca="false">$B$7/B10</f>
        <v>2.52928704237297</v>
      </c>
      <c r="F10" s="23" t="n">
        <f aca="false">B10/B9-1</f>
        <v>-0.177325286691435</v>
      </c>
      <c r="G10" s="15" t="n">
        <f aca="false">B10/(SUMIFS('Float Column'!$G:$G,'Float Column'!$B:$B,"producedPower",'Float Column'!$E:$E,0.5)+SUMIFS('Float Column'!$G:$G,'Float Column'!$B:$B,"producerId",'Float Column'!$E:$E,0.5)+SUMIFS('Float Column'!$G:$G,'Float Column'!$B:$B,"groupId",'Float Column'!$E:$E,0.5)+SUMIFS('Float Column'!$G:$G,'Float Column'!$B:$B,"ts",'Float Column'!$E:$E,0.5))</f>
        <v>0.256161317187255</v>
      </c>
    </row>
    <row r="11" customFormat="false" ht="15" hidden="false" customHeight="false" outlineLevel="0" collapsed="false">
      <c r="A11" s="7" t="n">
        <v>1</v>
      </c>
      <c r="B11" s="12" t="n">
        <f aca="false">SUMIFS('Float Column'!$G:$G,'Float Column'!$B:$B,"producedPower",'Float Column'!$E:$E,1)</f>
        <v>252612</v>
      </c>
      <c r="C11" s="9" t="n">
        <f aca="false">B11*8/200001</f>
        <v>10.1044294778526</v>
      </c>
      <c r="D11" s="9" t="n">
        <f aca="false">1600008/B11</f>
        <v>6.33385587383022</v>
      </c>
      <c r="E11" s="9" t="n">
        <f aca="false">$B$7/B11</f>
        <v>2.76252909600494</v>
      </c>
      <c r="F11" s="23" t="n">
        <f aca="false">B11/B10-1</f>
        <v>-0.0844306233622199</v>
      </c>
      <c r="G11" s="15" t="n">
        <f aca="false">B11/(SUMIFS('Float Column'!$G:$G,'Float Column'!$B:$B,"producedPower",'Float Column'!$E:$E,1)+SUMIFS('Float Column'!$G:$G,'Float Column'!$B:$B,"producerId",'Float Column'!$E:$E,1)+SUMIFS('Float Column'!$G:$G,'Float Column'!$B:$B,"groupId",'Float Column'!$E:$E,1)+SUMIFS('Float Column'!$G:$G,'Float Column'!$B:$B,"ts",'Float Column'!$E:$E,1))</f>
        <v>0.239718045754934</v>
      </c>
    </row>
    <row r="12" customFormat="false" ht="15" hidden="false" customHeight="false" outlineLevel="0" collapsed="false">
      <c r="A12" s="7" t="n">
        <v>2</v>
      </c>
      <c r="B12" s="12" t="n">
        <f aca="false">SUMIFS('Float Column'!$G:$G,'Float Column'!$B:$B,"producedPower",'Float Column'!$E:$E,2)</f>
        <v>192392</v>
      </c>
      <c r="C12" s="9" t="n">
        <f aca="false">B12*8/200001</f>
        <v>7.69564152179239</v>
      </c>
      <c r="D12" s="9" t="n">
        <f aca="false">1600008/B12</f>
        <v>8.31639569212857</v>
      </c>
      <c r="E12" s="9" t="n">
        <f aca="false">$B$7/B12</f>
        <v>3.6272194270032</v>
      </c>
      <c r="F12" s="23" t="n">
        <f aca="false">B12/B11-1</f>
        <v>-0.238389308504743</v>
      </c>
      <c r="G12" s="15" t="n">
        <f aca="false">B12/(SUMIFS('Float Column'!$G:$G,'Float Column'!$B:$B,"producedPower",'Float Column'!$E:$E,2)+SUMIFS('Float Column'!$G:$G,'Float Column'!$B:$B,"producerId",'Float Column'!$E:$E,2)+SUMIFS('Float Column'!$G:$G,'Float Column'!$B:$B,"groupId",'Float Column'!$E:$E,2)+SUMIFS('Float Column'!$G:$G,'Float Column'!$B:$B,"ts",'Float Column'!$E:$E,2))</f>
        <v>0.193637476247222</v>
      </c>
    </row>
    <row r="13" customFormat="false" ht="15" hidden="false" customHeight="false" outlineLevel="0" collapsed="false">
      <c r="A13" s="17" t="n">
        <v>5</v>
      </c>
      <c r="B13" s="24" t="n">
        <f aca="false">SUMIFS('Float Column'!$G:$G,'Float Column'!$B:$B,"producedPower",'Float Column'!$E:$E,5)</f>
        <v>198882</v>
      </c>
      <c r="C13" s="25" t="n">
        <f aca="false">B13*8/200001</f>
        <v>7.95524022379888</v>
      </c>
      <c r="D13" s="25" t="n">
        <f aca="false">1600008/B13</f>
        <v>8.04501161492745</v>
      </c>
      <c r="E13" s="25" t="n">
        <f aca="false">$B$7/B13</f>
        <v>3.5088544966362</v>
      </c>
      <c r="F13" s="26" t="n">
        <f aca="false">B13/B12-1</f>
        <v>0.0337332113601396</v>
      </c>
      <c r="G13" s="19" t="n">
        <f aca="false">B13/(SUMIFS('Float Column'!$G:$G,'Float Column'!$B:$B,"producedPower",'Float Column'!$E:$E,5)+SUMIFS('Float Column'!$G:$G,'Float Column'!$B:$B,"producerId",'Float Column'!$E:$E,5)+SUMIFS('Float Column'!$G:$G,'Float Column'!$B:$B,"groupId",'Float Column'!$E:$E,5)+SUMIFS('Float Column'!$G:$G,'Float Column'!$B:$B,"ts",'Float Column'!$E:$E,5))</f>
        <v>0.198870465513</v>
      </c>
    </row>
    <row r="14" customFormat="false" ht="15" hidden="false" customHeight="false" outlineLevel="0" collapsed="false">
      <c r="A14" s="7" t="n">
        <v>10</v>
      </c>
      <c r="B14" s="12" t="n">
        <f aca="false">SUMIFS('Float Column'!$G:$G,'Float Column'!$B:$B,"producedPower",'Float Column'!$E:$E,10)</f>
        <v>158442</v>
      </c>
      <c r="C14" s="9" t="n">
        <f aca="false">B14*8/200001</f>
        <v>6.33764831175844</v>
      </c>
      <c r="D14" s="9" t="n">
        <f aca="false">1600008/B14</f>
        <v>10.0983830045064</v>
      </c>
      <c r="E14" s="9" t="n">
        <f aca="false">$B$7/B14</f>
        <v>4.4044382171394</v>
      </c>
      <c r="F14" s="23" t="n">
        <f aca="false">B14/B13-1</f>
        <v>-0.203336651884032</v>
      </c>
      <c r="G14" s="15" t="n">
        <f aca="false">B14/(SUMIFS('Float Column'!$G:$G,'Float Column'!$B:$B,"producedPower",'Float Column'!$E:$E,10)+SUMIFS('Float Column'!$G:$G,'Float Column'!$B:$B,"producerId",'Float Column'!$E:$E,10)+SUMIFS('Float Column'!$G:$G,'Float Column'!$B:$B,"groupId",'Float Column'!$E:$E,10)+SUMIFS('Float Column'!$G:$G,'Float Column'!$B:$B,"ts",'Float Column'!$E:$E,10))</f>
        <v>0.1651094498019</v>
      </c>
    </row>
    <row r="15" customFormat="false" ht="15" hidden="false" customHeight="false" outlineLevel="0" collapsed="false">
      <c r="A15" s="7" t="n">
        <v>20</v>
      </c>
      <c r="B15" s="12" t="n">
        <f aca="false">SUMIFS('Float Column'!$G:$G,'Float Column'!$B:$B,"producedPower",'Float Column'!$E:$E,20)</f>
        <v>142123</v>
      </c>
      <c r="C15" s="9" t="n">
        <f aca="false">B15*8/200001</f>
        <v>5.68489157554212</v>
      </c>
      <c r="D15" s="9" t="n">
        <f aca="false">1600008/B15</f>
        <v>11.2579104015536</v>
      </c>
      <c r="E15" s="9" t="n">
        <f aca="false">$B$7/B15</f>
        <v>4.9101693603428</v>
      </c>
      <c r="F15" s="23" t="n">
        <f aca="false">B15/B14-1</f>
        <v>-0.102996680173186</v>
      </c>
      <c r="G15" s="15" t="n">
        <f aca="false">B15/(SUMIFS('Float Column'!$G:$G,'Float Column'!$B:$B,"producedPower",'Float Column'!$E:$E,20)+SUMIFS('Float Column'!$G:$G,'Float Column'!$B:$B,"producerId",'Float Column'!$E:$E,20)+SUMIFS('Float Column'!$G:$G,'Float Column'!$B:$B,"groupId",'Float Column'!$E:$E,20)+SUMIFS('Float Column'!$G:$G,'Float Column'!$B:$B,"ts",'Float Column'!$E:$E,20))</f>
        <v>0.15066590762844</v>
      </c>
    </row>
    <row r="17" customFormat="false" ht="15" hidden="false" customHeight="false" outlineLevel="0" collapsed="false">
      <c r="A17" s="10" t="s">
        <v>141</v>
      </c>
      <c r="B17" s="2" t="s">
        <v>260</v>
      </c>
    </row>
    <row r="18" customFormat="false" ht="15" hidden="false" customHeight="false" outlineLevel="0" collapsed="false">
      <c r="A18" s="10" t="s">
        <v>143</v>
      </c>
      <c r="B18" s="2" t="s">
        <v>261</v>
      </c>
    </row>
    <row r="19" customFormat="false" ht="15" hidden="false" customHeight="false" outlineLevel="0" collapsed="false">
      <c r="A19" s="2" t="s">
        <v>262</v>
      </c>
    </row>
    <row r="20" customFormat="false" ht="15" hidden="false" customHeight="false" outlineLevel="0" collapsed="false">
      <c r="A20" s="2" t="s">
        <v>263</v>
      </c>
    </row>
    <row r="21" customFormat="false" ht="15" hidden="false" customHeight="false" outlineLevel="0" collapsed="false">
      <c r="A21" s="2" t="s">
        <v>264</v>
      </c>
    </row>
    <row r="22" customFormat="false" ht="15" hidden="false" customHeight="false" outlineLevel="0" collapsed="false">
      <c r="A22" s="2" t="s">
        <v>265</v>
      </c>
    </row>
    <row r="24" customFormat="false" ht="15" hidden="false" customHeight="false" outlineLevel="0" collapsed="false">
      <c r="A24" s="3" t="s">
        <v>266</v>
      </c>
      <c r="B24" s="4"/>
      <c r="C24" s="4"/>
      <c r="D24" s="4"/>
      <c r="E24" s="4"/>
    </row>
    <row r="25" customFormat="false" ht="15" hidden="false" customHeight="false" outlineLevel="0" collapsed="false">
      <c r="A25" s="6" t="s">
        <v>87</v>
      </c>
      <c r="B25" s="6" t="s">
        <v>267</v>
      </c>
      <c r="C25" s="6" t="s">
        <v>254</v>
      </c>
      <c r="D25" s="6" t="s">
        <v>255</v>
      </c>
      <c r="E25" s="6" t="s">
        <v>268</v>
      </c>
    </row>
    <row r="26" customFormat="false" ht="15" hidden="false" customHeight="false" outlineLevel="0" collapsed="false">
      <c r="A26" s="7" t="s">
        <v>102</v>
      </c>
      <c r="B26" s="7" t="s">
        <v>269</v>
      </c>
      <c r="C26" s="12" t="n">
        <f aca="false">SUMIFS('Float Column'!$G:$G,'Float Column'!$B:$B,"producedPower",'Float Column'!$E:$E,0)</f>
        <v>697848</v>
      </c>
      <c r="D26" s="27" t="n">
        <f aca="false">C26*8/200001</f>
        <v>27.9137804310978</v>
      </c>
      <c r="E26" s="9" t="n">
        <f aca="false">200001*8/C26</f>
        <v>2.29277435773979</v>
      </c>
    </row>
    <row r="27" customFormat="false" ht="15" hidden="false" customHeight="false" outlineLevel="0" collapsed="false">
      <c r="A27" s="7" t="s">
        <v>97</v>
      </c>
      <c r="B27" s="7" t="s">
        <v>270</v>
      </c>
      <c r="C27" s="12" t="n">
        <f aca="false">SUMIFS('Float Column'!$G:$G,'Float Column'!$B:$B,"producerId",'Float Column'!$E:$E,0)</f>
        <v>150881</v>
      </c>
      <c r="D27" s="27" t="n">
        <f aca="false">C27*8/200001</f>
        <v>6.03520982395088</v>
      </c>
      <c r="E27" s="9" t="n">
        <f aca="false">200001*4/C27</f>
        <v>5.30221830449162</v>
      </c>
    </row>
    <row r="28" customFormat="false" ht="15" hidden="false" customHeight="false" outlineLevel="0" collapsed="false">
      <c r="A28" s="7" t="s">
        <v>101</v>
      </c>
      <c r="B28" s="7" t="s">
        <v>270</v>
      </c>
      <c r="C28" s="12" t="n">
        <f aca="false">SUMIFS('Float Column'!$G:$G,'Float Column'!$B:$B,"groupId",'Float Column'!$E:$E,0)</f>
        <v>75870</v>
      </c>
      <c r="D28" s="27" t="n">
        <f aca="false">C28*8/200001</f>
        <v>3.03478482607587</v>
      </c>
      <c r="E28" s="9" t="n">
        <f aca="false">200001*4/C28</f>
        <v>10.5444049031238</v>
      </c>
    </row>
    <row r="29" customFormat="false" ht="15" hidden="false" customHeight="false" outlineLevel="0" collapsed="false">
      <c r="A29" s="7" t="s">
        <v>106</v>
      </c>
      <c r="B29" s="7" t="s">
        <v>269</v>
      </c>
      <c r="C29" s="12" t="n">
        <f aca="false">SUMIFS('Float Column'!$G:$G,'Float Column'!$B:$B,"ts",'Float Column'!$E:$E,0)</f>
        <v>574425</v>
      </c>
      <c r="D29" s="27" t="n">
        <f aca="false">C29*8/200001</f>
        <v>22.9768851155744</v>
      </c>
      <c r="E29" s="9" t="n">
        <f aca="false">200001*8/C29</f>
        <v>2.78540801671236</v>
      </c>
    </row>
    <row r="31" customFormat="false" ht="15" hidden="false" customHeight="false" outlineLevel="0" collapsed="false">
      <c r="A31" s="2" t="s">
        <v>271</v>
      </c>
    </row>
    <row r="32" customFormat="false" ht="15" hidden="false" customHeight="false" outlineLevel="0" collapsed="false">
      <c r="A32" s="2" t="s">
        <v>272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6"/>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8" min="2" style="0" width="15"/>
  </cols>
  <sheetData>
    <row r="1" customFormat="false" ht="15" hidden="false" customHeight="false" outlineLevel="0" collapsed="false">
      <c r="A1" s="8" t="s">
        <v>273</v>
      </c>
    </row>
    <row r="2" customFormat="false" ht="15" hidden="false" customHeight="false" outlineLevel="0" collapsed="false">
      <c r="A2" s="2" t="s">
        <v>274</v>
      </c>
    </row>
    <row r="3" customFormat="false" ht="15" hidden="false" customHeight="false" outlineLevel="0" collapsed="false">
      <c r="A3" s="2" t="s">
        <v>275</v>
      </c>
    </row>
    <row r="5" customFormat="false" ht="15" hidden="false" customHeight="false" outlineLevel="0" collapsed="false">
      <c r="A5" s="3" t="s">
        <v>276</v>
      </c>
      <c r="B5" s="4"/>
      <c r="C5" s="4"/>
      <c r="D5" s="4"/>
      <c r="E5" s="4"/>
      <c r="F5" s="4"/>
      <c r="G5" s="4"/>
      <c r="H5" s="4"/>
    </row>
    <row r="6" customFormat="false" ht="15" hidden="false" customHeight="false" outlineLevel="0" collapsed="false">
      <c r="A6" s="6" t="s">
        <v>228</v>
      </c>
      <c r="B6" s="6" t="s">
        <v>277</v>
      </c>
      <c r="C6" s="6" t="s">
        <v>278</v>
      </c>
      <c r="D6" s="6" t="s">
        <v>279</v>
      </c>
      <c r="E6" s="6" t="s">
        <v>280</v>
      </c>
      <c r="F6" s="6" t="s">
        <v>281</v>
      </c>
      <c r="G6" s="6" t="s">
        <v>282</v>
      </c>
      <c r="H6" s="6" t="s">
        <v>283</v>
      </c>
      <c r="I6" s="6" t="s">
        <v>284</v>
      </c>
    </row>
    <row r="7" customFormat="false" ht="15" hidden="false" customHeight="false" outlineLevel="0" collapsed="false">
      <c r="A7" s="7" t="n">
        <v>0</v>
      </c>
      <c r="B7" s="7" t="n">
        <v>64</v>
      </c>
      <c r="C7" s="28" t="n">
        <f aca="false">SUMIFS('Lossy Breakdown'!$M:$M,'Lossy Breakdown'!$C:$C,0)</f>
        <v>64</v>
      </c>
      <c r="D7" s="28" t="n">
        <f aca="false">SUMIFS('Lossy Breakdown'!$P:$P,'Lossy Breakdown'!$C:$C,0)</f>
        <v>26.9125</v>
      </c>
      <c r="E7" s="28" t="n">
        <f aca="false">C7-D7</f>
        <v>37.0875</v>
      </c>
      <c r="F7" s="28" t="n">
        <f aca="false">SUMIFS('Lossy Breakdown'!$V:$V,'Lossy Breakdown'!$C:$C,0)</f>
        <v>1</v>
      </c>
      <c r="G7" s="28" t="n">
        <f aca="false">SUMIFS('Lossy Breakdown'!$W:$W,'Lossy Breakdown'!$C:$C,0)</f>
        <v>2.3781</v>
      </c>
      <c r="H7" s="28" t="n">
        <f aca="false">SUMIFS('Lossy Breakdown'!$Q:$Q,'Lossy Breakdown'!$C:$C,0)</f>
        <v>2.3781</v>
      </c>
      <c r="I7" s="15" t="n">
        <f aca="false">SUMIFS('Lossy Breakdown'!$U:$U,'Lossy Breakdown'!$C:$C,0)</f>
        <v>1</v>
      </c>
    </row>
    <row r="8" customFormat="false" ht="15" hidden="false" customHeight="false" outlineLevel="0" collapsed="false">
      <c r="A8" s="7" t="n">
        <v>0.01</v>
      </c>
      <c r="B8" s="7" t="n">
        <v>64</v>
      </c>
      <c r="C8" s="28" t="n">
        <f aca="false">SUMIFS('Lossy Breakdown'!$M:$M,'Lossy Breakdown'!$C:$C,0.01)</f>
        <v>16.0152</v>
      </c>
      <c r="D8" s="28" t="n">
        <f aca="false">SUMIFS('Lossy Breakdown'!$P:$P,'Lossy Breakdown'!$C:$C,0.01)</f>
        <v>15.1741</v>
      </c>
      <c r="E8" s="28" t="n">
        <f aca="false">C8-D8</f>
        <v>0.841100000000001</v>
      </c>
      <c r="F8" s="28" t="n">
        <f aca="false">SUMIFS('Lossy Breakdown'!$V:$V,'Lossy Breakdown'!$C:$C,0.01)</f>
        <v>3.9962</v>
      </c>
      <c r="G8" s="28" t="n">
        <f aca="false">SUMIFS('Lossy Breakdown'!$W:$W,'Lossy Breakdown'!$C:$C,0.01)</f>
        <v>1.0554</v>
      </c>
      <c r="H8" s="28" t="n">
        <f aca="false">SUMIFS('Lossy Breakdown'!$Q:$Q,'Lossy Breakdown'!$C:$C,0.01)</f>
        <v>4.2177</v>
      </c>
      <c r="I8" s="15" t="n">
        <f aca="false">SUMIFS('Lossy Breakdown'!$U:$U,'Lossy Breakdown'!$C:$C,0.01)</f>
        <v>0.9535</v>
      </c>
    </row>
    <row r="9" customFormat="false" ht="15" hidden="false" customHeight="false" outlineLevel="0" collapsed="false">
      <c r="A9" s="7" t="n">
        <v>0.1</v>
      </c>
      <c r="B9" s="7" t="n">
        <v>64</v>
      </c>
      <c r="C9" s="28" t="n">
        <f aca="false">SUMIFS('Lossy Breakdown'!$M:$M,'Lossy Breakdown'!$C:$C,0.1)</f>
        <v>12.5492</v>
      </c>
      <c r="D9" s="28" t="n">
        <f aca="false">SUMIFS('Lossy Breakdown'!$P:$P,'Lossy Breakdown'!$C:$C,0.1)</f>
        <v>12.4138</v>
      </c>
      <c r="E9" s="28" t="n">
        <f aca="false">C9-D9</f>
        <v>0.135400000000001</v>
      </c>
      <c r="F9" s="28" t="n">
        <f aca="false">SUMIFS('Lossy Breakdown'!$V:$V,'Lossy Breakdown'!$C:$C,0.1)</f>
        <v>5.0999</v>
      </c>
      <c r="G9" s="28" t="n">
        <f aca="false">SUMIFS('Lossy Breakdown'!$W:$W,'Lossy Breakdown'!$C:$C,0.1)</f>
        <v>1.0109</v>
      </c>
      <c r="H9" s="28" t="n">
        <f aca="false">SUMIFS('Lossy Breakdown'!$Q:$Q,'Lossy Breakdown'!$C:$C,0.1)</f>
        <v>5.1556</v>
      </c>
      <c r="I9" s="15" t="n">
        <f aca="false">SUMIFS('Lossy Breakdown'!$U:$U,'Lossy Breakdown'!$C:$C,0.1)</f>
        <v>0.5116</v>
      </c>
    </row>
    <row r="10" customFormat="false" ht="15" hidden="false" customHeight="false" outlineLevel="0" collapsed="false">
      <c r="A10" s="7" t="n">
        <v>0.5</v>
      </c>
      <c r="B10" s="7" t="n">
        <v>64</v>
      </c>
      <c r="C10" s="28" t="n">
        <f aca="false">SUMIFS('Lossy Breakdown'!$M:$M,'Lossy Breakdown'!$C:$C,0.5)</f>
        <v>10.1345</v>
      </c>
      <c r="D10" s="28" t="n">
        <f aca="false">SUMIFS('Lossy Breakdown'!$P:$P,'Lossy Breakdown'!$C:$C,0.5)</f>
        <v>10.0349</v>
      </c>
      <c r="E10" s="28" t="n">
        <f aca="false">C10-D10</f>
        <v>0.0995999999999988</v>
      </c>
      <c r="F10" s="28" t="n">
        <f aca="false">SUMIFS('Lossy Breakdown'!$V:$V,'Lossy Breakdown'!$C:$C,0.5)</f>
        <v>6.315</v>
      </c>
      <c r="G10" s="28" t="n">
        <f aca="false">SUMIFS('Lossy Breakdown'!$W:$W,'Lossy Breakdown'!$C:$C,0.5)</f>
        <v>1.0099</v>
      </c>
      <c r="H10" s="28" t="n">
        <f aca="false">SUMIFS('Lossy Breakdown'!$Q:$Q,'Lossy Breakdown'!$C:$C,0.5)</f>
        <v>6.3777</v>
      </c>
      <c r="I10" s="15" t="n">
        <f aca="false">SUMIFS('Lossy Breakdown'!$U:$U,'Lossy Breakdown'!$C:$C,0.5)</f>
        <v>0.407</v>
      </c>
    </row>
    <row r="11" customFormat="false" ht="15" hidden="false" customHeight="false" outlineLevel="0" collapsed="false">
      <c r="A11" s="7" t="n">
        <v>1</v>
      </c>
      <c r="B11" s="7" t="n">
        <v>64</v>
      </c>
      <c r="C11" s="28" t="n">
        <f aca="false">SUMIFS('Lossy Breakdown'!$M:$M,'Lossy Breakdown'!$C:$C,1)</f>
        <v>9.1335</v>
      </c>
      <c r="D11" s="28" t="n">
        <f aca="false">SUMIFS('Lossy Breakdown'!$P:$P,'Lossy Breakdown'!$C:$C,1)</f>
        <v>9.1032</v>
      </c>
      <c r="E11" s="28" t="n">
        <f aca="false">C11-D11</f>
        <v>0.0303000000000004</v>
      </c>
      <c r="F11" s="28" t="n">
        <f aca="false">SUMIFS('Lossy Breakdown'!$V:$V,'Lossy Breakdown'!$C:$C,1)</f>
        <v>7.0072</v>
      </c>
      <c r="G11" s="28" t="n">
        <f aca="false">SUMIFS('Lossy Breakdown'!$W:$W,'Lossy Breakdown'!$C:$C,1)</f>
        <v>1.0033</v>
      </c>
      <c r="H11" s="28" t="n">
        <f aca="false">SUMIFS('Lossy Breakdown'!$Q:$Q,'Lossy Breakdown'!$C:$C,1)</f>
        <v>7.0305</v>
      </c>
      <c r="I11" s="15" t="n">
        <f aca="false">SUMIFS('Lossy Breakdown'!$U:$U,'Lossy Breakdown'!$C:$C,1)</f>
        <v>0.1163</v>
      </c>
    </row>
    <row r="12" customFormat="false" ht="15" hidden="false" customHeight="false" outlineLevel="0" collapsed="false">
      <c r="A12" s="17" t="n">
        <v>2</v>
      </c>
      <c r="B12" s="17" t="n">
        <v>64</v>
      </c>
      <c r="C12" s="29" t="n">
        <f aca="false">SUMIFS('Lossy Breakdown'!$M:$M,'Lossy Breakdown'!$C:$C,2)</f>
        <v>8.1322</v>
      </c>
      <c r="D12" s="29" t="n">
        <f aca="false">SUMIFS('Lossy Breakdown'!$P:$P,'Lossy Breakdown'!$C:$C,2)</f>
        <v>6.6944</v>
      </c>
      <c r="E12" s="29" t="n">
        <f aca="false">C12-D12</f>
        <v>1.4378</v>
      </c>
      <c r="F12" s="29" t="n">
        <f aca="false">SUMIFS('Lossy Breakdown'!$V:$V,'Lossy Breakdown'!$C:$C,2)</f>
        <v>7.8699</v>
      </c>
      <c r="G12" s="29" t="n">
        <f aca="false">SUMIFS('Lossy Breakdown'!$W:$W,'Lossy Breakdown'!$C:$C,2)</f>
        <v>1.2148</v>
      </c>
      <c r="H12" s="29" t="n">
        <f aca="false">SUMIFS('Lossy Breakdown'!$Q:$Q,'Lossy Breakdown'!$C:$C,2)</f>
        <v>9.5603</v>
      </c>
      <c r="I12" s="19" t="n">
        <f aca="false">SUMIFS('Lossy Breakdown'!$U:$U,'Lossy Breakdown'!$C:$C,2)</f>
        <v>0.9302</v>
      </c>
    </row>
    <row r="13" customFormat="false" ht="15" hidden="false" customHeight="false" outlineLevel="0" collapsed="false">
      <c r="A13" s="17" t="n">
        <v>5</v>
      </c>
      <c r="B13" s="17" t="n">
        <v>64</v>
      </c>
      <c r="C13" s="29" t="n">
        <f aca="false">SUMIFS('Lossy Breakdown'!$M:$M,'Lossy Breakdown'!$C:$C,5)</f>
        <v>7.0406</v>
      </c>
      <c r="D13" s="29" t="n">
        <f aca="false">SUMIFS('Lossy Breakdown'!$P:$P,'Lossy Breakdown'!$C:$C,5)</f>
        <v>6.954</v>
      </c>
      <c r="E13" s="29" t="n">
        <f aca="false">C13-D13</f>
        <v>0.0866000000000007</v>
      </c>
      <c r="F13" s="29" t="n">
        <f aca="false">SUMIFS('Lossy Breakdown'!$V:$V,'Lossy Breakdown'!$C:$C,5)</f>
        <v>9.0901</v>
      </c>
      <c r="G13" s="29" t="n">
        <f aca="false">SUMIFS('Lossy Breakdown'!$W:$W,'Lossy Breakdown'!$C:$C,5)</f>
        <v>1.0125</v>
      </c>
      <c r="H13" s="29" t="n">
        <f aca="false">SUMIFS('Lossy Breakdown'!$Q:$Q,'Lossy Breakdown'!$C:$C,5)</f>
        <v>9.2034</v>
      </c>
      <c r="I13" s="19" t="n">
        <f aca="false">SUMIFS('Lossy Breakdown'!$U:$U,'Lossy Breakdown'!$C:$C,5)</f>
        <v>0.4302</v>
      </c>
    </row>
    <row r="14" customFormat="false" ht="15" hidden="false" customHeight="false" outlineLevel="0" collapsed="false">
      <c r="A14" s="7" t="n">
        <v>10</v>
      </c>
      <c r="B14" s="7" t="n">
        <v>64</v>
      </c>
      <c r="C14" s="28" t="n">
        <f aca="false">SUMIFS('Lossy Breakdown'!$M:$M,'Lossy Breakdown'!$C:$C,10)</f>
        <v>6.0628</v>
      </c>
      <c r="D14" s="28" t="n">
        <f aca="false">SUMIFS('Lossy Breakdown'!$P:$P,'Lossy Breakdown'!$C:$C,10)</f>
        <v>5.3364</v>
      </c>
      <c r="E14" s="28" t="n">
        <f aca="false">C14-D14</f>
        <v>0.7264</v>
      </c>
      <c r="F14" s="28" t="n">
        <f aca="false">SUMIFS('Lossy Breakdown'!$V:$V,'Lossy Breakdown'!$C:$C,10)</f>
        <v>10.5562</v>
      </c>
      <c r="G14" s="28" t="n">
        <f aca="false">SUMIFS('Lossy Breakdown'!$W:$W,'Lossy Breakdown'!$C:$C,10)</f>
        <v>1.1361</v>
      </c>
      <c r="H14" s="28" t="n">
        <f aca="false">SUMIFS('Lossy Breakdown'!$Q:$Q,'Lossy Breakdown'!$C:$C,10)</f>
        <v>11.9932</v>
      </c>
      <c r="I14" s="15" t="n">
        <f aca="false">SUMIFS('Lossy Breakdown'!$U:$U,'Lossy Breakdown'!$C:$C,10)</f>
        <v>1</v>
      </c>
    </row>
    <row r="15" customFormat="false" ht="15" hidden="false" customHeight="false" outlineLevel="0" collapsed="false">
      <c r="A15" s="7" t="n">
        <v>20</v>
      </c>
      <c r="B15" s="7" t="n">
        <v>64</v>
      </c>
      <c r="C15" s="28" t="n">
        <f aca="false">SUMIFS('Lossy Breakdown'!$M:$M,'Lossy Breakdown'!$C:$C,20)</f>
        <v>5.0649</v>
      </c>
      <c r="D15" s="28" t="n">
        <f aca="false">SUMIFS('Lossy Breakdown'!$P:$P,'Lossy Breakdown'!$C:$C,20)</f>
        <v>4.6836</v>
      </c>
      <c r="E15" s="28" t="n">
        <f aca="false">C15-D15</f>
        <v>0.3813</v>
      </c>
      <c r="F15" s="28" t="n">
        <f aca="false">SUMIFS('Lossy Breakdown'!$V:$V,'Lossy Breakdown'!$C:$C,20)</f>
        <v>12.636</v>
      </c>
      <c r="G15" s="28" t="n">
        <f aca="false">SUMIFS('Lossy Breakdown'!$W:$W,'Lossy Breakdown'!$C:$C,20)</f>
        <v>1.0814</v>
      </c>
      <c r="H15" s="28" t="n">
        <f aca="false">SUMIFS('Lossy Breakdown'!$Q:$Q,'Lossy Breakdown'!$C:$C,20)</f>
        <v>13.6647</v>
      </c>
      <c r="I15" s="15" t="n">
        <f aca="false">SUMIFS('Lossy Breakdown'!$U:$U,'Lossy Breakdown'!$C:$C,20)</f>
        <v>1</v>
      </c>
    </row>
    <row r="17" customFormat="false" ht="15" hidden="false" customHeight="false" outlineLevel="0" collapsed="false">
      <c r="A17" s="10" t="s">
        <v>141</v>
      </c>
      <c r="B17" s="2" t="s">
        <v>285</v>
      </c>
    </row>
    <row r="18" customFormat="false" ht="15" hidden="false" customHeight="false" outlineLevel="0" collapsed="false">
      <c r="A18" s="10" t="s">
        <v>143</v>
      </c>
      <c r="B18" s="2" t="s">
        <v>286</v>
      </c>
    </row>
    <row r="19" customFormat="false" ht="15" hidden="false" customHeight="false" outlineLevel="0" collapsed="false">
      <c r="A19" s="2" t="s">
        <v>287</v>
      </c>
    </row>
    <row r="20" customFormat="false" ht="15" hidden="false" customHeight="false" outlineLevel="0" collapsed="false">
      <c r="A20" s="2" t="s">
        <v>288</v>
      </c>
    </row>
    <row r="21" customFormat="false" ht="15" hidden="false" customHeight="false" outlineLevel="0" collapsed="false">
      <c r="A21" s="2" t="s">
        <v>289</v>
      </c>
    </row>
    <row r="22" customFormat="false" ht="15" hidden="false" customHeight="false" outlineLevel="0" collapsed="false">
      <c r="A22" s="2" t="s">
        <v>290</v>
      </c>
    </row>
    <row r="23" customFormat="false" ht="15" hidden="false" customHeight="false" outlineLevel="0" collapsed="false">
      <c r="A23" s="2" t="s">
        <v>291</v>
      </c>
    </row>
    <row r="24" customFormat="false" ht="15" hidden="false" customHeight="false" outlineLevel="0" collapsed="false">
      <c r="A24" s="2" t="s">
        <v>292</v>
      </c>
    </row>
    <row r="26" customFormat="false" ht="15" hidden="false" customHeight="false" outlineLevel="0" collapsed="false">
      <c r="A26" s="3" t="s">
        <v>293</v>
      </c>
      <c r="B26" s="4"/>
      <c r="C26" s="4"/>
      <c r="D26" s="4"/>
    </row>
    <row r="27" customFormat="false" ht="15" hidden="false" customHeight="false" outlineLevel="0" collapsed="false">
      <c r="A27" s="2" t="s">
        <v>294</v>
      </c>
    </row>
    <row r="28" customFormat="false" ht="15" hidden="false" customHeight="false" outlineLevel="0" collapsed="false">
      <c r="A28" s="6" t="s">
        <v>228</v>
      </c>
      <c r="B28" s="6" t="s">
        <v>295</v>
      </c>
      <c r="C28" s="6" t="s">
        <v>296</v>
      </c>
      <c r="D28" s="6" t="s">
        <v>297</v>
      </c>
    </row>
    <row r="29" customFormat="false" ht="15" hidden="false" customHeight="false" outlineLevel="0" collapsed="false">
      <c r="A29" s="30" t="n">
        <v>2</v>
      </c>
      <c r="B29" s="7" t="s">
        <v>298</v>
      </c>
      <c r="C29" s="31" t="n">
        <v>8.1507</v>
      </c>
      <c r="D29" s="31" t="n">
        <v>8.152</v>
      </c>
    </row>
    <row r="30" customFormat="false" ht="15" hidden="false" customHeight="false" outlineLevel="0" collapsed="false">
      <c r="A30" s="30" t="n">
        <v>2</v>
      </c>
      <c r="B30" s="7" t="s">
        <v>282</v>
      </c>
      <c r="C30" s="31" t="n">
        <v>1.2086</v>
      </c>
      <c r="D30" s="31" t="n">
        <v>1.2085</v>
      </c>
    </row>
    <row r="31" customFormat="false" ht="15" hidden="false" customHeight="false" outlineLevel="0" collapsed="false">
      <c r="A31" s="30" t="n">
        <v>2</v>
      </c>
      <c r="B31" s="7" t="s">
        <v>283</v>
      </c>
      <c r="C31" s="31" t="n">
        <v>9.4899</v>
      </c>
      <c r="D31" s="31" t="n">
        <v>9.4878</v>
      </c>
    </row>
    <row r="32" customFormat="false" ht="15" hidden="false" customHeight="false" outlineLevel="0" collapsed="false">
      <c r="A32" s="30" t="n">
        <v>5</v>
      </c>
      <c r="B32" s="7" t="s">
        <v>298</v>
      </c>
      <c r="C32" s="31" t="n">
        <v>7.0704</v>
      </c>
      <c r="D32" s="31" t="n">
        <v>7.0644</v>
      </c>
    </row>
    <row r="33" customFormat="false" ht="15" hidden="false" customHeight="false" outlineLevel="0" collapsed="false">
      <c r="A33" s="30" t="n">
        <v>5</v>
      </c>
      <c r="B33" s="7" t="s">
        <v>282</v>
      </c>
      <c r="C33" s="31" t="n">
        <v>1.0171</v>
      </c>
      <c r="D33" s="31" t="n">
        <v>1.0137</v>
      </c>
    </row>
    <row r="34" customFormat="false" ht="15" hidden="false" customHeight="false" outlineLevel="0" collapsed="false">
      <c r="A34" s="30" t="n">
        <v>5</v>
      </c>
      <c r="B34" s="7" t="s">
        <v>283</v>
      </c>
      <c r="C34" s="31" t="n">
        <v>9.2063</v>
      </c>
      <c r="D34" s="31" t="n">
        <v>9.184</v>
      </c>
    </row>
    <row r="36" customFormat="false" ht="15" hidden="false" customHeight="false" outlineLevel="0" collapsed="false">
      <c r="A36" s="2" t="s">
        <v>299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9"/>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6" min="2" style="0" width="13"/>
  </cols>
  <sheetData>
    <row r="1" customFormat="false" ht="15" hidden="false" customHeight="false" outlineLevel="0" collapsed="false">
      <c r="A1" s="8" t="s">
        <v>300</v>
      </c>
    </row>
    <row r="2" customFormat="false" ht="15" hidden="false" customHeight="false" outlineLevel="0" collapsed="false">
      <c r="A2" s="2" t="s">
        <v>301</v>
      </c>
    </row>
    <row r="4" customFormat="false" ht="15" hidden="false" customHeight="false" outlineLevel="0" collapsed="false">
      <c r="A4" s="3" t="s">
        <v>302</v>
      </c>
      <c r="B4" s="4"/>
      <c r="C4" s="4"/>
      <c r="D4" s="4"/>
      <c r="E4" s="4"/>
      <c r="F4" s="4"/>
    </row>
    <row r="5" customFormat="false" ht="15" hidden="false" customHeight="false" outlineLevel="0" collapsed="false">
      <c r="A5" s="2" t="s">
        <v>303</v>
      </c>
    </row>
    <row r="6" customFormat="false" ht="15" hidden="false" customHeight="false" outlineLevel="0" collapsed="false">
      <c r="A6" s="6" t="s">
        <v>131</v>
      </c>
      <c r="B6" s="6" t="s">
        <v>132</v>
      </c>
      <c r="C6" s="6" t="s">
        <v>133</v>
      </c>
      <c r="D6" s="6" t="s">
        <v>134</v>
      </c>
      <c r="E6" s="6" t="s">
        <v>135</v>
      </c>
      <c r="F6" s="6" t="s">
        <v>136</v>
      </c>
    </row>
    <row r="7" customFormat="false" ht="15" hidden="false" customHeight="false" outlineLevel="0" collapsed="false">
      <c r="A7" s="7" t="s">
        <v>82</v>
      </c>
      <c r="B7" s="32" t="n">
        <f aca="false">(SUMIFS(Standalone!$L:$L,Standalone!$C:$C,"MemoryStore",Standalone!$E:$E,"",Standalone!$F:$F,16))/1048576</f>
        <v>5.34060287475586</v>
      </c>
      <c r="C7" s="32" t="n">
        <f aca="false">(SUMIFS(Standalone!$L:$L,Standalone!$C:$C,"MemoryStore",Standalone!$E:$E,"",Standalone!$F:$F,64))/1048576</f>
        <v>5.34060287475586</v>
      </c>
      <c r="D7" s="32" t="n">
        <f aca="false">(SUMIFS(Standalone!$L:$L,Standalone!$C:$C,"MemoryStore",Standalone!$E:$E,"",Standalone!$F:$F,256))/1048576</f>
        <v>5.34060287475586</v>
      </c>
      <c r="E7" s="32" t="n">
        <f aca="false">(SUMIFS(Standalone!$L:$L,Standalone!$C:$C,"MemoryStore",Standalone!$E:$E,"",Standalone!$F:$F,1024))/1048576</f>
        <v>5.34060287475586</v>
      </c>
      <c r="F7" s="32" t="n">
        <f aca="false">(SUMIFS(Standalone!$L:$L,Standalone!$C:$C,"MemoryStore",Standalone!$E:$E,"",Standalone!$F:$F,4096))/1048576</f>
        <v>5.34060287475586</v>
      </c>
    </row>
    <row r="8" customFormat="false" ht="15" hidden="false" customHeight="false" outlineLevel="0" collapsed="false">
      <c r="A8" s="7" t="s">
        <v>83</v>
      </c>
      <c r="B8" s="32" t="n">
        <f aca="false">(SUMIFS(Standalone!$L:$L,Standalone!$C:$C,"FileStore",Standalone!$E:$E,"",Standalone!$F:$F,16))/1048576</f>
        <v>5.34060287475586</v>
      </c>
      <c r="C8" s="32" t="n">
        <f aca="false">(SUMIFS(Standalone!$L:$L,Standalone!$C:$C,"FileStore",Standalone!$E:$E,"",Standalone!$F:$F,64))/1048576</f>
        <v>5.34060287475586</v>
      </c>
      <c r="D8" s="32" t="n">
        <f aca="false">(SUMIFS(Standalone!$L:$L,Standalone!$C:$C,"FileStore",Standalone!$E:$E,"",Standalone!$F:$F,256))/1048576</f>
        <v>5.34060287475586</v>
      </c>
      <c r="E8" s="32" t="n">
        <f aca="false">(SUMIFS(Standalone!$L:$L,Standalone!$C:$C,"FileStore",Standalone!$E:$E,"",Standalone!$F:$F,1024))/1048576</f>
        <v>5.34060287475586</v>
      </c>
      <c r="F8" s="32" t="n">
        <f aca="false">(SUMIFS(Standalone!$L:$L,Standalone!$C:$C,"FileStore",Standalone!$E:$E,"",Standalone!$F:$F,4096))/1048576</f>
        <v>5.34060287475586</v>
      </c>
    </row>
    <row r="9" customFormat="false" ht="15" hidden="false" customHeight="false" outlineLevel="0" collapsed="false">
      <c r="A9" s="7" t="s">
        <v>79</v>
      </c>
      <c r="B9" s="32" t="n">
        <f aca="false">(SUMIFS(Standalone!$L:$L,Standalone!$C:$C,"CompressedStore",Standalone!$E:$E,"",Standalone!$F:$F,16))/1048576</f>
        <v>1.68674564361572</v>
      </c>
      <c r="C9" s="32" t="n">
        <f aca="false">(SUMIFS(Standalone!$L:$L,Standalone!$C:$C,"CompressedStore",Standalone!$E:$E,"",Standalone!$F:$F,64))/1048576</f>
        <v>1.63989734649658</v>
      </c>
      <c r="D9" s="32" t="n">
        <f aca="false">(SUMIFS(Standalone!$L:$L,Standalone!$C:$C,"CompressedStore",Standalone!$E:$E,"",Standalone!$F:$F,256))/1048576</f>
        <v>1.63411426544189</v>
      </c>
      <c r="E9" s="32" t="n">
        <f aca="false">(SUMIFS(Standalone!$L:$L,Standalone!$C:$C,"CompressedStore",Standalone!$E:$E,"",Standalone!$F:$F,1024))/1048576</f>
        <v>1.63514709472656</v>
      </c>
      <c r="F9" s="32" t="n">
        <f aca="false">(SUMIFS(Standalone!$L:$L,Standalone!$C:$C,"CompressedStore",Standalone!$E:$E,"",Standalone!$F:$F,4096))/1048576</f>
        <v>1.63320064544678</v>
      </c>
    </row>
    <row r="10" customFormat="false" ht="15" hidden="false" customHeight="false" outlineLevel="0" collapsed="false">
      <c r="A10" s="7" t="s">
        <v>137</v>
      </c>
      <c r="B10" s="32" t="n">
        <f aca="false">(SUMIFS(Standalone!$L:$L,Standalone!$C:$C,"LossyStore",Standalone!$E:$E,"",Standalone!$F:$F,16))/1048576</f>
        <v>1.15078449249268</v>
      </c>
      <c r="C10" s="32" t="n">
        <f aca="false">(SUMIFS(Standalone!$L:$L,Standalone!$C:$C,"LossyStore",Standalone!$E:$E,"",Standalone!$F:$F,64))/1048576</f>
        <v>1.42958068847656</v>
      </c>
      <c r="D10" s="32" t="n">
        <f aca="false">(SUMIFS(Standalone!$L:$L,Standalone!$C:$C,"LossyStore",Standalone!$E:$E,"",Standalone!$F:$F,256))/1048576</f>
        <v>1.30216217041016</v>
      </c>
      <c r="E10" s="32" t="n">
        <f aca="false">(SUMIFS(Standalone!$L:$L,Standalone!$C:$C,"LossyStore",Standalone!$E:$E,"",Standalone!$F:$F,1024))/1048576</f>
        <v>1.48826789855957</v>
      </c>
      <c r="F10" s="32" t="n">
        <f aca="false">(SUMIFS(Standalone!$L:$L,Standalone!$C:$C,"LossyStore",Standalone!$E:$E,"",Standalone!$F:$F,4096))/1048576</f>
        <v>1.18790340423584</v>
      </c>
    </row>
    <row r="11" customFormat="false" ht="15" hidden="false" customHeight="false" outlineLevel="0" collapsed="false">
      <c r="A11" s="7" t="s">
        <v>138</v>
      </c>
      <c r="B11" s="32" t="n">
        <f aca="false">(SUMIFS(Standalone!$L:$L,Standalone!$C:$C,"LossyStore",Standalone!$E:$E,0.1,Standalone!$F:$F,16))/1048576</f>
        <v>0.771383285522461</v>
      </c>
      <c r="C11" s="32" t="n">
        <f aca="false">(SUMIFS(Standalone!$L:$L,Standalone!$C:$C,"LossyStore",Standalone!$E:$E,0.1,Standalone!$F:$F,64))/1048576</f>
        <v>1.08390235900879</v>
      </c>
      <c r="D11" s="32" t="n">
        <f aca="false">(SUMIFS(Standalone!$L:$L,Standalone!$C:$C,"LossyStore",Standalone!$E:$E,0.1,Standalone!$F:$F,256))/1048576</f>
        <v>0.97122859954834</v>
      </c>
      <c r="E11" s="32" t="n">
        <f aca="false">(SUMIFS(Standalone!$L:$L,Standalone!$C:$C,"LossyStore",Standalone!$E:$E,0.1,Standalone!$F:$F,1024))/1048576</f>
        <v>1.15727996826172</v>
      </c>
      <c r="F11" s="32" t="n">
        <f aca="false">(SUMIFS(Standalone!$L:$L,Standalone!$C:$C,"LossyStore",Standalone!$E:$E,0.1,Standalone!$F:$F,4096))/1048576</f>
        <v>0.855509757995606</v>
      </c>
    </row>
    <row r="12" customFormat="false" ht="15" hidden="false" customHeight="false" outlineLevel="0" collapsed="false">
      <c r="A12" s="7" t="s">
        <v>139</v>
      </c>
      <c r="B12" s="32" t="n">
        <f aca="false">(SUMIFS(Standalone!$L:$L,Standalone!$C:$C,"LossyStore",Standalone!$E:$E,1,Standalone!$F:$F,16))/1048576</f>
        <v>0.696263313293457</v>
      </c>
      <c r="C12" s="32" t="n">
        <f aca="false">(SUMIFS(Standalone!$L:$L,Standalone!$C:$C,"LossyStore",Standalone!$E:$E,1,Standalone!$F:$F,64))/1048576</f>
        <v>1.00497055053711</v>
      </c>
      <c r="D12" s="32" t="n">
        <f aca="false">(SUMIFS(Standalone!$L:$L,Standalone!$C:$C,"LossyStore",Standalone!$E:$E,1,Standalone!$F:$F,256))/1048576</f>
        <v>0.877513885498047</v>
      </c>
      <c r="E12" s="32" t="n">
        <f aca="false">(SUMIFS(Standalone!$L:$L,Standalone!$C:$C,"LossyStore",Standalone!$E:$E,1,Standalone!$F:$F,1024))/1048576</f>
        <v>1.06897449493408</v>
      </c>
      <c r="F12" s="32" t="n">
        <f aca="false">(SUMIFS(Standalone!$L:$L,Standalone!$C:$C,"LossyStore",Standalone!$E:$E,1,Standalone!$F:$F,4096))/1048576</f>
        <v>0.769621849060059</v>
      </c>
    </row>
    <row r="13" customFormat="false" ht="15" hidden="false" customHeight="false" outlineLevel="0" collapsed="false">
      <c r="A13" s="7" t="s">
        <v>140</v>
      </c>
      <c r="B13" s="32" t="n">
        <f aca="false">(SUMIFS(Standalone!$L:$L,Standalone!$C:$C,"LossyStore",Standalone!$E:$E,5,Standalone!$F:$F,16))/1048576</f>
        <v>0.641535758972168</v>
      </c>
      <c r="C13" s="32" t="n">
        <f aca="false">(SUMIFS(Standalone!$L:$L,Standalone!$C:$C,"LossyStore",Standalone!$E:$E,5,Standalone!$F:$F,64))/1048576</f>
        <v>0.953729629516602</v>
      </c>
      <c r="D13" s="32" t="n">
        <f aca="false">(SUMIFS(Standalone!$L:$L,Standalone!$C:$C,"LossyStore",Standalone!$E:$E,5,Standalone!$F:$F,256))/1048576</f>
        <v>0.821158409118652</v>
      </c>
      <c r="E13" s="32" t="n">
        <f aca="false">(SUMIFS(Standalone!$L:$L,Standalone!$C:$C,"LossyStore",Standalone!$E:$E,5,Standalone!$F:$F,1024))/1048576</f>
        <v>1.00308990478516</v>
      </c>
      <c r="F13" s="32" t="n">
        <f aca="false">(SUMIFS(Standalone!$L:$L,Standalone!$C:$C,"LossyStore",Standalone!$E:$E,5,Standalone!$F:$F,4096))/1048576</f>
        <v>0.701102256774902</v>
      </c>
    </row>
    <row r="15" customFormat="false" ht="15" hidden="false" customHeight="false" outlineLevel="0" collapsed="false">
      <c r="A15" s="10" t="s">
        <v>141</v>
      </c>
      <c r="B15" s="2" t="s">
        <v>304</v>
      </c>
    </row>
    <row r="16" customFormat="false" ht="15" hidden="false" customHeight="false" outlineLevel="0" collapsed="false">
      <c r="A16" s="10" t="s">
        <v>143</v>
      </c>
      <c r="B16" s="2" t="s">
        <v>305</v>
      </c>
    </row>
    <row r="18" customFormat="false" ht="15" hidden="false" customHeight="false" outlineLevel="0" collapsed="false">
      <c r="A18" s="3" t="s">
        <v>306</v>
      </c>
      <c r="B18" s="4"/>
      <c r="C18" s="4"/>
      <c r="D18" s="4"/>
      <c r="E18" s="4"/>
      <c r="F18" s="4"/>
    </row>
    <row r="19" customFormat="false" ht="15" hidden="false" customHeight="false" outlineLevel="0" collapsed="false">
      <c r="A19" s="2" t="s">
        <v>307</v>
      </c>
    </row>
    <row r="20" customFormat="false" ht="15" hidden="false" customHeight="false" outlineLevel="0" collapsed="false">
      <c r="A20" s="6" t="s">
        <v>131</v>
      </c>
      <c r="B20" s="6" t="s">
        <v>132</v>
      </c>
      <c r="C20" s="6" t="s">
        <v>133</v>
      </c>
      <c r="D20" s="6" t="s">
        <v>134</v>
      </c>
      <c r="E20" s="6" t="s">
        <v>135</v>
      </c>
      <c r="F20" s="6" t="s">
        <v>136</v>
      </c>
    </row>
    <row r="21" customFormat="false" ht="15" hidden="false" customHeight="false" outlineLevel="0" collapsed="false">
      <c r="A21" s="7" t="s">
        <v>82</v>
      </c>
      <c r="B21" s="32" t="n">
        <f aca="false">(SUMIFS(Standalone!$M:$M,Standalone!$C:$C,"MemoryStore",Standalone!$E:$E,"",Standalone!$F:$F,16))/1048576</f>
        <v>0</v>
      </c>
      <c r="C21" s="32" t="n">
        <f aca="false">(SUMIFS(Standalone!$M:$M,Standalone!$C:$C,"MemoryStore",Standalone!$E:$E,"",Standalone!$F:$F,64))/1048576</f>
        <v>0</v>
      </c>
      <c r="D21" s="32" t="n">
        <f aca="false">(SUMIFS(Standalone!$M:$M,Standalone!$C:$C,"MemoryStore",Standalone!$E:$E,"",Standalone!$F:$F,256))/1048576</f>
        <v>0</v>
      </c>
      <c r="E21" s="32" t="n">
        <f aca="false">(SUMIFS(Standalone!$M:$M,Standalone!$C:$C,"MemoryStore",Standalone!$E:$E,"",Standalone!$F:$F,1024))/1048576</f>
        <v>0</v>
      </c>
      <c r="F21" s="32" t="n">
        <f aca="false">(SUMIFS(Standalone!$M:$M,Standalone!$C:$C,"MemoryStore",Standalone!$E:$E,"",Standalone!$F:$F,4096))/1048576</f>
        <v>0</v>
      </c>
    </row>
    <row r="22" customFormat="false" ht="15" hidden="false" customHeight="false" outlineLevel="0" collapsed="false">
      <c r="A22" s="7" t="s">
        <v>83</v>
      </c>
      <c r="B22" s="32" t="n">
        <f aca="false">(SUMIFS(Standalone!$M:$M,Standalone!$C:$C,"FileStore",Standalone!$E:$E,"",Standalone!$F:$F,16))/1048576</f>
        <v>5.36085510253906</v>
      </c>
      <c r="C22" s="32" t="n">
        <f aca="false">(SUMIFS(Standalone!$M:$M,Standalone!$C:$C,"FileStore",Standalone!$E:$E,"",Standalone!$F:$F,64))/1048576</f>
        <v>5.34620666503906</v>
      </c>
      <c r="D22" s="32" t="n">
        <f aca="false">(SUMIFS(Standalone!$M:$M,Standalone!$C:$C,"FileStore",Standalone!$E:$E,"",Standalone!$F:$F,256))/1048576</f>
        <v>5.34254455566406</v>
      </c>
      <c r="E22" s="32" t="n">
        <f aca="false">(SUMIFS(Standalone!$M:$M,Standalone!$C:$C,"FileStore",Standalone!$E:$E,"",Standalone!$F:$F,1024))/1048576</f>
        <v>5.34162902832031</v>
      </c>
      <c r="F22" s="32" t="n">
        <f aca="false">(SUMIFS(Standalone!$M:$M,Standalone!$C:$C,"FileStore",Standalone!$E:$E,"",Standalone!$F:$F,4096))/1048576</f>
        <v>5.34140014648438</v>
      </c>
    </row>
    <row r="23" customFormat="false" ht="15" hidden="false" customHeight="false" outlineLevel="0" collapsed="false">
      <c r="A23" s="7" t="s">
        <v>79</v>
      </c>
      <c r="B23" s="32" t="n">
        <f aca="false">(SUMIFS(Standalone!$M:$M,Standalone!$C:$C,"CompressedStore",Standalone!$E:$E,"",Standalone!$F:$F,16))/1048576</f>
        <v>1.70047855377197</v>
      </c>
      <c r="C23" s="32" t="n">
        <f aca="false">(SUMIFS(Standalone!$M:$M,Standalone!$C:$C,"CompressedStore",Standalone!$E:$E,"",Standalone!$F:$F,64))/1048576</f>
        <v>1.64362049102783</v>
      </c>
      <c r="D23" s="32" t="n">
        <f aca="false">(SUMIFS(Standalone!$M:$M,Standalone!$C:$C,"CompressedStore",Standalone!$E:$E,"",Standalone!$F:$F,256))/1048576</f>
        <v>1.63533496856689</v>
      </c>
      <c r="E23" s="32" t="n">
        <f aca="false">(SUMIFS(Standalone!$M:$M,Standalone!$C:$C,"CompressedStore",Standalone!$E:$E,"",Standalone!$F:$F,1024))/1048576</f>
        <v>1.6357421875</v>
      </c>
      <c r="F23" s="32" t="n">
        <f aca="false">(SUMIFS(Standalone!$M:$M,Standalone!$C:$C,"CompressedStore",Standalone!$E:$E,"",Standalone!$F:$F,4096))/1048576</f>
        <v>1.63363933563232</v>
      </c>
    </row>
    <row r="24" customFormat="false" ht="15" hidden="false" customHeight="false" outlineLevel="0" collapsed="false">
      <c r="A24" s="7" t="s">
        <v>137</v>
      </c>
      <c r="B24" s="32" t="n">
        <f aca="false">(SUMIFS(Standalone!$M:$M,Standalone!$C:$C,"LossyStore",Standalone!$E:$E,"",Standalone!$F:$F,16))/1048576</f>
        <v>1.22811794281006</v>
      </c>
      <c r="C24" s="32" t="n">
        <f aca="false">(SUMIFS(Standalone!$M:$M,Standalone!$C:$C,"LossyStore",Standalone!$E:$E,"",Standalone!$F:$F,64))/1048576</f>
        <v>1.44929695129395</v>
      </c>
      <c r="D24" s="32" t="n">
        <f aca="false">(SUMIFS(Standalone!$M:$M,Standalone!$C:$C,"LossyStore",Standalone!$E:$E,"",Standalone!$F:$F,256))/1048576</f>
        <v>1.30747413635254</v>
      </c>
      <c r="E24" s="32" t="n">
        <f aca="false">(SUMIFS(Standalone!$M:$M,Standalone!$C:$C,"LossyStore",Standalone!$E:$E,"",Standalone!$F:$F,1024))/1048576</f>
        <v>1.4899787902832</v>
      </c>
      <c r="F24" s="32" t="n">
        <f aca="false">(SUMIFS(Standalone!$M:$M,Standalone!$C:$C,"LossyStore",Standalone!$E:$E,"",Standalone!$F:$F,4096))/1048576</f>
        <v>1.18871402740479</v>
      </c>
    </row>
    <row r="25" customFormat="false" ht="15" hidden="false" customHeight="false" outlineLevel="0" collapsed="false">
      <c r="A25" s="7" t="s">
        <v>138</v>
      </c>
      <c r="B25" s="32" t="n">
        <f aca="false">(SUMIFS(Standalone!$M:$M,Standalone!$C:$C,"LossyStore",Standalone!$E:$E,0.1,Standalone!$F:$F,16))/1048576</f>
        <v>0.848716735839844</v>
      </c>
      <c r="C25" s="32" t="n">
        <f aca="false">(SUMIFS(Standalone!$M:$M,Standalone!$C:$C,"LossyStore",Standalone!$E:$E,0.1,Standalone!$F:$F,64))/1048576</f>
        <v>1.10361862182617</v>
      </c>
      <c r="D25" s="32" t="n">
        <f aca="false">(SUMIFS(Standalone!$M:$M,Standalone!$C:$C,"LossyStore",Standalone!$E:$E,0.1,Standalone!$F:$F,256))/1048576</f>
        <v>0.976540565490723</v>
      </c>
      <c r="E25" s="32" t="n">
        <f aca="false">(SUMIFS(Standalone!$M:$M,Standalone!$C:$C,"LossyStore",Standalone!$E:$E,0.1,Standalone!$F:$F,1024))/1048576</f>
        <v>1.15899085998535</v>
      </c>
      <c r="F25" s="32" t="n">
        <f aca="false">(SUMIFS(Standalone!$M:$M,Standalone!$C:$C,"LossyStore",Standalone!$E:$E,0.1,Standalone!$F:$F,4096))/1048576</f>
        <v>0.856320381164551</v>
      </c>
    </row>
    <row r="26" customFormat="false" ht="15" hidden="false" customHeight="false" outlineLevel="0" collapsed="false">
      <c r="A26" s="7" t="s">
        <v>139</v>
      </c>
      <c r="B26" s="32" t="n">
        <f aca="false">(SUMIFS(Standalone!$M:$M,Standalone!$C:$C,"LossyStore",Standalone!$E:$E,1,Standalone!$F:$F,16))/1048576</f>
        <v>0.77359676361084</v>
      </c>
      <c r="C26" s="32" t="n">
        <f aca="false">(SUMIFS(Standalone!$M:$M,Standalone!$C:$C,"LossyStore",Standalone!$E:$E,1,Standalone!$F:$F,64))/1048576</f>
        <v>1.02468681335449</v>
      </c>
      <c r="D26" s="32" t="n">
        <f aca="false">(SUMIFS(Standalone!$M:$M,Standalone!$C:$C,"LossyStore",Standalone!$E:$E,1,Standalone!$F:$F,256))/1048576</f>
        <v>0.88282585144043</v>
      </c>
      <c r="E26" s="32" t="n">
        <f aca="false">(SUMIFS(Standalone!$M:$M,Standalone!$C:$C,"LossyStore",Standalone!$E:$E,1,Standalone!$F:$F,1024))/1048576</f>
        <v>1.07068538665771</v>
      </c>
      <c r="F26" s="32" t="n">
        <f aca="false">(SUMIFS(Standalone!$M:$M,Standalone!$C:$C,"LossyStore",Standalone!$E:$E,1,Standalone!$F:$F,4096))/1048576</f>
        <v>0.770432472229004</v>
      </c>
    </row>
    <row r="27" customFormat="false" ht="15" hidden="false" customHeight="false" outlineLevel="0" collapsed="false">
      <c r="A27" s="7" t="s">
        <v>140</v>
      </c>
      <c r="B27" s="32" t="n">
        <f aca="false">(SUMIFS(Standalone!$M:$M,Standalone!$C:$C,"LossyStore",Standalone!$E:$E,5,Standalone!$F:$F,16))/1048576</f>
        <v>0.718869209289551</v>
      </c>
      <c r="C27" s="32" t="n">
        <f aca="false">(SUMIFS(Standalone!$M:$M,Standalone!$C:$C,"LossyStore",Standalone!$E:$E,5,Standalone!$F:$F,64))/1048576</f>
        <v>0.973445892333984</v>
      </c>
      <c r="D27" s="32" t="n">
        <f aca="false">(SUMIFS(Standalone!$M:$M,Standalone!$C:$C,"LossyStore",Standalone!$E:$E,5,Standalone!$F:$F,256))/1048576</f>
        <v>0.826470375061035</v>
      </c>
      <c r="E27" s="32" t="n">
        <f aca="false">(SUMIFS(Standalone!$M:$M,Standalone!$C:$C,"LossyStore",Standalone!$E:$E,5,Standalone!$F:$F,1024))/1048576</f>
        <v>1.00480079650879</v>
      </c>
      <c r="F27" s="32" t="n">
        <f aca="false">(SUMIFS(Standalone!$M:$M,Standalone!$C:$C,"LossyStore",Standalone!$E:$E,5,Standalone!$F:$F,4096))/1048576</f>
        <v>0.701912879943848</v>
      </c>
    </row>
    <row r="29" customFormat="false" ht="15" hidden="false" customHeight="false" outlineLevel="0" collapsed="false">
      <c r="A29" s="10" t="s">
        <v>141</v>
      </c>
      <c r="B29" s="2" t="s">
        <v>308</v>
      </c>
    </row>
    <row r="30" customFormat="false" ht="15" hidden="false" customHeight="false" outlineLevel="0" collapsed="false">
      <c r="A30" s="10" t="s">
        <v>143</v>
      </c>
      <c r="B30" s="2" t="s">
        <v>309</v>
      </c>
    </row>
    <row r="32" customFormat="false" ht="15" hidden="false" customHeight="false" outlineLevel="0" collapsed="false">
      <c r="A32" s="3" t="s">
        <v>310</v>
      </c>
      <c r="B32" s="4"/>
      <c r="C32" s="4"/>
      <c r="D32" s="4"/>
      <c r="E32" s="4"/>
      <c r="F32" s="4"/>
    </row>
    <row r="33" customFormat="false" ht="15" hidden="false" customHeight="false" outlineLevel="0" collapsed="false">
      <c r="A33" s="6" t="s">
        <v>131</v>
      </c>
      <c r="B33" s="6" t="s">
        <v>132</v>
      </c>
      <c r="C33" s="6" t="s">
        <v>133</v>
      </c>
      <c r="D33" s="6" t="s">
        <v>134</v>
      </c>
      <c r="E33" s="6" t="s">
        <v>135</v>
      </c>
      <c r="F33" s="6" t="s">
        <v>136</v>
      </c>
    </row>
    <row r="34" customFormat="false" ht="15" hidden="false" customHeight="false" outlineLevel="0" collapsed="false">
      <c r="A34" s="7" t="s">
        <v>156</v>
      </c>
      <c r="B34" s="32" t="n">
        <f aca="false">(SUMIFS(Chained!$L:$L,Chained!$C:$C,"MemoryStore-&gt;FileStore-&gt;CompressedStore",Chained!$E:$E,"",Chained!$F:$F,16))/1048576</f>
        <v>1.91433238983154</v>
      </c>
      <c r="C34" s="32" t="n">
        <f aca="false">(SUMIFS(Chained!$L:$L,Chained!$C:$C,"MemoryStore-&gt;FileStore-&gt;CompressedStore",Chained!$E:$E,"",Chained!$F:$F,64))/1048576</f>
        <v>1.88225936889648</v>
      </c>
      <c r="D34" s="32" t="n">
        <f aca="false">(SUMIFS(Chained!$L:$L,Chained!$C:$C,"MemoryStore-&gt;FileStore-&gt;CompressedStore",Chained!$E:$E,"",Chained!$F:$F,256))/1048576</f>
        <v>1.87899494171143</v>
      </c>
      <c r="E34" s="32" t="n">
        <f aca="false">(SUMIFS(Chained!$L:$L,Chained!$C:$C,"MemoryStore-&gt;FileStore-&gt;CompressedStore",Chained!$E:$E,"",Chained!$F:$F,1024))/1048576</f>
        <v>1.87828731536865</v>
      </c>
      <c r="F34" s="32" t="n">
        <f aca="false">(SUMIFS(Chained!$L:$L,Chained!$C:$C,"MemoryStore-&gt;FileStore-&gt;CompressedStore",Chained!$E:$E,"",Chained!$F:$F,4096))/1048576</f>
        <v>1.87633037567139</v>
      </c>
    </row>
    <row r="35" customFormat="false" ht="15" hidden="false" customHeight="false" outlineLevel="0" collapsed="false">
      <c r="A35" s="7" t="s">
        <v>157</v>
      </c>
      <c r="B35" s="32" t="n">
        <f aca="false">(SUMIFS(Chained!$L:$L,Chained!$C:$C,"MemoryStore-&gt;FileStore-&gt;LossyStore",Chained!$E:$E,"",Chained!$F:$F,16))/1048576</f>
        <v>1.40841388702393</v>
      </c>
      <c r="C35" s="32" t="n">
        <f aca="false">(SUMIFS(Chained!$L:$L,Chained!$C:$C,"MemoryStore-&gt;FileStore-&gt;LossyStore",Chained!$E:$E,"",Chained!$F:$F,64))/1048576</f>
        <v>1.68509101867676</v>
      </c>
      <c r="D35" s="32" t="n">
        <f aca="false">(SUMIFS(Chained!$L:$L,Chained!$C:$C,"MemoryStore-&gt;FileStore-&gt;LossyStore",Chained!$E:$E,"",Chained!$F:$F,256))/1048576</f>
        <v>1.56488990783691</v>
      </c>
      <c r="E35" s="32" t="n">
        <f aca="false">(SUMIFS(Chained!$L:$L,Chained!$C:$C,"MemoryStore-&gt;FileStore-&gt;LossyStore",Chained!$E:$E,"",Chained!$F:$F,1024))/1048576</f>
        <v>1.7526683807373</v>
      </c>
      <c r="F35" s="32" t="n">
        <f aca="false">(SUMIFS(Chained!$L:$L,Chained!$C:$C,"MemoryStore-&gt;FileStore-&gt;LossyStore",Chained!$E:$E,"",Chained!$F:$F,4096))/1048576</f>
        <v>1.43854713439941</v>
      </c>
    </row>
    <row r="36" customFormat="false" ht="15" hidden="false" customHeight="false" outlineLevel="0" collapsed="false">
      <c r="A36" s="7" t="s">
        <v>158</v>
      </c>
      <c r="B36" s="32" t="n">
        <f aca="false">(SUMIFS(Chained!$L:$L,Chained!$C:$C,"MemoryStore-&gt;FileStore-&gt;LossyStore",Chained!$E:$E,0.1,Chained!$F:$F,16))/1048576</f>
        <v>1.05982685089111</v>
      </c>
      <c r="C36" s="32" t="n">
        <f aca="false">(SUMIFS(Chained!$L:$L,Chained!$C:$C,"MemoryStore-&gt;FileStore-&gt;LossyStore",Chained!$E:$E,0.1,Chained!$F:$F,64))/1048576</f>
        <v>1.36206722259521</v>
      </c>
      <c r="D36" s="32" t="n">
        <f aca="false">(SUMIFS(Chained!$L:$L,Chained!$C:$C,"MemoryStore-&gt;FileStore-&gt;LossyStore",Chained!$E:$E,0.1,Chained!$F:$F,256))/1048576</f>
        <v>1.25600719451904</v>
      </c>
      <c r="E36" s="32" t="n">
        <f aca="false">(SUMIFS(Chained!$L:$L,Chained!$C:$C,"MemoryStore-&gt;FileStore-&gt;LossyStore",Chained!$E:$E,0.1,Chained!$F:$F,1024))/1048576</f>
        <v>1.44336986541748</v>
      </c>
      <c r="F36" s="32" t="n">
        <f aca="false">(SUMIFS(Chained!$L:$L,Chained!$C:$C,"MemoryStore-&gt;FileStore-&gt;LossyStore",Chained!$E:$E,0.1,Chained!$F:$F,4096))/1048576</f>
        <v>1.12798500061035</v>
      </c>
    </row>
    <row r="37" customFormat="false" ht="15" hidden="false" customHeight="false" outlineLevel="0" collapsed="false">
      <c r="A37" s="7" t="s">
        <v>159</v>
      </c>
      <c r="B37" s="32" t="n">
        <f aca="false">(SUMIFS(Chained!$L:$L,Chained!$C:$C,"MemoryStore-&gt;FileStore-&gt;LossyStore",Chained!$E:$E,1,Chained!$F:$F,16))/1048576</f>
        <v>0.989638328552246</v>
      </c>
      <c r="C37" s="32" t="n">
        <f aca="false">(SUMIFS(Chained!$L:$L,Chained!$C:$C,"MemoryStore-&gt;FileStore-&gt;LossyStore",Chained!$E:$E,1,Chained!$F:$F,64))/1048576</f>
        <v>1.28849697113037</v>
      </c>
      <c r="D37" s="32" t="n">
        <f aca="false">(SUMIFS(Chained!$L:$L,Chained!$C:$C,"MemoryStore-&gt;FileStore-&gt;LossyStore",Chained!$E:$E,1,Chained!$F:$F,256))/1048576</f>
        <v>1.1681604385376</v>
      </c>
      <c r="E37" s="32" t="n">
        <f aca="false">(SUMIFS(Chained!$L:$L,Chained!$C:$C,"MemoryStore-&gt;FileStore-&gt;LossyStore",Chained!$E:$E,1,Chained!$F:$F,1024))/1048576</f>
        <v>1.36129951477051</v>
      </c>
      <c r="F37" s="32" t="n">
        <f aca="false">(SUMIFS(Chained!$L:$L,Chained!$C:$C,"MemoryStore-&gt;FileStore-&gt;LossyStore",Chained!$E:$E,1,Chained!$F:$F,4096))/1048576</f>
        <v>1.04764270782471</v>
      </c>
    </row>
    <row r="38" customFormat="false" ht="15" hidden="false" customHeight="false" outlineLevel="0" collapsed="false">
      <c r="A38" s="7" t="s">
        <v>160</v>
      </c>
      <c r="B38" s="32" t="n">
        <f aca="false">(SUMIFS(Chained!$L:$L,Chained!$C:$C,"MemoryStore-&gt;FileStore-&gt;LossyStore",Chained!$E:$E,5,Chained!$F:$F,16))/1048576</f>
        <v>0.939950942993164</v>
      </c>
      <c r="C38" s="32" t="n">
        <f aca="false">(SUMIFS(Chained!$L:$L,Chained!$C:$C,"MemoryStore-&gt;FileStore-&gt;LossyStore",Chained!$E:$E,5,Chained!$F:$F,64))/1048576</f>
        <v>1.2405891418457</v>
      </c>
      <c r="D38" s="32" t="n">
        <f aca="false">(SUMIFS(Chained!$L:$L,Chained!$C:$C,"MemoryStore-&gt;FileStore-&gt;LossyStore",Chained!$E:$E,5,Chained!$F:$F,256))/1048576</f>
        <v>1.11528301239014</v>
      </c>
      <c r="E38" s="32" t="n">
        <f aca="false">(SUMIFS(Chained!$L:$L,Chained!$C:$C,"MemoryStore-&gt;FileStore-&gt;LossyStore",Chained!$E:$E,5,Chained!$F:$F,1024))/1048576</f>
        <v>1.29910945892334</v>
      </c>
      <c r="F38" s="32" t="n">
        <f aca="false">(SUMIFS(Chained!$L:$L,Chained!$C:$C,"MemoryStore-&gt;FileStore-&gt;LossyStore",Chained!$E:$E,5,Chained!$F:$F,4096))/1048576</f>
        <v>0.983695030212402</v>
      </c>
    </row>
    <row r="40" customFormat="false" ht="15" hidden="false" customHeight="false" outlineLevel="0" collapsed="false">
      <c r="A40" s="3" t="s">
        <v>311</v>
      </c>
      <c r="B40" s="4"/>
      <c r="C40" s="4"/>
      <c r="D40" s="4"/>
      <c r="E40" s="4"/>
      <c r="F40" s="4"/>
    </row>
    <row r="41" customFormat="false" ht="15" hidden="false" customHeight="false" outlineLevel="0" collapsed="false">
      <c r="A41" s="6" t="s">
        <v>131</v>
      </c>
      <c r="B41" s="6" t="s">
        <v>132</v>
      </c>
      <c r="C41" s="6" t="s">
        <v>133</v>
      </c>
      <c r="D41" s="6" t="s">
        <v>134</v>
      </c>
      <c r="E41" s="6" t="s">
        <v>135</v>
      </c>
      <c r="F41" s="6" t="s">
        <v>136</v>
      </c>
    </row>
    <row r="42" customFormat="false" ht="15" hidden="false" customHeight="false" outlineLevel="0" collapsed="false">
      <c r="A42" s="7" t="s">
        <v>156</v>
      </c>
      <c r="B42" s="32" t="n">
        <f aca="false">(SUMIFS(Chained!$AG:$AG,Chained!$C:$C,"MemoryStore-&gt;FileStore-&gt;CompressedStore",Chained!$E:$E,"",Chained!$F:$F,16))/1048576</f>
        <v>0.350234985351563</v>
      </c>
      <c r="C42" s="32" t="n">
        <f aca="false">(SUMIFS(Chained!$AG:$AG,Chained!$C:$C,"MemoryStore-&gt;FileStore-&gt;CompressedStore",Chained!$E:$E,"",Chained!$F:$F,64))/1048576</f>
        <v>0.350234985351563</v>
      </c>
      <c r="D42" s="32" t="n">
        <f aca="false">(SUMIFS(Chained!$AG:$AG,Chained!$C:$C,"MemoryStore-&gt;FileStore-&gt;CompressedStore",Chained!$E:$E,"",Chained!$F:$F,256))/1048576</f>
        <v>0.350234985351563</v>
      </c>
      <c r="E42" s="32" t="n">
        <f aca="false">(SUMIFS(Chained!$AG:$AG,Chained!$C:$C,"MemoryStore-&gt;FileStore-&gt;CompressedStore",Chained!$E:$E,"",Chained!$F:$F,1024))/1048576</f>
        <v>0.350234985351563</v>
      </c>
      <c r="F42" s="32" t="n">
        <f aca="false">(SUMIFS(Chained!$AG:$AG,Chained!$C:$C,"MemoryStore-&gt;FileStore-&gt;CompressedStore",Chained!$E:$E,"",Chained!$F:$F,4096))/1048576</f>
        <v>0.350234985351563</v>
      </c>
    </row>
    <row r="43" customFormat="false" ht="15" hidden="false" customHeight="false" outlineLevel="0" collapsed="false">
      <c r="A43" s="7" t="s">
        <v>157</v>
      </c>
      <c r="B43" s="32" t="n">
        <f aca="false">(SUMIFS(Chained!$AG:$AG,Chained!$C:$C,"MemoryStore-&gt;FileStore-&gt;LossyStore",Chained!$E:$E,"",Chained!$F:$F,16))/1048576</f>
        <v>0.350234985351563</v>
      </c>
      <c r="C43" s="32" t="n">
        <f aca="false">(SUMIFS(Chained!$AG:$AG,Chained!$C:$C,"MemoryStore-&gt;FileStore-&gt;LossyStore",Chained!$E:$E,"",Chained!$F:$F,64))/1048576</f>
        <v>0.350234985351563</v>
      </c>
      <c r="D43" s="32" t="n">
        <f aca="false">(SUMIFS(Chained!$AG:$AG,Chained!$C:$C,"MemoryStore-&gt;FileStore-&gt;LossyStore",Chained!$E:$E,"",Chained!$F:$F,256))/1048576</f>
        <v>0.350234985351563</v>
      </c>
      <c r="E43" s="32" t="n">
        <f aca="false">(SUMIFS(Chained!$AG:$AG,Chained!$C:$C,"MemoryStore-&gt;FileStore-&gt;LossyStore",Chained!$E:$E,"",Chained!$F:$F,1024))/1048576</f>
        <v>0.350234985351563</v>
      </c>
      <c r="F43" s="32" t="n">
        <f aca="false">(SUMIFS(Chained!$AG:$AG,Chained!$C:$C,"MemoryStore-&gt;FileStore-&gt;LossyStore",Chained!$E:$E,"",Chained!$F:$F,4096))/1048576</f>
        <v>0.350234985351563</v>
      </c>
    </row>
    <row r="44" customFormat="false" ht="15" hidden="false" customHeight="false" outlineLevel="0" collapsed="false">
      <c r="A44" s="7" t="s">
        <v>158</v>
      </c>
      <c r="B44" s="32" t="n">
        <f aca="false">(SUMIFS(Chained!$AG:$AG,Chained!$C:$C,"MemoryStore-&gt;FileStore-&gt;LossyStore",Chained!$E:$E,0.1,Chained!$F:$F,16))/1048576</f>
        <v>0.350234985351563</v>
      </c>
      <c r="C44" s="32" t="n">
        <f aca="false">(SUMIFS(Chained!$AG:$AG,Chained!$C:$C,"MemoryStore-&gt;FileStore-&gt;LossyStore",Chained!$E:$E,0.1,Chained!$F:$F,64))/1048576</f>
        <v>0.350234985351563</v>
      </c>
      <c r="D44" s="32" t="n">
        <f aca="false">(SUMIFS(Chained!$AG:$AG,Chained!$C:$C,"MemoryStore-&gt;FileStore-&gt;LossyStore",Chained!$E:$E,0.1,Chained!$F:$F,256))/1048576</f>
        <v>0.350234985351563</v>
      </c>
      <c r="E44" s="32" t="n">
        <f aca="false">(SUMIFS(Chained!$AG:$AG,Chained!$C:$C,"MemoryStore-&gt;FileStore-&gt;LossyStore",Chained!$E:$E,0.1,Chained!$F:$F,1024))/1048576</f>
        <v>0.350234985351563</v>
      </c>
      <c r="F44" s="32" t="n">
        <f aca="false">(SUMIFS(Chained!$AG:$AG,Chained!$C:$C,"MemoryStore-&gt;FileStore-&gt;LossyStore",Chained!$E:$E,0.1,Chained!$F:$F,4096))/1048576</f>
        <v>0.350234985351563</v>
      </c>
    </row>
    <row r="45" customFormat="false" ht="15" hidden="false" customHeight="false" outlineLevel="0" collapsed="false">
      <c r="A45" s="7" t="s">
        <v>159</v>
      </c>
      <c r="B45" s="32" t="n">
        <f aca="false">(SUMIFS(Chained!$AG:$AG,Chained!$C:$C,"MemoryStore-&gt;FileStore-&gt;LossyStore",Chained!$E:$E,1,Chained!$F:$F,16))/1048576</f>
        <v>0.350234985351563</v>
      </c>
      <c r="C45" s="32" t="n">
        <f aca="false">(SUMIFS(Chained!$AG:$AG,Chained!$C:$C,"MemoryStore-&gt;FileStore-&gt;LossyStore",Chained!$E:$E,1,Chained!$F:$F,64))/1048576</f>
        <v>0.350234985351563</v>
      </c>
      <c r="D45" s="32" t="n">
        <f aca="false">(SUMIFS(Chained!$AG:$AG,Chained!$C:$C,"MemoryStore-&gt;FileStore-&gt;LossyStore",Chained!$E:$E,1,Chained!$F:$F,256))/1048576</f>
        <v>0.350234985351563</v>
      </c>
      <c r="E45" s="32" t="n">
        <f aca="false">(SUMIFS(Chained!$AG:$AG,Chained!$C:$C,"MemoryStore-&gt;FileStore-&gt;LossyStore",Chained!$E:$E,1,Chained!$F:$F,1024))/1048576</f>
        <v>0.350234985351563</v>
      </c>
      <c r="F45" s="32" t="n">
        <f aca="false">(SUMIFS(Chained!$AG:$AG,Chained!$C:$C,"MemoryStore-&gt;FileStore-&gt;LossyStore",Chained!$E:$E,1,Chained!$F:$F,4096))/1048576</f>
        <v>0.350234985351563</v>
      </c>
    </row>
    <row r="46" customFormat="false" ht="15" hidden="false" customHeight="false" outlineLevel="0" collapsed="false">
      <c r="A46" s="7" t="s">
        <v>160</v>
      </c>
      <c r="B46" s="32" t="n">
        <f aca="false">(SUMIFS(Chained!$AG:$AG,Chained!$C:$C,"MemoryStore-&gt;FileStore-&gt;LossyStore",Chained!$E:$E,5,Chained!$F:$F,16))/1048576</f>
        <v>0.350234985351563</v>
      </c>
      <c r="C46" s="32" t="n">
        <f aca="false">(SUMIFS(Chained!$AG:$AG,Chained!$C:$C,"MemoryStore-&gt;FileStore-&gt;LossyStore",Chained!$E:$E,5,Chained!$F:$F,64))/1048576</f>
        <v>0.350234985351563</v>
      </c>
      <c r="D46" s="32" t="n">
        <f aca="false">(SUMIFS(Chained!$AG:$AG,Chained!$C:$C,"MemoryStore-&gt;FileStore-&gt;LossyStore",Chained!$E:$E,5,Chained!$F:$F,256))/1048576</f>
        <v>0.350234985351563</v>
      </c>
      <c r="E46" s="32" t="n">
        <f aca="false">(SUMIFS(Chained!$AG:$AG,Chained!$C:$C,"MemoryStore-&gt;FileStore-&gt;LossyStore",Chained!$E:$E,5,Chained!$F:$F,1024))/1048576</f>
        <v>0.350234985351563</v>
      </c>
      <c r="F46" s="32" t="n">
        <f aca="false">(SUMIFS(Chained!$AG:$AG,Chained!$C:$C,"MemoryStore-&gt;FileStore-&gt;LossyStore",Chained!$E:$E,5,Chained!$F:$F,4096))/1048576</f>
        <v>0.350234985351563</v>
      </c>
    </row>
    <row r="48" customFormat="false" ht="15" hidden="false" customHeight="false" outlineLevel="0" collapsed="false">
      <c r="A48" s="10" t="s">
        <v>141</v>
      </c>
      <c r="B48" s="2" t="s">
        <v>312</v>
      </c>
    </row>
    <row r="49" customFormat="false" ht="15" hidden="false" customHeight="false" outlineLevel="0" collapsed="false">
      <c r="A49" s="10" t="s">
        <v>143</v>
      </c>
      <c r="B49" s="2" t="s">
        <v>313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2"/>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6" min="2" style="0" width="13"/>
  </cols>
  <sheetData>
    <row r="1" customFormat="false" ht="15" hidden="false" customHeight="false" outlineLevel="0" collapsed="false">
      <c r="A1" s="8" t="s">
        <v>314</v>
      </c>
    </row>
    <row r="2" customFormat="false" ht="15" hidden="false" customHeight="false" outlineLevel="0" collapsed="false">
      <c r="A2" s="2" t="s">
        <v>315</v>
      </c>
    </row>
    <row r="4" customFormat="false" ht="15" hidden="false" customHeight="false" outlineLevel="0" collapsed="false">
      <c r="A4" s="3" t="s">
        <v>316</v>
      </c>
      <c r="B4" s="4"/>
      <c r="C4" s="4"/>
      <c r="D4" s="4"/>
      <c r="E4" s="4"/>
      <c r="F4" s="4"/>
    </row>
    <row r="5" customFormat="false" ht="15" hidden="false" customHeight="false" outlineLevel="0" collapsed="false">
      <c r="A5" s="6" t="s">
        <v>131</v>
      </c>
      <c r="B5" s="6" t="s">
        <v>132</v>
      </c>
      <c r="C5" s="6" t="s">
        <v>133</v>
      </c>
      <c r="D5" s="6" t="s">
        <v>134</v>
      </c>
      <c r="E5" s="6" t="s">
        <v>135</v>
      </c>
      <c r="F5" s="6" t="s">
        <v>136</v>
      </c>
    </row>
    <row r="6" customFormat="false" ht="15" hidden="false" customHeight="false" outlineLevel="0" collapsed="false">
      <c r="A6" s="7" t="s">
        <v>82</v>
      </c>
      <c r="B6" s="9" t="n">
        <f aca="false">SUMIFS(Standalone!$J:$J,Standalone!$C:$C,"MemoryStore",Standalone!$E:$E,"",Standalone!$F:$F,16)</f>
        <v>0.5524</v>
      </c>
      <c r="C6" s="9" t="n">
        <f aca="false">SUMIFS(Standalone!$J:$J,Standalone!$C:$C,"MemoryStore",Standalone!$E:$E,"",Standalone!$F:$F,64)</f>
        <v>0.5433</v>
      </c>
      <c r="D6" s="9" t="n">
        <f aca="false">SUMIFS(Standalone!$J:$J,Standalone!$C:$C,"MemoryStore",Standalone!$E:$E,"",Standalone!$F:$F,256)</f>
        <v>0.5541</v>
      </c>
      <c r="E6" s="9" t="n">
        <f aca="false">SUMIFS(Standalone!$J:$J,Standalone!$C:$C,"MemoryStore",Standalone!$E:$E,"",Standalone!$F:$F,1024)</f>
        <v>0.5631</v>
      </c>
      <c r="F6" s="9" t="n">
        <f aca="false">SUMIFS(Standalone!$J:$J,Standalone!$C:$C,"MemoryStore",Standalone!$E:$E,"",Standalone!$F:$F,4096)</f>
        <v>0.553</v>
      </c>
    </row>
    <row r="7" customFormat="false" ht="15" hidden="false" customHeight="false" outlineLevel="0" collapsed="false">
      <c r="A7" s="7" t="s">
        <v>83</v>
      </c>
      <c r="B7" s="9" t="n">
        <f aca="false">SUMIFS(Standalone!$J:$J,Standalone!$C:$C,"FileStore",Standalone!$E:$E,"",Standalone!$F:$F,16)</f>
        <v>0.5655</v>
      </c>
      <c r="C7" s="9" t="n">
        <f aca="false">SUMIFS(Standalone!$J:$J,Standalone!$C:$C,"FileStore",Standalone!$E:$E,"",Standalone!$F:$F,64)</f>
        <v>0.5518</v>
      </c>
      <c r="D7" s="9" t="n">
        <f aca="false">SUMIFS(Standalone!$J:$J,Standalone!$C:$C,"FileStore",Standalone!$E:$E,"",Standalone!$F:$F,256)</f>
        <v>0.5552</v>
      </c>
      <c r="E7" s="9" t="n">
        <f aca="false">SUMIFS(Standalone!$J:$J,Standalone!$C:$C,"FileStore",Standalone!$E:$E,"",Standalone!$F:$F,1024)</f>
        <v>0.5617</v>
      </c>
      <c r="F7" s="9" t="n">
        <f aca="false">SUMIFS(Standalone!$J:$J,Standalone!$C:$C,"FileStore",Standalone!$E:$E,"",Standalone!$F:$F,4096)</f>
        <v>0.5609</v>
      </c>
    </row>
    <row r="8" customFormat="false" ht="15" hidden="false" customHeight="false" outlineLevel="0" collapsed="false">
      <c r="A8" s="7" t="s">
        <v>79</v>
      </c>
      <c r="B8" s="9" t="n">
        <f aca="false">SUMIFS(Standalone!$J:$J,Standalone!$C:$C,"CompressedStore",Standalone!$E:$E,"",Standalone!$F:$F,16)</f>
        <v>0.5819</v>
      </c>
      <c r="C8" s="9" t="n">
        <f aca="false">SUMIFS(Standalone!$J:$J,Standalone!$C:$C,"CompressedStore",Standalone!$E:$E,"",Standalone!$F:$F,64)</f>
        <v>0.5901</v>
      </c>
      <c r="D8" s="9" t="n">
        <f aca="false">SUMIFS(Standalone!$J:$J,Standalone!$C:$C,"CompressedStore",Standalone!$E:$E,"",Standalone!$F:$F,256)</f>
        <v>0.5804</v>
      </c>
      <c r="E8" s="9" t="n">
        <f aca="false">SUMIFS(Standalone!$J:$J,Standalone!$C:$C,"CompressedStore",Standalone!$E:$E,"",Standalone!$F:$F,1024)</f>
        <v>0.579</v>
      </c>
      <c r="F8" s="9" t="n">
        <f aca="false">SUMIFS(Standalone!$J:$J,Standalone!$C:$C,"CompressedStore",Standalone!$E:$E,"",Standalone!$F:$F,4096)</f>
        <v>0.5787</v>
      </c>
    </row>
    <row r="9" customFormat="false" ht="15" hidden="false" customHeight="false" outlineLevel="0" collapsed="false">
      <c r="A9" s="7" t="s">
        <v>137</v>
      </c>
      <c r="B9" s="9" t="n">
        <f aca="false">SUMIFS(Standalone!$J:$J,Standalone!$C:$C,"LossyStore",Standalone!$E:$E,"",Standalone!$F:$F,16)</f>
        <v>0.5962</v>
      </c>
      <c r="C9" s="9" t="n">
        <f aca="false">SUMIFS(Standalone!$J:$J,Standalone!$C:$C,"LossyStore",Standalone!$E:$E,"",Standalone!$F:$F,64)</f>
        <v>0.5748</v>
      </c>
      <c r="D9" s="9" t="n">
        <f aca="false">SUMIFS(Standalone!$J:$J,Standalone!$C:$C,"LossyStore",Standalone!$E:$E,"",Standalone!$F:$F,256)</f>
        <v>0.5822</v>
      </c>
      <c r="E9" s="9" t="n">
        <f aca="false">SUMIFS(Standalone!$J:$J,Standalone!$C:$C,"LossyStore",Standalone!$E:$E,"",Standalone!$F:$F,1024)</f>
        <v>0.5791</v>
      </c>
      <c r="F9" s="9" t="n">
        <f aca="false">SUMIFS(Standalone!$J:$J,Standalone!$C:$C,"LossyStore",Standalone!$E:$E,"",Standalone!$F:$F,4096)</f>
        <v>0.5741</v>
      </c>
    </row>
    <row r="10" customFormat="false" ht="15" hidden="false" customHeight="false" outlineLevel="0" collapsed="false">
      <c r="A10" s="7" t="s">
        <v>138</v>
      </c>
      <c r="B10" s="9" t="n">
        <f aca="false">SUMIFS(Standalone!$J:$J,Standalone!$C:$C,"LossyStore",Standalone!$E:$E,0.1,Standalone!$F:$F,16)</f>
        <v>0.5848</v>
      </c>
      <c r="C10" s="9" t="n">
        <f aca="false">SUMIFS(Standalone!$J:$J,Standalone!$C:$C,"LossyStore",Standalone!$E:$E,0.1,Standalone!$F:$F,64)</f>
        <v>0.5862</v>
      </c>
      <c r="D10" s="9" t="n">
        <f aca="false">SUMIFS(Standalone!$J:$J,Standalone!$C:$C,"LossyStore",Standalone!$E:$E,0.1,Standalone!$F:$F,256)</f>
        <v>0.5772</v>
      </c>
      <c r="E10" s="9" t="n">
        <f aca="false">SUMIFS(Standalone!$J:$J,Standalone!$C:$C,"LossyStore",Standalone!$E:$E,0.1,Standalone!$F:$F,1024)</f>
        <v>0.5878</v>
      </c>
      <c r="F10" s="9" t="n">
        <f aca="false">SUMIFS(Standalone!$J:$J,Standalone!$C:$C,"LossyStore",Standalone!$E:$E,0.1,Standalone!$F:$F,4096)</f>
        <v>0.5764</v>
      </c>
    </row>
    <row r="11" customFormat="false" ht="15" hidden="false" customHeight="false" outlineLevel="0" collapsed="false">
      <c r="A11" s="7" t="s">
        <v>139</v>
      </c>
      <c r="B11" s="9" t="n">
        <f aca="false">SUMIFS(Standalone!$J:$J,Standalone!$C:$C,"LossyStore",Standalone!$E:$E,1,Standalone!$F:$F,16)</f>
        <v>0.59</v>
      </c>
      <c r="C11" s="9" t="n">
        <f aca="false">SUMIFS(Standalone!$J:$J,Standalone!$C:$C,"LossyStore",Standalone!$E:$E,1,Standalone!$F:$F,64)</f>
        <v>0.5725</v>
      </c>
      <c r="D11" s="9" t="n">
        <f aca="false">SUMIFS(Standalone!$J:$J,Standalone!$C:$C,"LossyStore",Standalone!$E:$E,1,Standalone!$F:$F,256)</f>
        <v>0.5848</v>
      </c>
      <c r="E11" s="9" t="n">
        <f aca="false">SUMIFS(Standalone!$J:$J,Standalone!$C:$C,"LossyStore",Standalone!$E:$E,1,Standalone!$F:$F,1024)</f>
        <v>0.5993</v>
      </c>
      <c r="F11" s="9" t="n">
        <f aca="false">SUMIFS(Standalone!$J:$J,Standalone!$C:$C,"LossyStore",Standalone!$E:$E,1,Standalone!$F:$F,4096)</f>
        <v>0.5928</v>
      </c>
    </row>
    <row r="12" customFormat="false" ht="15" hidden="false" customHeight="false" outlineLevel="0" collapsed="false">
      <c r="A12" s="7" t="s">
        <v>140</v>
      </c>
      <c r="B12" s="9" t="n">
        <f aca="false">SUMIFS(Standalone!$J:$J,Standalone!$C:$C,"LossyStore",Standalone!$E:$E,5,Standalone!$F:$F,16)</f>
        <v>0.6005</v>
      </c>
      <c r="C12" s="9" t="n">
        <f aca="false">SUMIFS(Standalone!$J:$J,Standalone!$C:$C,"LossyStore",Standalone!$E:$E,5,Standalone!$F:$F,64)</f>
        <v>0.5857</v>
      </c>
      <c r="D12" s="9" t="n">
        <f aca="false">SUMIFS(Standalone!$J:$J,Standalone!$C:$C,"LossyStore",Standalone!$E:$E,5,Standalone!$F:$F,256)</f>
        <v>0.591</v>
      </c>
      <c r="E12" s="9" t="n">
        <f aca="false">SUMIFS(Standalone!$J:$J,Standalone!$C:$C,"LossyStore",Standalone!$E:$E,5,Standalone!$F:$F,1024)</f>
        <v>0.5736</v>
      </c>
      <c r="F12" s="9" t="n">
        <f aca="false">SUMIFS(Standalone!$J:$J,Standalone!$C:$C,"LossyStore",Standalone!$E:$E,5,Standalone!$F:$F,4096)</f>
        <v>0.5785</v>
      </c>
    </row>
    <row r="14" customFormat="false" ht="15" hidden="false" customHeight="false" outlineLevel="0" collapsed="false">
      <c r="A14" s="10" t="s">
        <v>141</v>
      </c>
      <c r="B14" s="2" t="s">
        <v>317</v>
      </c>
    </row>
    <row r="15" customFormat="false" ht="15" hidden="false" customHeight="false" outlineLevel="0" collapsed="false">
      <c r="A15" s="10" t="s">
        <v>143</v>
      </c>
      <c r="B15" s="2" t="s">
        <v>318</v>
      </c>
    </row>
    <row r="17" customFormat="false" ht="15" hidden="false" customHeight="false" outlineLevel="0" collapsed="false">
      <c r="A17" s="3" t="s">
        <v>319</v>
      </c>
      <c r="B17" s="4"/>
      <c r="C17" s="4"/>
      <c r="D17" s="4"/>
      <c r="E17" s="4"/>
      <c r="F17" s="4"/>
    </row>
    <row r="18" customFormat="false" ht="15" hidden="false" customHeight="false" outlineLevel="0" collapsed="false">
      <c r="A18" s="6" t="s">
        <v>131</v>
      </c>
      <c r="B18" s="6" t="s">
        <v>132</v>
      </c>
      <c r="C18" s="6" t="s">
        <v>133</v>
      </c>
      <c r="D18" s="6" t="s">
        <v>134</v>
      </c>
      <c r="E18" s="6" t="s">
        <v>135</v>
      </c>
      <c r="F18" s="6" t="s">
        <v>136</v>
      </c>
    </row>
    <row r="19" customFormat="false" ht="15" hidden="false" customHeight="false" outlineLevel="0" collapsed="false">
      <c r="A19" s="7" t="s">
        <v>82</v>
      </c>
      <c r="B19" s="9" t="n">
        <f aca="false">SUMIFS(Standalone!$K:$K,Standalone!$C:$C,"MemoryStore",Standalone!$E:$E,"",Standalone!$F:$F,16)</f>
        <v>0.4543</v>
      </c>
      <c r="C19" s="9" t="n">
        <f aca="false">SUMIFS(Standalone!$K:$K,Standalone!$C:$C,"MemoryStore",Standalone!$E:$E,"",Standalone!$F:$F,64)</f>
        <v>0.4761</v>
      </c>
      <c r="D19" s="9" t="n">
        <f aca="false">SUMIFS(Standalone!$K:$K,Standalone!$C:$C,"MemoryStore",Standalone!$E:$E,"",Standalone!$F:$F,256)</f>
        <v>0.447</v>
      </c>
      <c r="E19" s="9" t="n">
        <f aca="false">SUMIFS(Standalone!$K:$K,Standalone!$C:$C,"MemoryStore",Standalone!$E:$E,"",Standalone!$F:$F,1024)</f>
        <v>0.4526</v>
      </c>
      <c r="F19" s="9" t="n">
        <f aca="false">SUMIFS(Standalone!$K:$K,Standalone!$C:$C,"MemoryStore",Standalone!$E:$E,"",Standalone!$F:$F,4096)</f>
        <v>0.4386</v>
      </c>
    </row>
    <row r="20" customFormat="false" ht="15" hidden="false" customHeight="false" outlineLevel="0" collapsed="false">
      <c r="A20" s="7" t="s">
        <v>83</v>
      </c>
      <c r="B20" s="9" t="n">
        <f aca="false">SUMIFS(Standalone!$K:$K,Standalone!$C:$C,"FileStore",Standalone!$E:$E,"",Standalone!$F:$F,16)</f>
        <v>0.4276</v>
      </c>
      <c r="C20" s="9" t="n">
        <f aca="false">SUMIFS(Standalone!$K:$K,Standalone!$C:$C,"FileStore",Standalone!$E:$E,"",Standalone!$F:$F,64)</f>
        <v>0.4364</v>
      </c>
      <c r="D20" s="9" t="n">
        <f aca="false">SUMIFS(Standalone!$K:$K,Standalone!$C:$C,"FileStore",Standalone!$E:$E,"",Standalone!$F:$F,256)</f>
        <v>0.4543</v>
      </c>
      <c r="E20" s="9" t="n">
        <f aca="false">SUMIFS(Standalone!$K:$K,Standalone!$C:$C,"FileStore",Standalone!$E:$E,"",Standalone!$F:$F,1024)</f>
        <v>0.437</v>
      </c>
      <c r="F20" s="9" t="n">
        <f aca="false">SUMIFS(Standalone!$K:$K,Standalone!$C:$C,"FileStore",Standalone!$E:$E,"",Standalone!$F:$F,4096)</f>
        <v>0.4296</v>
      </c>
    </row>
    <row r="21" customFormat="false" ht="15" hidden="false" customHeight="false" outlineLevel="0" collapsed="false">
      <c r="A21" s="7" t="s">
        <v>79</v>
      </c>
      <c r="B21" s="9" t="n">
        <f aca="false">SUMIFS(Standalone!$K:$K,Standalone!$C:$C,"CompressedStore",Standalone!$E:$E,"",Standalone!$F:$F,16)</f>
        <v>0.4137</v>
      </c>
      <c r="C21" s="9" t="n">
        <f aca="false">SUMIFS(Standalone!$K:$K,Standalone!$C:$C,"CompressedStore",Standalone!$E:$E,"",Standalone!$F:$F,64)</f>
        <v>0.45</v>
      </c>
      <c r="D21" s="9" t="n">
        <f aca="false">SUMIFS(Standalone!$K:$K,Standalone!$C:$C,"CompressedStore",Standalone!$E:$E,"",Standalone!$F:$F,256)</f>
        <v>0.4496</v>
      </c>
      <c r="E21" s="9" t="n">
        <f aca="false">SUMIFS(Standalone!$K:$K,Standalone!$C:$C,"CompressedStore",Standalone!$E:$E,"",Standalone!$F:$F,1024)</f>
        <v>0.4553</v>
      </c>
      <c r="F21" s="9" t="n">
        <f aca="false">SUMIFS(Standalone!$K:$K,Standalone!$C:$C,"CompressedStore",Standalone!$E:$E,"",Standalone!$F:$F,4096)</f>
        <v>0.4638</v>
      </c>
    </row>
    <row r="22" customFormat="false" ht="15" hidden="false" customHeight="false" outlineLevel="0" collapsed="false">
      <c r="A22" s="7" t="s">
        <v>137</v>
      </c>
      <c r="B22" s="9" t="n">
        <f aca="false">SUMIFS(Standalone!$K:$K,Standalone!$C:$C,"LossyStore",Standalone!$E:$E,"",Standalone!$F:$F,16)</f>
        <v>0.5092</v>
      </c>
      <c r="C22" s="9" t="n">
        <f aca="false">SUMIFS(Standalone!$K:$K,Standalone!$C:$C,"LossyStore",Standalone!$E:$E,"",Standalone!$F:$F,64)</f>
        <v>0.4405</v>
      </c>
      <c r="D22" s="9" t="n">
        <f aca="false">SUMIFS(Standalone!$K:$K,Standalone!$C:$C,"LossyStore",Standalone!$E:$E,"",Standalone!$F:$F,256)</f>
        <v>0.5088</v>
      </c>
      <c r="E22" s="9" t="n">
        <f aca="false">SUMIFS(Standalone!$K:$K,Standalone!$C:$C,"LossyStore",Standalone!$E:$E,"",Standalone!$F:$F,1024)</f>
        <v>0.4499</v>
      </c>
      <c r="F22" s="9" t="n">
        <f aca="false">SUMIFS(Standalone!$K:$K,Standalone!$C:$C,"LossyStore",Standalone!$E:$E,"",Standalone!$F:$F,4096)</f>
        <v>0.499</v>
      </c>
    </row>
    <row r="23" customFormat="false" ht="15" hidden="false" customHeight="false" outlineLevel="0" collapsed="false">
      <c r="A23" s="7" t="s">
        <v>138</v>
      </c>
      <c r="B23" s="9" t="n">
        <f aca="false">SUMIFS(Standalone!$K:$K,Standalone!$C:$C,"LossyStore",Standalone!$E:$E,0.1,Standalone!$F:$F,16)</f>
        <v>0.3918</v>
      </c>
      <c r="C23" s="9" t="n">
        <f aca="false">SUMIFS(Standalone!$K:$K,Standalone!$C:$C,"LossyStore",Standalone!$E:$E,0.1,Standalone!$F:$F,64)</f>
        <v>0.4162</v>
      </c>
      <c r="D23" s="9" t="n">
        <f aca="false">SUMIFS(Standalone!$K:$K,Standalone!$C:$C,"LossyStore",Standalone!$E:$E,0.1,Standalone!$F:$F,256)</f>
        <v>0.4122</v>
      </c>
      <c r="E23" s="9" t="n">
        <f aca="false">SUMIFS(Standalone!$K:$K,Standalone!$C:$C,"LossyStore",Standalone!$E:$E,0.1,Standalone!$F:$F,1024)</f>
        <v>0.4121</v>
      </c>
      <c r="F23" s="9" t="n">
        <f aca="false">SUMIFS(Standalone!$K:$K,Standalone!$C:$C,"LossyStore",Standalone!$E:$E,0.1,Standalone!$F:$F,4096)</f>
        <v>0.43</v>
      </c>
    </row>
    <row r="24" customFormat="false" ht="15" hidden="false" customHeight="false" outlineLevel="0" collapsed="false">
      <c r="A24" s="7" t="s">
        <v>139</v>
      </c>
      <c r="B24" s="9" t="n">
        <f aca="false">SUMIFS(Standalone!$K:$K,Standalone!$C:$C,"LossyStore",Standalone!$E:$E,1,Standalone!$F:$F,16)</f>
        <v>0.3887</v>
      </c>
      <c r="C24" s="9" t="n">
        <f aca="false">SUMIFS(Standalone!$K:$K,Standalone!$C:$C,"LossyStore",Standalone!$E:$E,1,Standalone!$F:$F,64)</f>
        <v>0.3804</v>
      </c>
      <c r="D24" s="9" t="n">
        <f aca="false">SUMIFS(Standalone!$K:$K,Standalone!$C:$C,"LossyStore",Standalone!$E:$E,1,Standalone!$F:$F,256)</f>
        <v>0.3945</v>
      </c>
      <c r="E24" s="9" t="n">
        <f aca="false">SUMIFS(Standalone!$K:$K,Standalone!$C:$C,"LossyStore",Standalone!$E:$E,1,Standalone!$F:$F,1024)</f>
        <v>0.4373</v>
      </c>
      <c r="F24" s="9" t="n">
        <f aca="false">SUMIFS(Standalone!$K:$K,Standalone!$C:$C,"LossyStore",Standalone!$E:$E,1,Standalone!$F:$F,4096)</f>
        <v>0.4478</v>
      </c>
    </row>
    <row r="25" customFormat="false" ht="15" hidden="false" customHeight="false" outlineLevel="0" collapsed="false">
      <c r="A25" s="7" t="s">
        <v>140</v>
      </c>
      <c r="B25" s="9" t="n">
        <f aca="false">SUMIFS(Standalone!$K:$K,Standalone!$C:$C,"LossyStore",Standalone!$E:$E,5,Standalone!$F:$F,16)</f>
        <v>0.3995</v>
      </c>
      <c r="C25" s="9" t="n">
        <f aca="false">SUMIFS(Standalone!$K:$K,Standalone!$C:$C,"LossyStore",Standalone!$E:$E,5,Standalone!$F:$F,64)</f>
        <v>0.3759</v>
      </c>
      <c r="D25" s="9" t="n">
        <f aca="false">SUMIFS(Standalone!$K:$K,Standalone!$C:$C,"LossyStore",Standalone!$E:$E,5,Standalone!$F:$F,256)</f>
        <v>0.4066</v>
      </c>
      <c r="E25" s="9" t="n">
        <f aca="false">SUMIFS(Standalone!$K:$K,Standalone!$C:$C,"LossyStore",Standalone!$E:$E,5,Standalone!$F:$F,1024)</f>
        <v>0.4316</v>
      </c>
      <c r="F25" s="9" t="n">
        <f aca="false">SUMIFS(Standalone!$K:$K,Standalone!$C:$C,"LossyStore",Standalone!$E:$E,5,Standalone!$F:$F,4096)</f>
        <v>0.4488</v>
      </c>
    </row>
    <row r="27" customFormat="false" ht="15" hidden="false" customHeight="false" outlineLevel="0" collapsed="false">
      <c r="A27" s="10" t="s">
        <v>141</v>
      </c>
      <c r="B27" s="2" t="s">
        <v>320</v>
      </c>
    </row>
    <row r="28" customFormat="false" ht="15" hidden="false" customHeight="false" outlineLevel="0" collapsed="false">
      <c r="A28" s="10" t="s">
        <v>143</v>
      </c>
      <c r="B28" s="2" t="s">
        <v>321</v>
      </c>
    </row>
    <row r="30" customFormat="false" ht="15" hidden="false" customHeight="false" outlineLevel="0" collapsed="false">
      <c r="A30" s="3" t="s">
        <v>322</v>
      </c>
      <c r="B30" s="4"/>
      <c r="C30" s="4"/>
      <c r="D30" s="4"/>
      <c r="E30" s="4"/>
      <c r="F30" s="4"/>
    </row>
    <row r="31" customFormat="false" ht="15" hidden="false" customHeight="false" outlineLevel="0" collapsed="false">
      <c r="A31" s="2" t="s">
        <v>323</v>
      </c>
    </row>
    <row r="32" customFormat="false" ht="15" hidden="false" customHeight="false" outlineLevel="0" collapsed="false">
      <c r="A32" s="2" t="s">
        <v>324</v>
      </c>
    </row>
    <row r="33" customFormat="false" ht="15" hidden="false" customHeight="false" outlineLevel="0" collapsed="false">
      <c r="A33" s="6" t="s">
        <v>131</v>
      </c>
      <c r="B33" s="6" t="s">
        <v>132</v>
      </c>
      <c r="C33" s="6" t="s">
        <v>133</v>
      </c>
      <c r="D33" s="6" t="s">
        <v>134</v>
      </c>
      <c r="E33" s="6" t="s">
        <v>135</v>
      </c>
      <c r="F33" s="6" t="s">
        <v>136</v>
      </c>
    </row>
    <row r="34" customFormat="false" ht="15" hidden="false" customHeight="false" outlineLevel="0" collapsed="false">
      <c r="A34" s="7" t="s">
        <v>82</v>
      </c>
      <c r="B34" s="32" t="n">
        <f aca="false">IFERROR(5600028/1048576/B6,0)</f>
        <v>9.66799941121626</v>
      </c>
      <c r="C34" s="32" t="n">
        <f aca="false">IFERROR(5600028/1048576/C6,0)</f>
        <v>9.82993350774132</v>
      </c>
      <c r="D34" s="32" t="n">
        <f aca="false">IFERROR(5600028/1048576/D6,0)</f>
        <v>9.63833761912265</v>
      </c>
      <c r="E34" s="32" t="n">
        <f aca="false">IFERROR(5600028/1048576/E6,0)</f>
        <v>9.48428853623843</v>
      </c>
      <c r="F34" s="32" t="n">
        <f aca="false">IFERROR(5600028/1048576/F6,0)</f>
        <v>9.65750971926918</v>
      </c>
    </row>
    <row r="35" customFormat="false" ht="15" hidden="false" customHeight="false" outlineLevel="0" collapsed="false">
      <c r="A35" s="7" t="s">
        <v>83</v>
      </c>
      <c r="B35" s="32" t="n">
        <f aca="false">IFERROR(5600028/1048576/B7,0)</f>
        <v>9.44403691380347</v>
      </c>
      <c r="C35" s="32" t="n">
        <f aca="false">IFERROR(5600028/1048576/C7,0)</f>
        <v>9.67851191510667</v>
      </c>
      <c r="D35" s="32" t="n">
        <f aca="false">IFERROR(5600028/1048576/D7,0)</f>
        <v>9.61924148911358</v>
      </c>
      <c r="E35" s="32" t="n">
        <f aca="false">IFERROR(5600028/1048576/E7,0)</f>
        <v>9.50792749644981</v>
      </c>
      <c r="F35" s="32" t="n">
        <f aca="false">IFERROR(5600028/1048576/F7,0)</f>
        <v>9.52148845561751</v>
      </c>
    </row>
    <row r="36" customFormat="false" ht="15" hidden="false" customHeight="false" outlineLevel="0" collapsed="false">
      <c r="A36" s="7" t="s">
        <v>79</v>
      </c>
      <c r="B36" s="32" t="n">
        <f aca="false">IFERROR(5600028/1048576/B8,0)</f>
        <v>9.17787055294013</v>
      </c>
      <c r="C36" s="32" t="n">
        <f aca="false">IFERROR(5600028/1048576/C8,0)</f>
        <v>9.05033532410754</v>
      </c>
      <c r="D36" s="32" t="n">
        <f aca="false">IFERROR(5600028/1048576/D8,0)</f>
        <v>9.2015900667744</v>
      </c>
      <c r="E36" s="32" t="n">
        <f aca="false">IFERROR(5600028/1048576/E8,0)</f>
        <v>9.22383916192722</v>
      </c>
      <c r="F36" s="32" t="n">
        <f aca="false">IFERROR(5600028/1048576/F8,0)</f>
        <v>9.22862083075144</v>
      </c>
    </row>
    <row r="37" customFormat="false" ht="15" hidden="false" customHeight="false" outlineLevel="0" collapsed="false">
      <c r="A37" s="7" t="s">
        <v>137</v>
      </c>
      <c r="B37" s="32" t="n">
        <f aca="false">IFERROR(5600028/1048576/B9,0)</f>
        <v>8.95773712639359</v>
      </c>
      <c r="C37" s="32" t="n">
        <f aca="false">IFERROR(5600028/1048576/C9,0)</f>
        <v>9.29123673409161</v>
      </c>
      <c r="D37" s="32" t="n">
        <f aca="false">IFERROR(5600028/1048576/D9,0)</f>
        <v>9.17314131699735</v>
      </c>
      <c r="E37" s="32" t="n">
        <f aca="false">IFERROR(5600028/1048576/E9,0)</f>
        <v>9.22224637326172</v>
      </c>
      <c r="F37" s="32" t="n">
        <f aca="false">IFERROR(5600028/1048576/F9,0)</f>
        <v>9.30256553693757</v>
      </c>
    </row>
    <row r="38" customFormat="false" ht="15" hidden="false" customHeight="false" outlineLevel="0" collapsed="false">
      <c r="A38" s="7" t="s">
        <v>138</v>
      </c>
      <c r="B38" s="32" t="n">
        <f aca="false">IFERROR(5600028/1048576/B10,0)</f>
        <v>9.13235785696966</v>
      </c>
      <c r="C38" s="32" t="n">
        <f aca="false">IFERROR(5600028/1048576/C10,0)</f>
        <v>9.1105473810233</v>
      </c>
      <c r="D38" s="32" t="n">
        <f aca="false">IFERROR(5600028/1048576/D10,0)</f>
        <v>9.25260373311826</v>
      </c>
      <c r="E38" s="32" t="n">
        <f aca="false">IFERROR(5600028/1048576/E10,0)</f>
        <v>9.0857483408572</v>
      </c>
      <c r="F38" s="32" t="n">
        <f aca="false">IFERROR(5600028/1048576/F10,0)</f>
        <v>9.26544565363612</v>
      </c>
    </row>
    <row r="39" customFormat="false" ht="15" hidden="false" customHeight="false" outlineLevel="0" collapsed="false">
      <c r="A39" s="7" t="s">
        <v>139</v>
      </c>
      <c r="B39" s="32" t="n">
        <f aca="false">IFERROR(5600028/1048576/B11,0)</f>
        <v>9.05186927924722</v>
      </c>
      <c r="C39" s="32" t="n">
        <f aca="false">IFERROR(5600028/1048576/C11,0)</f>
        <v>9.32856397337268</v>
      </c>
      <c r="D39" s="32" t="n">
        <f aca="false">IFERROR(5600028/1048576/D11,0)</f>
        <v>9.13235785696966</v>
      </c>
      <c r="E39" s="32" t="n">
        <f aca="false">IFERROR(5600028/1048576/E11,0)</f>
        <v>8.91140142625707</v>
      </c>
      <c r="F39" s="32" t="n">
        <f aca="false">IFERROR(5600028/1048576/F11,0)</f>
        <v>9.0091141611941</v>
      </c>
    </row>
    <row r="40" customFormat="false" ht="15" hidden="false" customHeight="false" outlineLevel="0" collapsed="false">
      <c r="A40" s="7" t="s">
        <v>140</v>
      </c>
      <c r="B40" s="32" t="n">
        <f aca="false">IFERROR(5600028/1048576/B12,0)</f>
        <v>8.89359346337362</v>
      </c>
      <c r="C40" s="32" t="n">
        <f aca="false">IFERROR(5600028/1048576/C12,0)</f>
        <v>9.11832486726286</v>
      </c>
      <c r="D40" s="32" t="n">
        <f aca="false">IFERROR(5600028/1048576/D12,0)</f>
        <v>9.03655308757337</v>
      </c>
      <c r="E40" s="32" t="n">
        <f aca="false">IFERROR(5600028/1048576/E12,0)</f>
        <v>9.31067446784494</v>
      </c>
      <c r="F40" s="32" t="n">
        <f aca="false">IFERROR(5600028/1048576/F12,0)</f>
        <v>9.23181136517867</v>
      </c>
    </row>
    <row r="42" customFormat="false" ht="15" hidden="false" customHeight="false" outlineLevel="0" collapsed="false">
      <c r="A42" s="2" t="s">
        <v>325</v>
      </c>
    </row>
    <row r="43" customFormat="false" ht="15" hidden="false" customHeight="false" outlineLevel="0" collapsed="false">
      <c r="A43" s="6" t="s">
        <v>131</v>
      </c>
      <c r="B43" s="6" t="s">
        <v>132</v>
      </c>
      <c r="C43" s="6" t="s">
        <v>133</v>
      </c>
      <c r="D43" s="6" t="s">
        <v>134</v>
      </c>
      <c r="E43" s="6" t="s">
        <v>135</v>
      </c>
      <c r="F43" s="6" t="s">
        <v>136</v>
      </c>
    </row>
    <row r="44" customFormat="false" ht="15" hidden="false" customHeight="false" outlineLevel="0" collapsed="false">
      <c r="A44" s="7" t="s">
        <v>82</v>
      </c>
      <c r="B44" s="32" t="n">
        <f aca="false">IFERROR(5600028/1048576/B19,0)</f>
        <v>11.7556743886328</v>
      </c>
      <c r="C44" s="32" t="n">
        <f aca="false">IFERROR(5600028/1048576/C19,0)</f>
        <v>11.2173973424824</v>
      </c>
      <c r="D44" s="32" t="n">
        <f aca="false">IFERROR(5600028/1048576/D19,0)</f>
        <v>11.9476574379326</v>
      </c>
      <c r="E44" s="32" t="n">
        <f aca="false">IFERROR(5600028/1048576/E19,0)</f>
        <v>11.79982959513</v>
      </c>
      <c r="F44" s="32" t="n">
        <f aca="false">IFERROR(5600028/1048576/F19,0)</f>
        <v>12.1764771426262</v>
      </c>
    </row>
    <row r="45" customFormat="false" ht="15" hidden="false" customHeight="false" outlineLevel="0" collapsed="false">
      <c r="A45" s="7" t="s">
        <v>83</v>
      </c>
      <c r="B45" s="32" t="n">
        <f aca="false">IFERROR(5600028/1048576/B20,0)</f>
        <v>12.489716732357</v>
      </c>
      <c r="C45" s="32" t="n">
        <f aca="false">IFERROR(5600028/1048576/C20,0)</f>
        <v>12.2378617661683</v>
      </c>
      <c r="D45" s="32" t="n">
        <f aca="false">IFERROR(5600028/1048576/D20,0)</f>
        <v>11.7556743886328</v>
      </c>
      <c r="E45" s="32" t="n">
        <f aca="false">IFERROR(5600028/1048576/E20,0)</f>
        <v>12.2210592099676</v>
      </c>
      <c r="F45" s="32" t="n">
        <f aca="false">IFERROR(5600028/1048576/F20,0)</f>
        <v>12.4315709375136</v>
      </c>
    </row>
    <row r="46" customFormat="false" ht="15" hidden="false" customHeight="false" outlineLevel="0" collapsed="false">
      <c r="A46" s="7" t="s">
        <v>79</v>
      </c>
      <c r="B46" s="32" t="n">
        <f aca="false">IFERROR(5600028/1048576/B21,0)</f>
        <v>12.9093615536762</v>
      </c>
      <c r="C46" s="32" t="n">
        <f aca="false">IFERROR(5600028/1048576/C21,0)</f>
        <v>11.8680063883464</v>
      </c>
      <c r="D46" s="32" t="n">
        <f aca="false">IFERROR(5600028/1048576/D21,0)</f>
        <v>11.8785651128911</v>
      </c>
      <c r="E46" s="32" t="n">
        <f aca="false">IFERROR(5600028/1048576/E21,0)</f>
        <v>11.7298547655521</v>
      </c>
      <c r="F46" s="32" t="n">
        <f aca="false">IFERROR(5600028/1048576/F21,0)</f>
        <v>11.5148833004654</v>
      </c>
    </row>
    <row r="47" customFormat="false" ht="15" hidden="false" customHeight="false" outlineLevel="0" collapsed="false">
      <c r="A47" s="7" t="s">
        <v>137</v>
      </c>
      <c r="B47" s="32" t="n">
        <f aca="false">IFERROR(5600028/1048576/B22,0)</f>
        <v>10.4882224563155</v>
      </c>
      <c r="C47" s="32" t="n">
        <f aca="false">IFERROR(5600028/1048576/C22,0)</f>
        <v>12.1239565828737</v>
      </c>
      <c r="D47" s="32" t="n">
        <f aca="false">IFERROR(5600028/1048576/D22,0)</f>
        <v>10.4964679142214</v>
      </c>
      <c r="E47" s="32" t="n">
        <f aca="false">IFERROR(5600028/1048576/E22,0)</f>
        <v>11.870644309304</v>
      </c>
      <c r="F47" s="32" t="n">
        <f aca="false">IFERROR(5600028/1048576/F22,0)</f>
        <v>10.7026109714546</v>
      </c>
    </row>
    <row r="48" customFormat="false" ht="15" hidden="false" customHeight="false" outlineLevel="0" collapsed="false">
      <c r="A48" s="7" t="s">
        <v>138</v>
      </c>
      <c r="B48" s="32" t="n">
        <f aca="false">IFERROR(5600028/1048576/B23,0)</f>
        <v>13.630941487381</v>
      </c>
      <c r="C48" s="32" t="n">
        <f aca="false">IFERROR(5600028/1048576/C23,0)</f>
        <v>12.8318185361746</v>
      </c>
      <c r="D48" s="32" t="n">
        <f aca="false">IFERROR(5600028/1048576/D23,0)</f>
        <v>12.9563388519065</v>
      </c>
      <c r="E48" s="32" t="n">
        <f aca="false">IFERROR(5600028/1048576/E23,0)</f>
        <v>12.9594828312445</v>
      </c>
      <c r="F48" s="32" t="n">
        <f aca="false">IFERROR(5600028/1048576/F23,0)</f>
        <v>12.4200066854787</v>
      </c>
    </row>
    <row r="49" customFormat="false" ht="15" hidden="false" customHeight="false" outlineLevel="0" collapsed="false">
      <c r="A49" s="7" t="s">
        <v>139</v>
      </c>
      <c r="B49" s="32" t="n">
        <f aca="false">IFERROR(5600028/1048576/B24,0)</f>
        <v>13.7396523662358</v>
      </c>
      <c r="C49" s="32" t="n">
        <f aca="false">IFERROR(5600028/1048576/C24,0)</f>
        <v>14.0394397338482</v>
      </c>
      <c r="D49" s="32" t="n">
        <f aca="false">IFERROR(5600028/1048576/D24,0)</f>
        <v>13.5376498726384</v>
      </c>
      <c r="E49" s="32" t="n">
        <f aca="false">IFERROR(5600028/1048576/E24,0)</f>
        <v>12.2126752224008</v>
      </c>
      <c r="F49" s="32" t="n">
        <f aca="false">IFERROR(5600028/1048576/F24,0)</f>
        <v>11.9263128065115</v>
      </c>
    </row>
    <row r="50" customFormat="false" ht="15" hidden="false" customHeight="false" outlineLevel="0" collapsed="false">
      <c r="A50" s="7" t="s">
        <v>140</v>
      </c>
      <c r="B50" s="32" t="n">
        <f aca="false">IFERROR(5600028/1048576/B25,0)</f>
        <v>13.368217458713</v>
      </c>
      <c r="C50" s="32" t="n">
        <f aca="false">IFERROR(5600028/1048576/C25,0)</f>
        <v>14.2075096428727</v>
      </c>
      <c r="D50" s="32" t="n">
        <f aca="false">IFERROR(5600028/1048576/D25,0)</f>
        <v>13.1347832630493</v>
      </c>
      <c r="E50" s="32" t="n">
        <f aca="false">IFERROR(5600028/1048576/E25,0)</f>
        <v>12.373964028628</v>
      </c>
      <c r="F50" s="32" t="n">
        <f aca="false">IFERROR(5600028/1048576/F25,0)</f>
        <v>11.8997390257484</v>
      </c>
    </row>
    <row r="52" customFormat="false" ht="15" hidden="false" customHeight="false" outlineLevel="0" collapsed="false">
      <c r="A52" s="10" t="s">
        <v>141</v>
      </c>
      <c r="B52" s="2" t="s">
        <v>326</v>
      </c>
    </row>
    <row r="53" customFormat="false" ht="15" hidden="false" customHeight="false" outlineLevel="0" collapsed="false">
      <c r="A53" s="10" t="s">
        <v>143</v>
      </c>
      <c r="B53" s="2" t="s">
        <v>327</v>
      </c>
    </row>
    <row r="55" customFormat="false" ht="15" hidden="false" customHeight="false" outlineLevel="0" collapsed="false">
      <c r="A55" s="3" t="s">
        <v>328</v>
      </c>
      <c r="B55" s="4"/>
      <c r="C55" s="4"/>
      <c r="D55" s="4"/>
      <c r="E55" s="4"/>
      <c r="F55" s="4"/>
    </row>
    <row r="56" customFormat="false" ht="15" hidden="false" customHeight="false" outlineLevel="0" collapsed="false">
      <c r="A56" s="6" t="s">
        <v>131</v>
      </c>
      <c r="B56" s="6" t="s">
        <v>132</v>
      </c>
      <c r="C56" s="6" t="s">
        <v>133</v>
      </c>
      <c r="D56" s="6" t="s">
        <v>134</v>
      </c>
      <c r="E56" s="6" t="s">
        <v>135</v>
      </c>
      <c r="F56" s="6" t="s">
        <v>136</v>
      </c>
    </row>
    <row r="57" customFormat="false" ht="15" hidden="false" customHeight="false" outlineLevel="0" collapsed="false">
      <c r="A57" s="7" t="s">
        <v>156</v>
      </c>
      <c r="B57" s="9" t="n">
        <f aca="false">SUMIFS(Chained!$J:$J,Chained!$C:$C,"MemoryStore-&gt;FileStore-&gt;CompressedStore",Chained!$E:$E,"",Chained!$F:$F,16)</f>
        <v>0.6233</v>
      </c>
      <c r="C57" s="9" t="n">
        <f aca="false">SUMIFS(Chained!$J:$J,Chained!$C:$C,"MemoryStore-&gt;FileStore-&gt;CompressedStore",Chained!$E:$E,"",Chained!$F:$F,64)</f>
        <v>0.6157</v>
      </c>
      <c r="D57" s="9" t="n">
        <f aca="false">SUMIFS(Chained!$J:$J,Chained!$C:$C,"MemoryStore-&gt;FileStore-&gt;CompressedStore",Chained!$E:$E,"",Chained!$F:$F,256)</f>
        <v>0.6113</v>
      </c>
      <c r="E57" s="9" t="n">
        <f aca="false">SUMIFS(Chained!$J:$J,Chained!$C:$C,"MemoryStore-&gt;FileStore-&gt;CompressedStore",Chained!$E:$E,"",Chained!$F:$F,1024)</f>
        <v>0.6332</v>
      </c>
      <c r="F57" s="9" t="n">
        <f aca="false">SUMIFS(Chained!$J:$J,Chained!$C:$C,"MemoryStore-&gt;FileStore-&gt;CompressedStore",Chained!$E:$E,"",Chained!$F:$F,4096)</f>
        <v>0.6462</v>
      </c>
    </row>
    <row r="58" customFormat="false" ht="15" hidden="false" customHeight="false" outlineLevel="0" collapsed="false">
      <c r="A58" s="7" t="s">
        <v>157</v>
      </c>
      <c r="B58" s="9" t="n">
        <f aca="false">SUMIFS(Chained!$J:$J,Chained!$C:$C,"MemoryStore-&gt;FileStore-&gt;LossyStore",Chained!$E:$E,"",Chained!$F:$F,16)</f>
        <v>0.6125</v>
      </c>
      <c r="C58" s="9" t="n">
        <f aca="false">SUMIFS(Chained!$J:$J,Chained!$C:$C,"MemoryStore-&gt;FileStore-&gt;LossyStore",Chained!$E:$E,"",Chained!$F:$F,64)</f>
        <v>0.6137</v>
      </c>
      <c r="D58" s="9" t="n">
        <f aca="false">SUMIFS(Chained!$J:$J,Chained!$C:$C,"MemoryStore-&gt;FileStore-&gt;LossyStore",Chained!$E:$E,"",Chained!$F:$F,256)</f>
        <v>0.6183</v>
      </c>
      <c r="E58" s="9" t="n">
        <f aca="false">SUMIFS(Chained!$J:$J,Chained!$C:$C,"MemoryStore-&gt;FileStore-&gt;LossyStore",Chained!$E:$E,"",Chained!$F:$F,1024)</f>
        <v>0.6429</v>
      </c>
      <c r="F58" s="9" t="n">
        <f aca="false">SUMIFS(Chained!$J:$J,Chained!$C:$C,"MemoryStore-&gt;FileStore-&gt;LossyStore",Chained!$E:$E,"",Chained!$F:$F,4096)</f>
        <v>0.6177</v>
      </c>
    </row>
    <row r="59" customFormat="false" ht="15" hidden="false" customHeight="false" outlineLevel="0" collapsed="false">
      <c r="A59" s="7" t="s">
        <v>158</v>
      </c>
      <c r="B59" s="9" t="n">
        <f aca="false">SUMIFS(Chained!$J:$J,Chained!$C:$C,"MemoryStore-&gt;FileStore-&gt;LossyStore",Chained!$E:$E,0.1,Chained!$F:$F,16)</f>
        <v>0.6123</v>
      </c>
      <c r="C59" s="9" t="n">
        <f aca="false">SUMIFS(Chained!$J:$J,Chained!$C:$C,"MemoryStore-&gt;FileStore-&gt;LossyStore",Chained!$E:$E,0.1,Chained!$F:$F,64)</f>
        <v>0.6499</v>
      </c>
      <c r="D59" s="9" t="n">
        <f aca="false">SUMIFS(Chained!$J:$J,Chained!$C:$C,"MemoryStore-&gt;FileStore-&gt;LossyStore",Chained!$E:$E,0.1,Chained!$F:$F,256)</f>
        <v>0.6256</v>
      </c>
      <c r="E59" s="9" t="n">
        <f aca="false">SUMIFS(Chained!$J:$J,Chained!$C:$C,"MemoryStore-&gt;FileStore-&gt;LossyStore",Chained!$E:$E,0.1,Chained!$F:$F,1024)</f>
        <v>0.6189</v>
      </c>
      <c r="F59" s="9" t="n">
        <f aca="false">SUMIFS(Chained!$J:$J,Chained!$C:$C,"MemoryStore-&gt;FileStore-&gt;LossyStore",Chained!$E:$E,0.1,Chained!$F:$F,4096)</f>
        <v>0.6185</v>
      </c>
    </row>
    <row r="60" customFormat="false" ht="15" hidden="false" customHeight="false" outlineLevel="0" collapsed="false">
      <c r="A60" s="7" t="s">
        <v>159</v>
      </c>
      <c r="B60" s="9" t="n">
        <f aca="false">SUMIFS(Chained!$J:$J,Chained!$C:$C,"MemoryStore-&gt;FileStore-&gt;LossyStore",Chained!$E:$E,1,Chained!$F:$F,16)</f>
        <v>0.6625</v>
      </c>
      <c r="C60" s="9" t="n">
        <f aca="false">SUMIFS(Chained!$J:$J,Chained!$C:$C,"MemoryStore-&gt;FileStore-&gt;LossyStore",Chained!$E:$E,1,Chained!$F:$F,64)</f>
        <v>0.6157</v>
      </c>
      <c r="D60" s="9" t="n">
        <f aca="false">SUMIFS(Chained!$J:$J,Chained!$C:$C,"MemoryStore-&gt;FileStore-&gt;LossyStore",Chained!$E:$E,1,Chained!$F:$F,256)</f>
        <v>0.6113</v>
      </c>
      <c r="E60" s="9" t="n">
        <f aca="false">SUMIFS(Chained!$J:$J,Chained!$C:$C,"MemoryStore-&gt;FileStore-&gt;LossyStore",Chained!$E:$E,1,Chained!$F:$F,1024)</f>
        <v>0.5999</v>
      </c>
      <c r="F60" s="9" t="n">
        <f aca="false">SUMIFS(Chained!$J:$J,Chained!$C:$C,"MemoryStore-&gt;FileStore-&gt;LossyStore",Chained!$E:$E,1,Chained!$F:$F,4096)</f>
        <v>0.5952</v>
      </c>
    </row>
    <row r="61" customFormat="false" ht="15" hidden="false" customHeight="false" outlineLevel="0" collapsed="false">
      <c r="A61" s="7" t="s">
        <v>160</v>
      </c>
      <c r="B61" s="9" t="n">
        <f aca="false">SUMIFS(Chained!$J:$J,Chained!$C:$C,"MemoryStore-&gt;FileStore-&gt;LossyStore",Chained!$E:$E,5,Chained!$F:$F,16)</f>
        <v>0.6186</v>
      </c>
      <c r="C61" s="9" t="n">
        <f aca="false">SUMIFS(Chained!$J:$J,Chained!$C:$C,"MemoryStore-&gt;FileStore-&gt;LossyStore",Chained!$E:$E,5,Chained!$F:$F,64)</f>
        <v>0.6215</v>
      </c>
      <c r="D61" s="9" t="n">
        <f aca="false">SUMIFS(Chained!$J:$J,Chained!$C:$C,"MemoryStore-&gt;FileStore-&gt;LossyStore",Chained!$E:$E,5,Chained!$F:$F,256)</f>
        <v>0.601</v>
      </c>
      <c r="E61" s="9" t="n">
        <f aca="false">SUMIFS(Chained!$J:$J,Chained!$C:$C,"MemoryStore-&gt;FileStore-&gt;LossyStore",Chained!$E:$E,5,Chained!$F:$F,1024)</f>
        <v>0.6299</v>
      </c>
      <c r="F61" s="9" t="n">
        <f aca="false">SUMIFS(Chained!$J:$J,Chained!$C:$C,"MemoryStore-&gt;FileStore-&gt;LossyStore",Chained!$E:$E,5,Chained!$F:$F,4096)</f>
        <v>0.6383</v>
      </c>
    </row>
    <row r="63" customFormat="false" ht="15" hidden="false" customHeight="false" outlineLevel="0" collapsed="false">
      <c r="A63" s="3" t="s">
        <v>329</v>
      </c>
      <c r="B63" s="4"/>
      <c r="C63" s="4"/>
      <c r="D63" s="4"/>
      <c r="E63" s="4"/>
      <c r="F63" s="4"/>
    </row>
    <row r="64" customFormat="false" ht="15" hidden="false" customHeight="false" outlineLevel="0" collapsed="false">
      <c r="A64" s="6" t="s">
        <v>131</v>
      </c>
      <c r="B64" s="6" t="s">
        <v>132</v>
      </c>
      <c r="C64" s="6" t="s">
        <v>133</v>
      </c>
      <c r="D64" s="6" t="s">
        <v>134</v>
      </c>
      <c r="E64" s="6" t="s">
        <v>135</v>
      </c>
      <c r="F64" s="6" t="s">
        <v>136</v>
      </c>
    </row>
    <row r="65" customFormat="false" ht="15" hidden="false" customHeight="false" outlineLevel="0" collapsed="false">
      <c r="A65" s="7" t="s">
        <v>156</v>
      </c>
      <c r="B65" s="9" t="n">
        <f aca="false">SUMIFS(Chained!$K:$K,Chained!$C:$C,"MemoryStore-&gt;FileStore-&gt;CompressedStore",Chained!$E:$E,"",Chained!$F:$F,16)</f>
        <v>0.4889</v>
      </c>
      <c r="C65" s="9" t="n">
        <f aca="false">SUMIFS(Chained!$K:$K,Chained!$C:$C,"MemoryStore-&gt;FileStore-&gt;CompressedStore",Chained!$E:$E,"",Chained!$F:$F,64)</f>
        <v>0.459</v>
      </c>
      <c r="D65" s="9" t="n">
        <f aca="false">SUMIFS(Chained!$K:$K,Chained!$C:$C,"MemoryStore-&gt;FileStore-&gt;CompressedStore",Chained!$E:$E,"",Chained!$F:$F,256)</f>
        <v>0.4967</v>
      </c>
      <c r="E65" s="9" t="n">
        <f aca="false">SUMIFS(Chained!$K:$K,Chained!$C:$C,"MemoryStore-&gt;FileStore-&gt;CompressedStore",Chained!$E:$E,"",Chained!$F:$F,1024)</f>
        <v>0.4473</v>
      </c>
      <c r="F65" s="9" t="n">
        <f aca="false">SUMIFS(Chained!$K:$K,Chained!$C:$C,"MemoryStore-&gt;FileStore-&gt;CompressedStore",Chained!$E:$E,"",Chained!$F:$F,4096)</f>
        <v>0.5026</v>
      </c>
    </row>
    <row r="66" customFormat="false" ht="15" hidden="false" customHeight="false" outlineLevel="0" collapsed="false">
      <c r="A66" s="7" t="s">
        <v>157</v>
      </c>
      <c r="B66" s="9" t="n">
        <f aca="false">SUMIFS(Chained!$K:$K,Chained!$C:$C,"MemoryStore-&gt;FileStore-&gt;LossyStore",Chained!$E:$E,"",Chained!$F:$F,16)</f>
        <v>0.4387</v>
      </c>
      <c r="C66" s="9" t="n">
        <f aca="false">SUMIFS(Chained!$K:$K,Chained!$C:$C,"MemoryStore-&gt;FileStore-&gt;LossyStore",Chained!$E:$E,"",Chained!$F:$F,64)</f>
        <v>0.4674</v>
      </c>
      <c r="D66" s="9" t="n">
        <f aca="false">SUMIFS(Chained!$K:$K,Chained!$C:$C,"MemoryStore-&gt;FileStore-&gt;LossyStore",Chained!$E:$E,"",Chained!$F:$F,256)</f>
        <v>0.4789</v>
      </c>
      <c r="E66" s="9" t="n">
        <f aca="false">SUMIFS(Chained!$K:$K,Chained!$C:$C,"MemoryStore-&gt;FileStore-&gt;LossyStore",Chained!$E:$E,"",Chained!$F:$F,1024)</f>
        <v>0.4449</v>
      </c>
      <c r="F66" s="9" t="n">
        <f aca="false">SUMIFS(Chained!$K:$K,Chained!$C:$C,"MemoryStore-&gt;FileStore-&gt;LossyStore",Chained!$E:$E,"",Chained!$F:$F,4096)</f>
        <v>0.4561</v>
      </c>
    </row>
    <row r="67" customFormat="false" ht="15" hidden="false" customHeight="false" outlineLevel="0" collapsed="false">
      <c r="A67" s="7" t="s">
        <v>158</v>
      </c>
      <c r="B67" s="9" t="n">
        <f aca="false">SUMIFS(Chained!$K:$K,Chained!$C:$C,"MemoryStore-&gt;FileStore-&gt;LossyStore",Chained!$E:$E,0.1,Chained!$F:$F,16)</f>
        <v>0.4349</v>
      </c>
      <c r="C67" s="9" t="n">
        <f aca="false">SUMIFS(Chained!$K:$K,Chained!$C:$C,"MemoryStore-&gt;FileStore-&gt;LossyStore",Chained!$E:$E,0.1,Chained!$F:$F,64)</f>
        <v>0.4197</v>
      </c>
      <c r="D67" s="9" t="n">
        <f aca="false">SUMIFS(Chained!$K:$K,Chained!$C:$C,"MemoryStore-&gt;FileStore-&gt;LossyStore",Chained!$E:$E,0.1,Chained!$F:$F,256)</f>
        <v>0.4179</v>
      </c>
      <c r="E67" s="9" t="n">
        <f aca="false">SUMIFS(Chained!$K:$K,Chained!$C:$C,"MemoryStore-&gt;FileStore-&gt;LossyStore",Chained!$E:$E,0.1,Chained!$F:$F,1024)</f>
        <v>0.4188</v>
      </c>
      <c r="F67" s="9" t="n">
        <f aca="false">SUMIFS(Chained!$K:$K,Chained!$C:$C,"MemoryStore-&gt;FileStore-&gt;LossyStore",Chained!$E:$E,0.1,Chained!$F:$F,4096)</f>
        <v>0.4551</v>
      </c>
    </row>
    <row r="68" customFormat="false" ht="15" hidden="false" customHeight="false" outlineLevel="0" collapsed="false">
      <c r="A68" s="7" t="s">
        <v>159</v>
      </c>
      <c r="B68" s="9" t="n">
        <f aca="false">SUMIFS(Chained!$K:$K,Chained!$C:$C,"MemoryStore-&gt;FileStore-&gt;LossyStore",Chained!$E:$E,1,Chained!$F:$F,16)</f>
        <v>0.421</v>
      </c>
      <c r="C68" s="9" t="n">
        <f aca="false">SUMIFS(Chained!$K:$K,Chained!$C:$C,"MemoryStore-&gt;FileStore-&gt;LossyStore",Chained!$E:$E,1,Chained!$F:$F,64)</f>
        <v>0.3857</v>
      </c>
      <c r="D68" s="9" t="n">
        <f aca="false">SUMIFS(Chained!$K:$K,Chained!$C:$C,"MemoryStore-&gt;FileStore-&gt;LossyStore",Chained!$E:$E,1,Chained!$F:$F,256)</f>
        <v>0.4016</v>
      </c>
      <c r="E68" s="9" t="n">
        <f aca="false">SUMIFS(Chained!$K:$K,Chained!$C:$C,"MemoryStore-&gt;FileStore-&gt;LossyStore",Chained!$E:$E,1,Chained!$F:$F,1024)</f>
        <v>0.4075</v>
      </c>
      <c r="F68" s="9" t="n">
        <f aca="false">SUMIFS(Chained!$K:$K,Chained!$C:$C,"MemoryStore-&gt;FileStore-&gt;LossyStore",Chained!$E:$E,1,Chained!$F:$F,4096)</f>
        <v>0.453</v>
      </c>
    </row>
    <row r="69" customFormat="false" ht="15" hidden="false" customHeight="false" outlineLevel="0" collapsed="false">
      <c r="A69" s="7" t="s">
        <v>160</v>
      </c>
      <c r="B69" s="9" t="n">
        <f aca="false">SUMIFS(Chained!$K:$K,Chained!$C:$C,"MemoryStore-&gt;FileStore-&gt;LossyStore",Chained!$E:$E,5,Chained!$F:$F,16)</f>
        <v>0.4119</v>
      </c>
      <c r="C69" s="9" t="n">
        <f aca="false">SUMIFS(Chained!$K:$K,Chained!$C:$C,"MemoryStore-&gt;FileStore-&gt;LossyStore",Chained!$E:$E,5,Chained!$F:$F,64)</f>
        <v>0.4162</v>
      </c>
      <c r="D69" s="9" t="n">
        <f aca="false">SUMIFS(Chained!$K:$K,Chained!$C:$C,"MemoryStore-&gt;FileStore-&gt;LossyStore",Chained!$E:$E,5,Chained!$F:$F,256)</f>
        <v>0.4176</v>
      </c>
      <c r="E69" s="9" t="n">
        <f aca="false">SUMIFS(Chained!$K:$K,Chained!$C:$C,"MemoryStore-&gt;FileStore-&gt;LossyStore",Chained!$E:$E,5,Chained!$F:$F,1024)</f>
        <v>0.42</v>
      </c>
      <c r="F69" s="9" t="n">
        <f aca="false">SUMIFS(Chained!$K:$K,Chained!$C:$C,"MemoryStore-&gt;FileStore-&gt;LossyStore",Chained!$E:$E,5,Chained!$F:$F,4096)</f>
        <v>0.4394</v>
      </c>
    </row>
    <row r="71" customFormat="false" ht="15" hidden="false" customHeight="false" outlineLevel="0" collapsed="false">
      <c r="A71" s="10" t="s">
        <v>141</v>
      </c>
      <c r="B71" s="2" t="s">
        <v>330</v>
      </c>
    </row>
    <row r="72" customFormat="false" ht="15" hidden="false" customHeight="false" outlineLevel="0" collapsed="false">
      <c r="A72" s="10" t="s">
        <v>143</v>
      </c>
      <c r="B72" s="2" t="s">
        <v>331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4"/>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8"/>
    <col collapsed="false" customWidth="true" hidden="false" outlineLevel="0" max="2" min="2" style="0" width="120"/>
  </cols>
  <sheetData>
    <row r="1" customFormat="false" ht="15" hidden="false" customHeight="false" outlineLevel="0" collapsed="false">
      <c r="A1" s="8" t="s">
        <v>332</v>
      </c>
    </row>
    <row r="2" customFormat="false" ht="15" hidden="false" customHeight="false" outlineLevel="0" collapsed="false">
      <c r="A2" s="2" t="s">
        <v>333</v>
      </c>
    </row>
    <row r="4" customFormat="false" ht="15" hidden="false" customHeight="false" outlineLevel="0" collapsed="false">
      <c r="A4" s="3" t="s">
        <v>334</v>
      </c>
      <c r="B4" s="4"/>
    </row>
    <row r="5" customFormat="false" ht="15" hidden="false" customHeight="false" outlineLevel="0" collapsed="false">
      <c r="A5" s="10" t="s">
        <v>335</v>
      </c>
      <c r="B5" s="33" t="s">
        <v>336</v>
      </c>
    </row>
    <row r="6" customFormat="false" ht="15" hidden="false" customHeight="false" outlineLevel="0" collapsed="false">
      <c r="A6" s="10" t="s">
        <v>337</v>
      </c>
      <c r="B6" s="2" t="s">
        <v>338</v>
      </c>
    </row>
    <row r="7" customFormat="false" ht="15" hidden="false" customHeight="false" outlineLevel="0" collapsed="false">
      <c r="A7" s="10" t="s">
        <v>339</v>
      </c>
      <c r="B7" s="2" t="s">
        <v>340</v>
      </c>
    </row>
    <row r="8" customFormat="false" ht="15" hidden="false" customHeight="false" outlineLevel="0" collapsed="false">
      <c r="A8" s="10" t="s">
        <v>341</v>
      </c>
      <c r="B8" s="2" t="s">
        <v>342</v>
      </c>
    </row>
    <row r="9" customFormat="false" ht="15" hidden="false" customHeight="false" outlineLevel="0" collapsed="false">
      <c r="A9" s="10" t="s">
        <v>343</v>
      </c>
      <c r="B9" s="2" t="s">
        <v>344</v>
      </c>
    </row>
    <row r="10" customFormat="false" ht="15" hidden="false" customHeight="false" outlineLevel="0" collapsed="false">
      <c r="A10" s="10" t="s">
        <v>345</v>
      </c>
      <c r="B10" s="2" t="s">
        <v>346</v>
      </c>
    </row>
    <row r="12" customFormat="false" ht="15" hidden="false" customHeight="false" outlineLevel="0" collapsed="false">
      <c r="A12" s="3" t="s">
        <v>347</v>
      </c>
      <c r="B12" s="4"/>
    </row>
    <row r="13" customFormat="false" ht="15" hidden="false" customHeight="false" outlineLevel="0" collapsed="false">
      <c r="A13" s="10" t="s">
        <v>335</v>
      </c>
      <c r="B13" s="33" t="s">
        <v>348</v>
      </c>
    </row>
    <row r="14" customFormat="false" ht="15" hidden="false" customHeight="false" outlineLevel="0" collapsed="false">
      <c r="A14" s="10" t="s">
        <v>337</v>
      </c>
      <c r="B14" s="2" t="s">
        <v>349</v>
      </c>
    </row>
    <row r="15" customFormat="false" ht="15" hidden="false" customHeight="false" outlineLevel="0" collapsed="false">
      <c r="A15" s="10" t="s">
        <v>339</v>
      </c>
      <c r="B15" s="2" t="s">
        <v>350</v>
      </c>
    </row>
    <row r="16" customFormat="false" ht="15" hidden="false" customHeight="false" outlineLevel="0" collapsed="false">
      <c r="A16" s="10" t="s">
        <v>341</v>
      </c>
      <c r="B16" s="2" t="s">
        <v>351</v>
      </c>
    </row>
    <row r="17" customFormat="false" ht="15" hidden="false" customHeight="false" outlineLevel="0" collapsed="false">
      <c r="A17" s="10" t="s">
        <v>343</v>
      </c>
      <c r="B17" s="2" t="s">
        <v>352</v>
      </c>
    </row>
    <row r="18" customFormat="false" ht="15" hidden="false" customHeight="false" outlineLevel="0" collapsed="false">
      <c r="A18" s="10" t="s">
        <v>345</v>
      </c>
      <c r="B18" s="2" t="s">
        <v>353</v>
      </c>
    </row>
    <row r="20" customFormat="false" ht="15" hidden="false" customHeight="false" outlineLevel="0" collapsed="false">
      <c r="A20" s="3" t="s">
        <v>354</v>
      </c>
      <c r="B20" s="4"/>
    </row>
    <row r="21" customFormat="false" ht="15" hidden="false" customHeight="false" outlineLevel="0" collapsed="false">
      <c r="A21" s="5" t="s">
        <v>355</v>
      </c>
      <c r="B21" s="2" t="s">
        <v>356</v>
      </c>
    </row>
    <row r="22" customFormat="false" ht="15" hidden="false" customHeight="false" outlineLevel="0" collapsed="false">
      <c r="A22" s="5" t="s">
        <v>357</v>
      </c>
      <c r="B22" s="2" t="s">
        <v>358</v>
      </c>
    </row>
    <row r="23" customFormat="false" ht="15" hidden="false" customHeight="false" outlineLevel="0" collapsed="false">
      <c r="A23" s="5" t="s">
        <v>359</v>
      </c>
      <c r="B23" s="2" t="s">
        <v>360</v>
      </c>
    </row>
    <row r="24" customFormat="false" ht="15" hidden="false" customHeight="false" outlineLevel="0" collapsed="false">
      <c r="A24" s="5" t="s">
        <v>361</v>
      </c>
      <c r="B24" s="2" t="s">
        <v>362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62"/>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150"/>
  </cols>
  <sheetData>
    <row r="1" customFormat="false" ht="15" hidden="false" customHeight="false" outlineLevel="0" collapsed="false">
      <c r="A1" s="1" t="s">
        <v>363</v>
      </c>
    </row>
    <row r="2" customFormat="false" ht="15" hidden="false" customHeight="false" outlineLevel="0" collapsed="false">
      <c r="B2" s="2" t="s">
        <v>364</v>
      </c>
    </row>
    <row r="4" customFormat="false" ht="15" hidden="false" customHeight="false" outlineLevel="0" collapsed="false">
      <c r="A4" s="3" t="s">
        <v>365</v>
      </c>
      <c r="B4" s="4"/>
    </row>
    <row r="5" customFormat="false" ht="15" hidden="false" customHeight="false" outlineLevel="0" collapsed="false">
      <c r="A5" s="34" t="s">
        <v>366</v>
      </c>
      <c r="B5" s="35" t="s">
        <v>367</v>
      </c>
    </row>
    <row r="6" customFormat="false" ht="30" hidden="false" customHeight="true" outlineLevel="0" collapsed="false">
      <c r="A6" s="36" t="s">
        <v>368</v>
      </c>
      <c r="B6" s="37" t="s">
        <v>369</v>
      </c>
    </row>
    <row r="28" customFormat="false" ht="15" hidden="false" customHeight="false" outlineLevel="0" collapsed="false">
      <c r="A28" s="3" t="s">
        <v>370</v>
      </c>
      <c r="B28" s="4"/>
    </row>
    <row r="29" customFormat="false" ht="15" hidden="false" customHeight="false" outlineLevel="0" collapsed="false">
      <c r="A29" s="34" t="s">
        <v>366</v>
      </c>
      <c r="B29" s="35" t="s">
        <v>371</v>
      </c>
    </row>
    <row r="30" customFormat="false" ht="30" hidden="false" customHeight="true" outlineLevel="0" collapsed="false">
      <c r="A30" s="36" t="s">
        <v>368</v>
      </c>
      <c r="B30" s="37" t="s">
        <v>372</v>
      </c>
    </row>
    <row r="52" customFormat="false" ht="15" hidden="false" customHeight="false" outlineLevel="0" collapsed="false">
      <c r="A52" s="3" t="s">
        <v>373</v>
      </c>
      <c r="B52" s="4"/>
    </row>
    <row r="53" customFormat="false" ht="15" hidden="false" customHeight="false" outlineLevel="0" collapsed="false">
      <c r="A53" s="34" t="s">
        <v>366</v>
      </c>
      <c r="B53" s="35" t="s">
        <v>374</v>
      </c>
    </row>
    <row r="54" customFormat="false" ht="30" hidden="false" customHeight="true" outlineLevel="0" collapsed="false">
      <c r="A54" s="36" t="s">
        <v>368</v>
      </c>
      <c r="B54" s="37" t="s">
        <v>375</v>
      </c>
    </row>
    <row r="76" customFormat="false" ht="15" hidden="false" customHeight="false" outlineLevel="0" collapsed="false">
      <c r="A76" s="3" t="s">
        <v>376</v>
      </c>
      <c r="B76" s="4"/>
    </row>
    <row r="77" customFormat="false" ht="15" hidden="false" customHeight="false" outlineLevel="0" collapsed="false">
      <c r="A77" s="34" t="s">
        <v>366</v>
      </c>
      <c r="B77" s="35" t="s">
        <v>377</v>
      </c>
    </row>
    <row r="78" customFormat="false" ht="30" hidden="false" customHeight="true" outlineLevel="0" collapsed="false">
      <c r="A78" s="36" t="s">
        <v>368</v>
      </c>
      <c r="B78" s="37" t="s">
        <v>378</v>
      </c>
    </row>
    <row r="100" customFormat="false" ht="15" hidden="false" customHeight="false" outlineLevel="0" collapsed="false">
      <c r="A100" s="3" t="s">
        <v>379</v>
      </c>
      <c r="B100" s="4"/>
    </row>
    <row r="101" customFormat="false" ht="15" hidden="false" customHeight="false" outlineLevel="0" collapsed="false">
      <c r="A101" s="34" t="s">
        <v>366</v>
      </c>
      <c r="B101" s="35" t="s">
        <v>380</v>
      </c>
    </row>
    <row r="102" customFormat="false" ht="30" hidden="false" customHeight="true" outlineLevel="0" collapsed="false">
      <c r="A102" s="36" t="s">
        <v>368</v>
      </c>
      <c r="B102" s="37" t="s">
        <v>381</v>
      </c>
    </row>
    <row r="124" customFormat="false" ht="15" hidden="false" customHeight="false" outlineLevel="0" collapsed="false">
      <c r="A124" s="3" t="s">
        <v>382</v>
      </c>
      <c r="B124" s="4"/>
    </row>
    <row r="125" customFormat="false" ht="15" hidden="false" customHeight="false" outlineLevel="0" collapsed="false">
      <c r="A125" s="34" t="s">
        <v>366</v>
      </c>
      <c r="B125" s="35" t="s">
        <v>383</v>
      </c>
    </row>
    <row r="126" customFormat="false" ht="30" hidden="false" customHeight="true" outlineLevel="0" collapsed="false">
      <c r="A126" s="36" t="s">
        <v>368</v>
      </c>
      <c r="B126" s="37" t="s">
        <v>384</v>
      </c>
    </row>
    <row r="148" customFormat="false" ht="15" hidden="false" customHeight="false" outlineLevel="0" collapsed="false">
      <c r="A148" s="3" t="s">
        <v>385</v>
      </c>
      <c r="B148" s="4"/>
    </row>
    <row r="149" customFormat="false" ht="30" hidden="false" customHeight="true" outlineLevel="0" collapsed="false">
      <c r="B149" s="37" t="s">
        <v>386</v>
      </c>
    </row>
    <row r="150" customFormat="false" ht="30" hidden="false" customHeight="true" outlineLevel="0" collapsed="false">
      <c r="B150" s="37" t="s">
        <v>387</v>
      </c>
    </row>
    <row r="151" customFormat="false" ht="30" hidden="false" customHeight="true" outlineLevel="0" collapsed="false">
      <c r="B151" s="37" t="s">
        <v>388</v>
      </c>
    </row>
    <row r="152" customFormat="false" ht="30" hidden="false" customHeight="true" outlineLevel="0" collapsed="false">
      <c r="B152" s="37" t="s">
        <v>389</v>
      </c>
    </row>
    <row r="154" customFormat="false" ht="15" hidden="false" customHeight="false" outlineLevel="0" collapsed="false">
      <c r="A154" s="3" t="s">
        <v>390</v>
      </c>
      <c r="B154" s="4"/>
    </row>
    <row r="155" customFormat="false" ht="30" hidden="false" customHeight="true" outlineLevel="0" collapsed="false">
      <c r="B155" s="37" t="s">
        <v>391</v>
      </c>
    </row>
    <row r="156" customFormat="false" ht="30" hidden="false" customHeight="true" outlineLevel="0" collapsed="false">
      <c r="B156" s="37" t="s">
        <v>392</v>
      </c>
    </row>
    <row r="157" customFormat="false" ht="30" hidden="false" customHeight="true" outlineLevel="0" collapsed="false">
      <c r="B157" s="37" t="s">
        <v>393</v>
      </c>
    </row>
    <row r="159" customFormat="false" ht="15" hidden="false" customHeight="false" outlineLevel="0" collapsed="false">
      <c r="A159" s="3" t="s">
        <v>394</v>
      </c>
      <c r="B159" s="4"/>
    </row>
    <row r="160" customFormat="false" ht="27.75" hidden="false" customHeight="true" outlineLevel="0" collapsed="false">
      <c r="B160" s="38" t="s">
        <v>395</v>
      </c>
    </row>
    <row r="161" customFormat="false" ht="27.75" hidden="false" customHeight="true" outlineLevel="0" collapsed="false">
      <c r="B161" s="38" t="s">
        <v>396</v>
      </c>
    </row>
    <row r="162" customFormat="false" ht="27.75" hidden="false" customHeight="true" outlineLevel="0" collapsed="false">
      <c r="B162" s="38" t="s">
        <v>397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LibreOffice/7.4.7.2$Linux_X86_64 LibreOffice_project/40$Build-2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2026-10-01T12:24:14Z</dcterms:created>
  <dc:creator>openpyxl</dc:creator>
  <dc:description/>
  <dc:language>en-US</dc:language>
  <cp:lastModifiedBy/>
  <dcterms:modified xsi:type="dcterms:W3CDTF">2026-10-01T12:24:14Z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