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Description" sheetId="1" state="visible" r:id="rId2"/>
    <sheet name="Standalone" sheetId="2" state="visible" r:id="rId3"/>
    <sheet name="Chained" sheetId="3" state="visible" r:id="rId4"/>
    <sheet name="Float Column" sheetId="4" state="visible" r:id="rId5"/>
    <sheet name="Ratios by Size" sheetId="5" state="visible" r:id="rId6"/>
    <sheet name="Accuracy Tradeoff" sheetId="6" state="visible" r:id="rId7"/>
    <sheet name="Overhead and Timing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<sst xmlns="http://schemas.openxmlformats.org/spreadsheetml/2006/main" count="569" uniqueCount="159">
  <si>
    <t xml:space="preserve">Replay store compression benchmarks</t>
  </si>
  <si>
    <t xml:space="preserve">Every figure below was measured through the real SQL query path, not by calling the stores directly.</t>
  </si>
  <si>
    <t xml:space="preserve">Dataset</t>
  </si>
  <si>
    <t xml:space="preserve">dataset</t>
  </si>
  <si>
    <t xml:space="preserve">debs_wind_turbines</t>
  </si>
  <si>
    <t xml:space="preserve">source_file</t>
  </si>
  <si>
    <t xml:space="preserve">large/debs/WIND_TURBINES_TOPIC_5M.csv</t>
  </si>
  <si>
    <t xml:space="preserve">csv_bytes</t>
  </si>
  <si>
    <t xml:space="preserve">rows</t>
  </si>
  <si>
    <t xml:space="preserve">columns</t>
  </si>
  <si>
    <t xml:space="preserve">stored_row_width_bytes</t>
  </si>
  <si>
    <t xml:space="preserve">stored_bytes_total</t>
  </si>
  <si>
    <t xml:space="preserve">truncated</t>
  </si>
  <si>
    <t xml:space="preserve">no - the whole shipped file</t>
  </si>
  <si>
    <t xml:space="preserve">timestamp_sorted</t>
  </si>
  <si>
    <t xml:space="preserve">True</t>
  </si>
  <si>
    <t xml:space="preserve">timestamp_distinct_deltas</t>
  </si>
  <si>
    <t xml:space="preserve">timestamp_delta_pattern</t>
  </si>
  <si>
    <t xml:space="preserve">0x133334; 60000x66666</t>
  </si>
  <si>
    <t xml:space="preserve">timestamp_range</t>
  </si>
  <si>
    <t xml:space="preserve">1000000000000 .. 1003999960000</t>
  </si>
  <si>
    <t xml:space="preserve">Columns</t>
  </si>
  <si>
    <t xml:space="preserve">column</t>
  </si>
  <si>
    <t xml:space="preserve">sql_type</t>
  </si>
  <si>
    <t xml:space="preserve">payload_bytes</t>
  </si>
  <si>
    <t xml:space="preserve">null_indicator_bytes</t>
  </si>
  <si>
    <t xml:space="preserve">stored_bytes_per_value</t>
  </si>
  <si>
    <t xml:space="preserve">distinct_values</t>
  </si>
  <si>
    <t xml:space="preserve">distinct_pct</t>
  </si>
  <si>
    <t xml:space="preserve">min</t>
  </si>
  <si>
    <t xml:space="preserve">max</t>
  </si>
  <si>
    <t xml:space="preserve">decimal_places</t>
  </si>
  <si>
    <t xml:space="preserve">quantisable_by_accuracy_bound</t>
  </si>
  <si>
    <t xml:space="preserve">example</t>
  </si>
  <si>
    <t xml:space="preserve">producerId</t>
  </si>
  <si>
    <t xml:space="preserve">INT32</t>
  </si>
  <si>
    <t xml:space="preserve">no</t>
  </si>
  <si>
    <t xml:space="preserve">groupId</t>
  </si>
  <si>
    <t xml:space="preserve">producedPower</t>
  </si>
  <si>
    <t xml:space="preserve">FLOAT64</t>
  </si>
  <si>
    <t xml:space="preserve">1:19865/2:180136</t>
  </si>
  <si>
    <t xml:space="preserve">yes</t>
  </si>
  <si>
    <t xml:space="preserve">timestamp</t>
  </si>
  <si>
    <t xml:space="preserve">UINT64</t>
  </si>
  <si>
    <t xml:space="preserve">What the measured columns mean</t>
  </si>
  <si>
    <t xml:space="preserve">bytes_in</t>
  </si>
  <si>
    <t xml:space="preserve">rows x stored row width. Fixed by the schema, so it is the control, not a measurement.</t>
  </si>
  <si>
    <t xml:space="preserve">data_out</t>
  </si>
  <si>
    <t xml:space="preserve">the encoded data alone, every byte of framing removed -- what the codec produced.</t>
  </si>
  <si>
    <t xml:space="preserve">disk_bytes</t>
  </si>
  <si>
    <t xml:space="preserve">the file size. For a chain, every tier's files added together.</t>
  </si>
  <si>
    <t xml:space="preserve">framing_bytes</t>
  </si>
  <si>
    <t xml:space="preserve">disk_bytes - data_out: file headers, preallocated tables, per-unit descriptors.</t>
  </si>
  <si>
    <t xml:space="preserve">framing_ratio</t>
  </si>
  <si>
    <t xml:space="preserve">framing_bytes / disk_bytes.</t>
  </si>
  <si>
    <t xml:space="preserve">ratio_on_data</t>
  </si>
  <si>
    <t xml:space="preserve">bytes_in / data_out. Compares codecs without format overhead in the way.</t>
  </si>
  <si>
    <t xml:space="preserve">ratio_on_disk</t>
  </si>
  <si>
    <t xml:space="preserve">bytes_in / disk_bytes. What the data actually costs to keep.</t>
  </si>
  <si>
    <t xml:space="preserve">tail_in_bytes</t>
  </si>
  <si>
    <t xml:space="preserve">bytes_in minus what MemoryStore and FileStore are still holding -- the bytes that actually reached the compressing tier. Chained sheet only.</t>
  </si>
  <si>
    <t xml:space="preserve">ratio_on_tail</t>
  </si>
  <si>
    <t xml:space="preserve">tail_in_bytes / the tail's data. What the codec achieved on what it was GIVEN, with the uncompressed remainder in FileStore taken out. Compare codecs with this; budget a deployment with ratio_on_data.</t>
  </si>
  <si>
    <t xml:space="preserve">encode_s</t>
  </si>
  <si>
    <t xml:space="preserve">wall time of the write query, median of the repeats.</t>
  </si>
  <si>
    <t xml:space="preserve">decode_s</t>
  </si>
  <si>
    <t xml:space="preserve">wall time of the read-back query, median of the repeats.</t>
  </si>
  <si>
    <t xml:space="preserve">unit_kb</t>
  </si>
  <si>
    <t xml:space="preserve">the granule each tier seals on: FileStore segment, LossyStore group, CompressedStore segment.</t>
  </si>
  <si>
    <t xml:space="preserve">MemoryStore</t>
  </si>
  <si>
    <t xml:space="preserve">holds rows in TupleBuffers and writes no file, so disk_bytes is 0 while data_out is not.</t>
  </si>
  <si>
    <t xml:space="preserve">green figures</t>
  </si>
  <si>
    <t xml:space="preserve">formulas computed by the sheet; black figures are measurements.</t>
  </si>
  <si>
    <t xml:space="preserve">Caveats that affect how these read</t>
  </si>
  <si>
    <t xml:space="preserve">decode_s measures the unit size against a FIXED 4 KB read buffer, not the unit size alone. CompressedStore re-decompresses a whole segment per read() call, so a 1 MB segment is decompressed 257 times to fill 4 KB buffers. Given a larger destination it decodes in 0.47 s.</t>
  </si>
  <si>
    <t xml:space="preserve">LossyStore's size is not monotonic in unit size on this dataset. The timestamp column uses ForBitpack, its bit width tracks the group's span, and this data's period-3 delta pattern aligns to a byte boundary only at certain widths. It is an artifact of this data's regularity, so the 16 KB result should not be read as a recommendation.</t>
  </si>
  <si>
    <t xml:space="preserve">Wind turbine data is unusually compressible: 2 distinct timestamp deltas, 40% repeated floats. Treat its ratios as a best case.</t>
  </si>
  <si>
    <t xml:space="preserve">A CHAIN does not compress everything. FileStore migrates once it has accumulated its flush threshold, 4 MB here, and keeps the sub-threshold remainder -- 367,248 bytes, 6.6% of the stream -- uncompressed. ratio_on_data counts that remainder and is what the chain costs; ratio_on_tail excludes it and is what the codec did.</t>
  </si>
  <si>
    <t xml:space="preserve">This supersedes the f2 caveat that the 1024 and 4096 chained rows were the same configuration. That held while FileStore drained on command and never accumulated past MemoryStore's 1 MB, so a larger segment could not fill. It now accumulates to 4 MB, and the two points differ: 6 units against 3, and different bytes at both tails.</t>
  </si>
  <si>
    <t xml:space="preserve">LossyStore's groupSize is ignored in a chain: it seals one group per incoming segment, so its group is FileStore's segment. Sweeping all three sizes together is the only shape that moves every tier's unit at once.</t>
  </si>
  <si>
    <t xml:space="preserve">store_order</t>
  </si>
  <si>
    <t xml:space="preserve">bound_pct</t>
  </si>
  <si>
    <t xml:space="preserve">filestore_segment_kb</t>
  </si>
  <si>
    <t xml:space="preserve">lossystore_group_kb</t>
  </si>
  <si>
    <t xml:space="preserve">compressedstore_segment_kb</t>
  </si>
  <si>
    <t xml:space="preserve">filestore_flush_threshold_kb</t>
  </si>
  <si>
    <t xml:space="preserve">flush_threshold</t>
  </si>
  <si>
    <t xml:space="preserve">row_width_bytes</t>
  </si>
  <si>
    <t xml:space="preserve">units</t>
  </si>
  <si>
    <t xml:space="preserve">runs</t>
  </si>
  <si>
    <t xml:space="preserve">CompressedStore</t>
  </si>
  <si>
    <t xml:space="preserve">1MB</t>
  </si>
  <si>
    <t xml:space="preserve">LossyStore</t>
  </si>
  <si>
    <t xml:space="preserve">FileStore</t>
  </si>
  <si>
    <t xml:space="preserve">MemoryStore_data</t>
  </si>
  <si>
    <t xml:space="preserve">MemoryStore_disk</t>
  </si>
  <si>
    <t xml:space="preserve">FileStore_data</t>
  </si>
  <si>
    <t xml:space="preserve">FileStore_disk</t>
  </si>
  <si>
    <t xml:space="preserve">CompressedStore_data</t>
  </si>
  <si>
    <t xml:space="preserve">CompressedStore_disk</t>
  </si>
  <si>
    <t xml:space="preserve">LossyStore_data</t>
  </si>
  <si>
    <t xml:space="preserve">LossyStore_disk</t>
  </si>
  <si>
    <t xml:space="preserve">MemoryStore-&gt;FileStore-&gt;CompressedStore</t>
  </si>
  <si>
    <t xml:space="preserve">MemoryStore-&gt;FileStore-&gt;LossyStore</t>
  </si>
  <si>
    <t xml:space="preserve">type</t>
  </si>
  <si>
    <t xml:space="preserve">is_quantisable</t>
  </si>
  <si>
    <t xml:space="preserve">groups</t>
  </si>
  <si>
    <t xml:space="preserve">bytes</t>
  </si>
  <si>
    <t xml:space="preserve">bytes_per_row</t>
  </si>
  <si>
    <t xml:space="preserve">vs_lossless_bytes</t>
  </si>
  <si>
    <t xml:space="preserve">vs_lossless_pct</t>
  </si>
  <si>
    <t xml:space="preserve">codec</t>
  </si>
  <si>
    <t xml:space="preserve">worst_recorded_error</t>
  </si>
  <si>
    <t xml:space="preserve">bound_as_fraction</t>
  </si>
  <si>
    <t xml:space="preserve">error_within_bound</t>
  </si>
  <si>
    <t xml:space="preserve">ForBitpack</t>
  </si>
  <si>
    <t xml:space="preserve">Raw</t>
  </si>
  <si>
    <t xml:space="preserve">ts</t>
  </si>
  <si>
    <t xml:space="preserve">Quantized</t>
  </si>
  <si>
    <t xml:space="preserve">Compression ratio against unit size</t>
  </si>
  <si>
    <t xml:space="preserve">Every cell is a SUMIFS against the Standalone or Chained sheet. Green means computed by the sheet, so correcting a measurement moves it.</t>
  </si>
  <si>
    <t xml:space="preserve">STANDALONE  -  bytes_in / data_out</t>
  </si>
  <si>
    <t xml:space="preserve">One store, no tiering. Nothing is held back uncompressed.</t>
  </si>
  <si>
    <t xml:space="preserve">Configuration</t>
  </si>
  <si>
    <t xml:space="preserve">16 KB</t>
  </si>
  <si>
    <t xml:space="preserve">64 KB</t>
  </si>
  <si>
    <t xml:space="preserve">256 KB</t>
  </si>
  <si>
    <t xml:space="preserve">1024 KB</t>
  </si>
  <si>
    <t xml:space="preserve">4096 KB</t>
  </si>
  <si>
    <t xml:space="preserve">LossyStore lossless</t>
  </si>
  <si>
    <t xml:space="preserve">LossyStore 0.1%</t>
  </si>
  <si>
    <t xml:space="preserve">LossyStore 1%</t>
  </si>
  <si>
    <t xml:space="preserve">LossyStore 5%</t>
  </si>
  <si>
    <t xml:space="preserve">CHAINED  -  ratio_on_data  (the whole chain)</t>
  </si>
  <si>
    <t xml:space="preserve">Counts the sub-threshold remainder FileStore keeps uncompressed, so this is what the chain costs on disk.</t>
  </si>
  <si>
    <t xml:space="preserve">-&gt; CompressedStore</t>
  </si>
  <si>
    <t xml:space="preserve">-&gt; LossyStore lossless</t>
  </si>
  <si>
    <t xml:space="preserve">-&gt; LossyStore 0.1%</t>
  </si>
  <si>
    <t xml:space="preserve">-&gt; LossyStore 1%</t>
  </si>
  <si>
    <t xml:space="preserve">-&gt; LossyStore 5%</t>
  </si>
  <si>
    <t xml:space="preserve">CHAINED  -  ratio_on_tail  (the codec alone)</t>
  </si>
  <si>
    <t xml:space="preserve">Excludes that remainder: what the tail achieved on the bytes it was actually handed. Compare codecs with this row set.</t>
  </si>
  <si>
    <t xml:space="preserve">COST OF TIERING  -  ratio_on_tail / ratio_on_data</t>
  </si>
  <si>
    <t xml:space="preserve">How much of the codec's work the uncompressed remainder gives back. 1.00 would mean the chain kept everything the codec achieved.</t>
  </si>
  <si>
    <t xml:space="preserve">What each accuracy bound buys</t>
  </si>
  <si>
    <t xml:space="preserve">LossyStore only. The bound is a per-value error ceiling; a wider bound lets the quantiser spend fewer bits.</t>
  </si>
  <si>
    <t xml:space="preserve">STANDALONE  -  ratio by bound</t>
  </si>
  <si>
    <t xml:space="preserve">CHAINED  -  ratio_on_tail by bound</t>
  </si>
  <si>
    <t xml:space="preserve">GAIN OVER LOSSLESS  -  bounded ratio / lossless ratio, standalone</t>
  </si>
  <si>
    <t xml:space="preserve">1.00 would mean the bound bought nothing at that unit size.</t>
  </si>
  <si>
    <t xml:space="preserve">What is not the codec: framing, unit count, and time</t>
  </si>
  <si>
    <t xml:space="preserve">Framing is the file header, the preallocated table and the per-unit descriptors. It is charged to disk_bytes and excluded from data_out.</t>
  </si>
  <si>
    <t xml:space="preserve">FRAMING as a share of the file  -  standalone</t>
  </si>
  <si>
    <t xml:space="preserve">Small units mean many descriptors. This is why a 16 KB unit can cost more on disk than a larger one that compresses slightly worse.</t>
  </si>
  <si>
    <t xml:space="preserve">UNITS WRITTEN  -  standalone</t>
  </si>
  <si>
    <t xml:space="preserve">The granule count the unit size produces. Framing tracks this.</t>
  </si>
  <si>
    <t xml:space="preserve">ENCODE seconds  -  standalone</t>
  </si>
  <si>
    <t xml:space="preserve">DECODE seconds  -  standalone</t>
  </si>
  <si>
    <t xml:space="preserve">CONFOUNDED: measured against a fixed 4 KB read destination, so a larger unit is re-decompressed more times, not decoded more slowly. Read this as the cost of the unit size AT THAT BUFFER SIZE.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</si>
</sst>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%"/>
    <numFmt numFmtId="168" formatCode="0.00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6F3D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1F6F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2F5496"/>
        <bgColor rgb="FF426FA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64A2"/>
      <rgbColor rgb="FF800080"/>
      <rgbColor rgb="FF4F81BD"/>
      <rgbColor rgb="FF9BBB59"/>
      <rgbColor rgb="FF878787"/>
      <rgbColor rgb="FF8EA5CA"/>
      <rgbColor rgb="FFAA433F"/>
      <rgbColor rgb="FFFFFFCC"/>
      <rgbColor rgb="FFD9E2F3"/>
      <rgbColor rgb="FF660066"/>
      <rgbColor rgb="FFDB8238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6AAC4"/>
      <rgbColor rgb="FFCCFFFF"/>
      <rgbColor rgb="FFCCFFCC"/>
      <rgbColor rgb="FFFFFF99"/>
      <rgbColor rgb="FF99CCFF"/>
      <rgbColor rgb="FFFF99CC"/>
      <rgbColor rgb="FF7D5FA0"/>
      <rgbColor rgb="FFFFCC99"/>
      <rgbColor rgb="FF426FA6"/>
      <rgbColor rgb="FF4BACC6"/>
      <rgbColor rgb="FF98B855"/>
      <rgbColor rgb="FFFFCC00"/>
      <rgbColor rgb="FFFF9900"/>
      <rgbColor rgb="FFFF6600"/>
      <rgbColor rgb="FF6F568D"/>
      <rgbColor rgb="FF87A44B"/>
      <rgbColor rgb="FF003366"/>
      <rgbColor rgb="FF3D97AF"/>
      <rgbColor rgb="FF003300"/>
      <rgbColor rgb="FF333300"/>
      <rgbColor rgb="FFC0504D"/>
      <rgbColor rgb="FFBE4B48"/>
      <rgbColor rgb="FF2F54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Standalone: compression ratio by unit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'Ratios by Size'!A7</c:f>
              <c:strCache>
                <c:ptCount val="1"/>
                <c:pt idx="0">
                  <c:v>MemoryStore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Size'!$B$7:$F$7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'Ratios by Size'!A8</c:f>
              <c:strCache>
                <c:ptCount val="1"/>
                <c:pt idx="0">
                  <c:v>FileStore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Size'!$B$8:$F$8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'Ratios by Size'!A9</c:f>
              <c:strCache>
                <c:ptCount val="1"/>
                <c:pt idx="0">
                  <c:v>CompressedStore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Size'!$B$9:$F$9</c:f>
              <c:numCache>
                <c:formatCode>General</c:formatCode>
                <c:ptCount val="5"/>
                <c:pt idx="0">
                  <c:v>3.16621708493505</c:v>
                </c:pt>
                <c:pt idx="1">
                  <c:v>3.25666901417051</c:v>
                </c:pt>
                <c:pt idx="2">
                  <c:v>3.2681942674992</c:v>
                </c:pt>
                <c:pt idx="3">
                  <c:v>3.26612993533095</c:v>
                </c:pt>
                <c:pt idx="4">
                  <c:v>3.27002251048884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'Ratios by Size'!A10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Size'!$B$10:$F$10</c:f>
              <c:numCache>
                <c:formatCode>General</c:formatCode>
                <c:ptCount val="5"/>
                <c:pt idx="0">
                  <c:v>4.640836672371</c:v>
                </c:pt>
                <c:pt idx="1">
                  <c:v>3.73578274930888</c:v>
                </c:pt>
                <c:pt idx="2">
                  <c:v>4.10133468481401</c:v>
                </c:pt>
                <c:pt idx="3">
                  <c:v>3.58846876958429</c:v>
                </c:pt>
                <c:pt idx="4">
                  <c:v>4.49582251865958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'Ratios by Size'!A11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Size'!$B$11:$F$11</c:f>
              <c:numCache>
                <c:formatCode>General</c:formatCode>
                <c:ptCount val="5"/>
                <c:pt idx="0">
                  <c:v>6.9234101580755</c:v>
                </c:pt>
                <c:pt idx="1">
                  <c:v>4.92719923558406</c:v>
                </c:pt>
                <c:pt idx="2">
                  <c:v>5.49881137894771</c:v>
                </c:pt>
                <c:pt idx="3">
                  <c:v>4.61478900630904</c:v>
                </c:pt>
                <c:pt idx="4">
                  <c:v>6.24259726419543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'Ratios by Size'!A12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Size'!$B$12:$F$12</c:f>
              <c:numCache>
                <c:formatCode>General</c:formatCode>
                <c:ptCount val="5"/>
                <c:pt idx="0">
                  <c:v>7.67037810665881</c:v>
                </c:pt>
                <c:pt idx="1">
                  <c:v>5.31418843258796</c:v>
                </c:pt>
                <c:pt idx="2">
                  <c:v>6.08606081683222</c:v>
                </c:pt>
                <c:pt idx="3">
                  <c:v>4.99600589168892</c:v>
                </c:pt>
                <c:pt idx="4">
                  <c:v>6.93925579332026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'Ratios by Size'!A13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Size'!$B$13:$F$13</c:f>
              <c:numCache>
                <c:formatCode>General</c:formatCode>
                <c:ptCount val="5"/>
                <c:pt idx="0">
                  <c:v>8.32471580900224</c:v>
                </c:pt>
                <c:pt idx="1">
                  <c:v>5.5997032172134</c:v>
                </c:pt>
                <c:pt idx="2">
                  <c:v>6.50374253670241</c:v>
                </c:pt>
                <c:pt idx="3">
                  <c:v>5.32415175277805</c:v>
                </c:pt>
                <c:pt idx="4">
                  <c:v>7.61743786038122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911539"/>
        <c:axId val="78340147"/>
      </c:lineChart>
      <c:catAx>
        <c:axId val="5091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40147"/>
        <c:crosses val="autoZero"/>
        <c:auto val="1"/>
        <c:lblAlgn val="ctr"/>
        <c:lblOffset val="100"/>
        <c:noMultiLvlLbl val="0"/>
      </c:catAx>
      <c:valAx>
        <c:axId val="78340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1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Chained: ratio over the whole chain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'Ratios by Size'!A18</c:f>
              <c:strCache>
                <c:ptCount val="1"/>
                <c:pt idx="0">
                  <c:v>-&gt; CompressedStore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Size'!$B$18:$F$18</c:f>
              <c:numCache>
                <c:formatCode>General</c:formatCode>
                <c:ptCount val="5"/>
                <c:pt idx="0">
                  <c:v>2.78979915041077</c:v>
                </c:pt>
                <c:pt idx="1">
                  <c:v>2.83733632197932</c:v>
                </c:pt>
                <c:pt idx="2">
                  <c:v>2.84226570077487</c:v>
                </c:pt>
                <c:pt idx="3">
                  <c:v>2.84333649652937</c:v>
                </c:pt>
                <c:pt idx="4">
                  <c:v>2.84630198604811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'Ratios by Size'!A19</c:f>
              <c:strCache>
                <c:ptCount val="1"/>
                <c:pt idx="0">
                  <c:v>-&gt; LossyStore lossless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Size'!$B$19:$F$19</c:f>
              <c:numCache>
                <c:formatCode>General</c:formatCode>
                <c:ptCount val="5"/>
                <c:pt idx="0">
                  <c:v>3.79192716286043</c:v>
                </c:pt>
                <c:pt idx="1">
                  <c:v>3.16932605750261</c:v>
                </c:pt>
                <c:pt idx="2">
                  <c:v>3.41276587446204</c:v>
                </c:pt>
                <c:pt idx="3">
                  <c:v>3.04712684581506</c:v>
                </c:pt>
                <c:pt idx="4">
                  <c:v>3.71249766312699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'Ratios by Size'!A20</c:f>
              <c:strCache>
                <c:ptCount val="1"/>
                <c:pt idx="0">
                  <c:v>-&gt; LossyStore 0.1%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Size'!$B$20:$F$20</c:f>
              <c:numCache>
                <c:formatCode>General</c:formatCode>
                <c:ptCount val="5"/>
                <c:pt idx="0">
                  <c:v>5.03912773135105</c:v>
                </c:pt>
                <c:pt idx="1">
                  <c:v>3.92095396332946</c:v>
                </c:pt>
                <c:pt idx="2">
                  <c:v>4.25204799627037</c:v>
                </c:pt>
                <c:pt idx="3">
                  <c:v>3.70009309651975</c:v>
                </c:pt>
                <c:pt idx="4">
                  <c:v>4.73463997470362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'Ratios by Size'!A21</c:f>
              <c:strCache>
                <c:ptCount val="1"/>
                <c:pt idx="0">
                  <c:v>-&gt; LossyStore 1%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Size'!$B$21:$F$21</c:f>
              <c:numCache>
                <c:formatCode>General</c:formatCode>
                <c:ptCount val="5"/>
                <c:pt idx="0">
                  <c:v>5.39651984030236</c:v>
                </c:pt>
                <c:pt idx="1">
                  <c:v>4.14483153194428</c:v>
                </c:pt>
                <c:pt idx="2">
                  <c:v>4.57180597679004</c:v>
                </c:pt>
                <c:pt idx="3">
                  <c:v>3.92316519385243</c:v>
                </c:pt>
                <c:pt idx="4">
                  <c:v>5.09773306764567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'Ratios by Size'!A22</c:f>
              <c:strCache>
                <c:ptCount val="1"/>
                <c:pt idx="0">
                  <c:v>-&gt; LossyStore 5%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Size'!$B$22:$F$22</c:f>
              <c:numCache>
                <c:formatCode>General</c:formatCode>
                <c:ptCount val="5"/>
                <c:pt idx="0">
                  <c:v>5.68178894288816</c:v>
                </c:pt>
                <c:pt idx="1">
                  <c:v>4.30489248584774</c:v>
                </c:pt>
                <c:pt idx="2">
                  <c:v>4.78856291669909</c:v>
                </c:pt>
                <c:pt idx="3">
                  <c:v>4.11097220335997</c:v>
                </c:pt>
                <c:pt idx="4">
                  <c:v>5.42912458712199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06850"/>
        <c:axId val="98881858"/>
      </c:lineChart>
      <c:catAx>
        <c:axId val="66206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1858"/>
        <c:crosses val="autoZero"/>
        <c:auto val="1"/>
        <c:lblAlgn val="ctr"/>
        <c:lblOffset val="100"/>
        <c:noMultiLvlLbl val="0"/>
      </c:catAx>
      <c:valAx>
        <c:axId val="98881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06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Chained: ratio achieved by the tail codec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'Ratios by Size'!A27</c:f>
              <c:strCache>
                <c:ptCount val="1"/>
                <c:pt idx="0">
                  <c:v>-&gt; CompressedStore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Size'!$B$26:$F$26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Size'!$B$27:$F$27</c:f>
              <c:numCache>
                <c:formatCode>General</c:formatCode>
                <c:ptCount val="5"/>
                <c:pt idx="0">
                  <c:v>3.19057360181699</c:v>
                </c:pt>
                <c:pt idx="1">
                  <c:v>3.25736844857337</c:v>
                </c:pt>
                <c:pt idx="2">
                  <c:v>3.26432404815657</c:v>
                </c:pt>
                <c:pt idx="3">
                  <c:v>3.26583572523886</c:v>
                </c:pt>
                <c:pt idx="4">
                  <c:v>3.27002356540666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'Ratios by Size'!A28</c:f>
              <c:strCache>
                <c:ptCount val="1"/>
                <c:pt idx="0">
                  <c:v>-&gt; LossyStore lossless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Size'!$B$26:$F$26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Size'!$B$28:$F$28</c:f>
              <c:numCache>
                <c:formatCode>General</c:formatCode>
                <c:ptCount val="5"/>
                <c:pt idx="0">
                  <c:v>4.71599639864057</c:v>
                </c:pt>
                <c:pt idx="1">
                  <c:v>3.73850644924834</c:v>
                </c:pt>
                <c:pt idx="2">
                  <c:v>4.10846553784454</c:v>
                </c:pt>
                <c:pt idx="3">
                  <c:v>3.55836355995479</c:v>
                </c:pt>
                <c:pt idx="4">
                  <c:v>4.58541962778813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'Ratios by Size'!A29</c:f>
              <c:strCache>
                <c:ptCount val="1"/>
                <c:pt idx="0">
                  <c:v>-&gt; LossyStore 0.1%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Size'!$B$26:$F$26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Size'!$B$29:$F$29</c:f>
              <c:numCache>
                <c:formatCode>General</c:formatCode>
                <c:ptCount val="5"/>
                <c:pt idx="0">
                  <c:v>7.0327298433865</c:v>
                </c:pt>
                <c:pt idx="1">
                  <c:v>4.93201116323259</c:v>
                </c:pt>
                <c:pt idx="2">
                  <c:v>5.50951755739015</c:v>
                </c:pt>
                <c:pt idx="3">
                  <c:v>4.56518951174934</c:v>
                </c:pt>
                <c:pt idx="4">
                  <c:v>6.41641631822251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'Ratios by Size'!A30</c:f>
              <c:strCache>
                <c:ptCount val="1"/>
                <c:pt idx="0">
                  <c:v>-&gt; LossyStore 1%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Size'!$B$26:$F$26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Size'!$B$30:$F$30</c:f>
              <c:numCache>
                <c:formatCode>General</c:formatCode>
                <c:ptCount val="5"/>
                <c:pt idx="0">
                  <c:v>7.80472598786212</c:v>
                </c:pt>
                <c:pt idx="1">
                  <c:v>5.31873609401538</c:v>
                </c:pt>
                <c:pt idx="2">
                  <c:v>6.10125026671502</c:v>
                </c:pt>
                <c:pt idx="3">
                  <c:v>4.93575607115032</c:v>
                </c:pt>
                <c:pt idx="4">
                  <c:v>7.15559597147487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'Ratios by Size'!A31</c:f>
              <c:strCache>
                <c:ptCount val="1"/>
                <c:pt idx="0">
                  <c:v>-&gt; LossyStore 5%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Size'!$B$26:$F$26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Size'!$B$31:$F$31</c:f>
              <c:numCache>
                <c:formatCode>General</c:formatCode>
                <c:ptCount val="5"/>
                <c:pt idx="0">
                  <c:v>8.46232465772476</c:v>
                </c:pt>
                <c:pt idx="1">
                  <c:v>5.60492457187416</c:v>
                </c:pt>
                <c:pt idx="2">
                  <c:v>6.52294720466311</c:v>
                </c:pt>
                <c:pt idx="3">
                  <c:v>5.25924980426487</c:v>
                </c:pt>
                <c:pt idx="4">
                  <c:v>7.87795209799001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3022"/>
        <c:axId val="52433254"/>
      </c:lineChart>
      <c:catAx>
        <c:axId val="6623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33254"/>
        <c:crosses val="autoZero"/>
        <c:auto val="1"/>
        <c:lblAlgn val="ctr"/>
        <c:lblOffset val="100"/>
        <c:noMultiLvlLbl val="0"/>
      </c:catAx>
      <c:valAx>
        <c:axId val="52433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3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Fraction of the codec's ratio the chain keeps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'Ratios by Size'!A36</c:f>
              <c:strCache>
                <c:ptCount val="1"/>
                <c:pt idx="0">
                  <c:v>-&gt; CompressedStore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Size'!$B$35:$F$35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Size'!$B$36:$F$36</c:f>
              <c:numCache>
                <c:formatCode>General</c:formatCode>
                <c:ptCount val="5"/>
                <c:pt idx="0">
                  <c:v>1.14365709852167</c:v>
                </c:pt>
                <c:pt idx="1">
                  <c:v>1.14803748267003</c:v>
                </c:pt>
                <c:pt idx="2">
                  <c:v>1.14849362860997</c:v>
                </c:pt>
                <c:pt idx="3">
                  <c:v>1.14859276389735</c:v>
                </c:pt>
                <c:pt idx="4">
                  <c:v>1.14886740108236</c:v>
                </c:pt>
              </c:numCache>
            </c:numRef>
          </c:val>
        </c:ser>
        <c:ser>
          <c:idx val="1"/>
          <c:order val="1"/>
          <c:tx>
            <c:strRef>
              <c:f>'Ratios by Size'!A37</c:f>
              <c:strCache>
                <c:ptCount val="1"/>
                <c:pt idx="0">
                  <c:v>-&gt; LossyStore lossless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Size'!$B$35:$F$35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Size'!$B$37:$F$37</c:f>
              <c:numCache>
                <c:formatCode>General</c:formatCode>
                <c:ptCount val="5"/>
                <c:pt idx="0">
                  <c:v>1.24369382535372</c:v>
                </c:pt>
                <c:pt idx="1">
                  <c:v>1.17959035498993</c:v>
                </c:pt>
                <c:pt idx="2">
                  <c:v>1.20385215071109</c:v>
                </c:pt>
                <c:pt idx="3">
                  <c:v>1.16777664337862</c:v>
                </c:pt>
                <c:pt idx="4">
                  <c:v>1.23513064353713</c:v>
                </c:pt>
              </c:numCache>
            </c:numRef>
          </c:val>
        </c:ser>
        <c:ser>
          <c:idx val="2"/>
          <c:order val="2"/>
          <c:tx>
            <c:strRef>
              <c:f>'Ratios by Size'!A38</c:f>
              <c:strCache>
                <c:ptCount val="1"/>
                <c:pt idx="0">
                  <c:v>-&gt; LossyStore 0.1%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Size'!$B$35:$F$35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Size'!$B$38:$F$38</c:f>
              <c:numCache>
                <c:formatCode>General</c:formatCode>
                <c:ptCount val="5"/>
                <c:pt idx="0">
                  <c:v>1.39562444500706</c:v>
                </c:pt>
                <c:pt idx="1">
                  <c:v>1.25786000278478</c:v>
                </c:pt>
                <c:pt idx="2">
                  <c:v>1.29573268275023</c:v>
                </c:pt>
                <c:pt idx="3">
                  <c:v>1.23380395916073</c:v>
                </c:pt>
                <c:pt idx="4">
                  <c:v>1.355206806115</c:v>
                </c:pt>
              </c:numCache>
            </c:numRef>
          </c:val>
        </c:ser>
        <c:ser>
          <c:idx val="3"/>
          <c:order val="3"/>
          <c:tx>
            <c:strRef>
              <c:f>'Ratios by Size'!A39</c:f>
              <c:strCache>
                <c:ptCount val="1"/>
                <c:pt idx="0">
                  <c:v>-&gt; LossyStore 1%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Size'!$B$35:$F$35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Size'!$B$39:$F$39</c:f>
              <c:numCache>
                <c:formatCode>General</c:formatCode>
                <c:ptCount val="5"/>
                <c:pt idx="0">
                  <c:v>1.4462516990255</c:v>
                </c:pt>
                <c:pt idx="1">
                  <c:v>1.28322129693904</c:v>
                </c:pt>
                <c:pt idx="2">
                  <c:v>1.33453831979957</c:v>
                </c:pt>
                <c:pt idx="3">
                  <c:v>1.25810559261807</c:v>
                </c:pt>
                <c:pt idx="4">
                  <c:v>1.4036819653995</c:v>
                </c:pt>
              </c:numCache>
            </c:numRef>
          </c:val>
        </c:ser>
        <c:ser>
          <c:idx val="4"/>
          <c:order val="4"/>
          <c:tx>
            <c:strRef>
              <c:f>'Ratios by Size'!A40</c:f>
              <c:strCache>
                <c:ptCount val="1"/>
                <c:pt idx="0">
                  <c:v>-&gt; LossyStore 5%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'Ratios by Size'!$B$35:$F$35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'Ratios by Size'!$B$40:$F$40</c:f>
              <c:numCache>
                <c:formatCode>General</c:formatCode>
                <c:ptCount val="5"/>
                <c:pt idx="0">
                  <c:v>1.48937680416957</c:v>
                </c:pt>
                <c:pt idx="1">
                  <c:v>1.30198944347629</c:v>
                </c:pt>
                <c:pt idx="2">
                  <c:v>1.36219306671647</c:v>
                </c:pt>
                <c:pt idx="3">
                  <c:v>1.27932020556266</c:v>
                </c:pt>
                <c:pt idx="4">
                  <c:v>1.45105384331697</c:v>
                </c:pt>
              </c:numCache>
            </c:numRef>
          </c:val>
        </c:ser>
        <c:gapWidth val="60"/>
        <c:overlap val="0"/>
        <c:axId val="22945812"/>
        <c:axId val="10268238"/>
      </c:barChart>
      <c:catAx>
        <c:axId val="22945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8238"/>
        <c:crosses val="autoZero"/>
        <c:auto val="1"/>
        <c:lblAlgn val="ctr"/>
        <c:lblOffset val="100"/>
        <c:noMultiLvlLbl val="0"/>
      </c:catAx>
      <c:valAx>
        <c:axId val="10268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45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Standalone LossyStore: ratio by bound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'Accuracy Tradeoff'!A6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Tradeoff'!$B$5:$F$5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Tradeoff'!$B$6:$F$6</c:f>
              <c:numCache>
                <c:formatCode>General</c:formatCode>
                <c:ptCount val="5"/>
                <c:pt idx="0">
                  <c:v>4.640836672371</c:v>
                </c:pt>
                <c:pt idx="1">
                  <c:v>3.73578274930888</c:v>
                </c:pt>
                <c:pt idx="2">
                  <c:v>4.10133468481401</c:v>
                </c:pt>
                <c:pt idx="3">
                  <c:v>3.58846876958429</c:v>
                </c:pt>
                <c:pt idx="4">
                  <c:v>4.49582251865958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'Accuracy Tradeoff'!A7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Tradeoff'!$B$5:$F$5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Tradeoff'!$B$7:$F$7</c:f>
              <c:numCache>
                <c:formatCode>General</c:formatCode>
                <c:ptCount val="5"/>
                <c:pt idx="0">
                  <c:v>6.9234101580755</c:v>
                </c:pt>
                <c:pt idx="1">
                  <c:v>4.92719923558406</c:v>
                </c:pt>
                <c:pt idx="2">
                  <c:v>5.49881137894771</c:v>
                </c:pt>
                <c:pt idx="3">
                  <c:v>4.61478900630904</c:v>
                </c:pt>
                <c:pt idx="4">
                  <c:v>6.24259726419543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'Accuracy Tradeoff'!A8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Tradeoff'!$B$5:$F$5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Tradeoff'!$B$8:$F$8</c:f>
              <c:numCache>
                <c:formatCode>General</c:formatCode>
                <c:ptCount val="5"/>
                <c:pt idx="0">
                  <c:v>7.67037810665881</c:v>
                </c:pt>
                <c:pt idx="1">
                  <c:v>5.31418843258796</c:v>
                </c:pt>
                <c:pt idx="2">
                  <c:v>6.08606081683222</c:v>
                </c:pt>
                <c:pt idx="3">
                  <c:v>4.99600589168892</c:v>
                </c:pt>
                <c:pt idx="4">
                  <c:v>6.93925579332026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'Accuracy Tradeoff'!A9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Tradeoff'!$B$5:$F$5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Tradeoff'!$B$9:$F$9</c:f>
              <c:numCache>
                <c:formatCode>General</c:formatCode>
                <c:ptCount val="5"/>
                <c:pt idx="0">
                  <c:v>8.32471580900224</c:v>
                </c:pt>
                <c:pt idx="1">
                  <c:v>5.5997032172134</c:v>
                </c:pt>
                <c:pt idx="2">
                  <c:v>6.50374253670241</c:v>
                </c:pt>
                <c:pt idx="3">
                  <c:v>5.32415175277805</c:v>
                </c:pt>
                <c:pt idx="4">
                  <c:v>7.61743786038122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097250"/>
        <c:axId val="80753280"/>
      </c:lineChart>
      <c:catAx>
        <c:axId val="33097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3280"/>
        <c:crosses val="autoZero"/>
        <c:auto val="1"/>
        <c:lblAlgn val="ctr"/>
        <c:lblOffset val="100"/>
        <c:noMultiLvlLbl val="0"/>
      </c:catAx>
      <c:valAx>
        <c:axId val="80753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7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Chained LossyStore: ratio achieved by the codec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'Accuracy Tradeoff'!A14</c:f>
              <c:strCache>
                <c:ptCount val="1"/>
                <c:pt idx="0">
                  <c:v>-&gt; LossyStore lossless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Tradeoff'!$B$13:$F$13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Tradeoff'!$B$14:$F$14</c:f>
              <c:numCache>
                <c:formatCode>General</c:formatCode>
                <c:ptCount val="5"/>
                <c:pt idx="0">
                  <c:v>4.71599639864057</c:v>
                </c:pt>
                <c:pt idx="1">
                  <c:v>3.73850644924834</c:v>
                </c:pt>
                <c:pt idx="2">
                  <c:v>4.10846553784454</c:v>
                </c:pt>
                <c:pt idx="3">
                  <c:v>3.55836355995479</c:v>
                </c:pt>
                <c:pt idx="4">
                  <c:v>4.58541962778813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'Accuracy Tradeoff'!A15</c:f>
              <c:strCache>
                <c:ptCount val="1"/>
                <c:pt idx="0">
                  <c:v>-&gt; LossyStore 0.1%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Tradeoff'!$B$13:$F$13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Tradeoff'!$B$15:$F$15</c:f>
              <c:numCache>
                <c:formatCode>General</c:formatCode>
                <c:ptCount val="5"/>
                <c:pt idx="0">
                  <c:v>7.0327298433865</c:v>
                </c:pt>
                <c:pt idx="1">
                  <c:v>4.93201116323259</c:v>
                </c:pt>
                <c:pt idx="2">
                  <c:v>5.50951755739015</c:v>
                </c:pt>
                <c:pt idx="3">
                  <c:v>4.56518951174934</c:v>
                </c:pt>
                <c:pt idx="4">
                  <c:v>6.41641631822251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'Accuracy Tradeoff'!A16</c:f>
              <c:strCache>
                <c:ptCount val="1"/>
                <c:pt idx="0">
                  <c:v>-&gt; LossyStore 1%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Tradeoff'!$B$13:$F$13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Tradeoff'!$B$16:$F$16</c:f>
              <c:numCache>
                <c:formatCode>General</c:formatCode>
                <c:ptCount val="5"/>
                <c:pt idx="0">
                  <c:v>7.80472598786212</c:v>
                </c:pt>
                <c:pt idx="1">
                  <c:v>5.31873609401538</c:v>
                </c:pt>
                <c:pt idx="2">
                  <c:v>6.10125026671502</c:v>
                </c:pt>
                <c:pt idx="3">
                  <c:v>4.93575607115032</c:v>
                </c:pt>
                <c:pt idx="4">
                  <c:v>7.15559597147487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'Accuracy Tradeoff'!A17</c:f>
              <c:strCache>
                <c:ptCount val="1"/>
                <c:pt idx="0">
                  <c:v>-&gt; LossyStore 5%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Tradeoff'!$B$13:$F$13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Tradeoff'!$B$17:$F$17</c:f>
              <c:numCache>
                <c:formatCode>General</c:formatCode>
                <c:ptCount val="5"/>
                <c:pt idx="0">
                  <c:v>8.46232465772476</c:v>
                </c:pt>
                <c:pt idx="1">
                  <c:v>5.60492457187416</c:v>
                </c:pt>
                <c:pt idx="2">
                  <c:v>6.52294720466311</c:v>
                </c:pt>
                <c:pt idx="3">
                  <c:v>5.25924980426487</c:v>
                </c:pt>
                <c:pt idx="4">
                  <c:v>7.87795209799001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261215"/>
        <c:axId val="54509519"/>
      </c:lineChart>
      <c:catAx>
        <c:axId val="63261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09519"/>
        <c:crosses val="autoZero"/>
        <c:auto val="1"/>
        <c:lblAlgn val="ctr"/>
        <c:lblOffset val="100"/>
        <c:noMultiLvlLbl val="0"/>
      </c:catAx>
      <c:valAx>
        <c:axId val="54509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61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Gain over lossless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'Accuracy Tradeoff'!A23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Tradeoff'!$B$22:$F$22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Tradeoff'!$B$23:$F$23</c:f>
              <c:numCache>
                <c:formatCode>General</c:formatCode>
                <c:ptCount val="5"/>
                <c:pt idx="0">
                  <c:v>1.49184525266612</c:v>
                </c:pt>
                <c:pt idx="1">
                  <c:v>1.31892017449237</c:v>
                </c:pt>
                <c:pt idx="2">
                  <c:v>1.34073705306425</c:v>
                </c:pt>
                <c:pt idx="3">
                  <c:v>1.28600506305748</c:v>
                </c:pt>
                <c:pt idx="4">
                  <c:v>1.38853285206122</c:v>
                </c:pt>
              </c:numCache>
            </c:numRef>
          </c:val>
        </c:ser>
        <c:ser>
          <c:idx val="1"/>
          <c:order val="1"/>
          <c:tx>
            <c:strRef>
              <c:f>'Accuracy Tradeoff'!A24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Tradeoff'!$B$22:$F$22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Tradeoff'!$B$24:$F$24</c:f>
              <c:numCache>
                <c:formatCode>General</c:formatCode>
                <c:ptCount val="5"/>
                <c:pt idx="0">
                  <c:v>1.65280070128821</c:v>
                </c:pt>
                <c:pt idx="1">
                  <c:v>1.42251003048051</c:v>
                </c:pt>
                <c:pt idx="2">
                  <c:v>1.48392201186776</c:v>
                </c:pt>
                <c:pt idx="3">
                  <c:v>1.39223892208143</c:v>
                </c:pt>
                <c:pt idx="4">
                  <c:v>1.54348970950686</c:v>
                </c:pt>
              </c:numCache>
            </c:numRef>
          </c:val>
        </c:ser>
        <c:ser>
          <c:idx val="2"/>
          <c:order val="2"/>
          <c:tx>
            <c:strRef>
              <c:f>'Accuracy Tradeoff'!A25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'Accuracy Tradeoff'!$B$22:$F$22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'Accuracy Tradeoff'!$B$25:$F$25</c:f>
              <c:numCache>
                <c:formatCode>General</c:formatCode>
                <c:ptCount val="5"/>
                <c:pt idx="0">
                  <c:v>1.79379633387295</c:v>
                </c:pt>
                <c:pt idx="1">
                  <c:v>1.49893706165042</c:v>
                </c:pt>
                <c:pt idx="2">
                  <c:v>1.58576244966883</c:v>
                </c:pt>
                <c:pt idx="3">
                  <c:v>1.48368345794321</c:v>
                </c:pt>
                <c:pt idx="4">
                  <c:v>1.69433687134348</c:v>
                </c:pt>
              </c:numCache>
            </c:numRef>
          </c:val>
        </c:ser>
        <c:gapWidth val="60"/>
        <c:overlap val="0"/>
        <c:axId val="19171643"/>
        <c:axId val="62489853"/>
      </c:barChart>
      <c:catAx>
        <c:axId val="19171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89853"/>
        <c:crosses val="autoZero"/>
        <c:auto val="1"/>
        <c:lblAlgn val="ctr"/>
        <c:lblOffset val="100"/>
        <c:noMultiLvlLbl val="0"/>
      </c:catAx>
      <c:valAx>
        <c:axId val="62489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716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Framing share of the 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'Overhead and Timing'!A7</c:f>
              <c:strCache>
                <c:ptCount val="1"/>
                <c:pt idx="0">
                  <c:v>MemoryStore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'Overhead and Timing'!A8</c:f>
              <c:strCache>
                <c:ptCount val="1"/>
                <c:pt idx="0">
                  <c:v>FileStore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Timing'!$B$8:$F$8</c:f>
              <c:numCache>
                <c:formatCode>General</c:formatCode>
                <c:ptCount val="5"/>
                <c:pt idx="0">
                  <c:v>0.00377779801838163</c:v>
                </c:pt>
                <c:pt idx="1">
                  <c:v>0.00104818063241896</c:v>
                </c:pt>
                <c:pt idx="2">
                  <c:v>0.000363437475901739</c:v>
                </c:pt>
                <c:pt idx="3">
                  <c:v>0.000192104985017239</c:v>
                </c:pt>
                <c:pt idx="4">
                  <c:v>0.000149262685185714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'Overhead and Timing'!A9</c:f>
              <c:strCache>
                <c:ptCount val="1"/>
                <c:pt idx="0">
                  <c:v>CompressedStore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Timing'!$B$9:$F$9</c:f>
              <c:numCache>
                <c:formatCode>General</c:formatCode>
                <c:ptCount val="5"/>
                <c:pt idx="0">
                  <c:v>0.00807590905853408</c:v>
                </c:pt>
                <c:pt idx="1">
                  <c:v>0.00226520936650148</c:v>
                </c:pt>
                <c:pt idx="2">
                  <c:v>0.000746454486978743</c:v>
                </c:pt>
                <c:pt idx="3">
                  <c:v>0.000363805970149254</c:v>
                </c:pt>
                <c:pt idx="4">
                  <c:v>0.000268535518200579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'Overhead and Timing'!A10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Timing'!$B$10:$F$10</c:f>
              <c:numCache>
                <c:formatCode>General</c:formatCode>
                <c:ptCount val="5"/>
                <c:pt idx="0">
                  <c:v>0.0629690745665974</c:v>
                </c:pt>
                <c:pt idx="1">
                  <c:v>0.0136040186931877</c:v>
                </c:pt>
                <c:pt idx="2">
                  <c:v>0.00406276942288251</c:v>
                </c:pt>
                <c:pt idx="3">
                  <c:v>0.00114826582417836</c:v>
                </c:pt>
                <c:pt idx="4">
                  <c:v>0.000681932870528225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'Overhead and Timing'!A11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Timing'!$B$11:$F$11</c:f>
              <c:numCache>
                <c:formatCode>General</c:formatCode>
                <c:ptCount val="5"/>
                <c:pt idx="0">
                  <c:v>0.0911180928238181</c:v>
                </c:pt>
                <c:pt idx="1">
                  <c:v>0.0178651052342321</c:v>
                </c:pt>
                <c:pt idx="2">
                  <c:v>0.00543957530296091</c:v>
                </c:pt>
                <c:pt idx="3">
                  <c:v>0.00147619086802327</c:v>
                </c:pt>
                <c:pt idx="4">
                  <c:v>0.000946635379439302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'Overhead and Timing'!A12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Timing'!$B$12:$F$12</c:f>
              <c:numCache>
                <c:formatCode>General</c:formatCode>
                <c:ptCount val="5"/>
                <c:pt idx="0">
                  <c:v>0.0999660985607298</c:v>
                </c:pt>
                <c:pt idx="1">
                  <c:v>0.0192412574851414</c:v>
                </c:pt>
                <c:pt idx="2">
                  <c:v>0.00601700316513811</c:v>
                </c:pt>
                <c:pt idx="3">
                  <c:v>0.00159794066954961</c:v>
                </c:pt>
                <c:pt idx="4">
                  <c:v>0.00105216641063951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'Overhead and Timing'!A13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Timing'!$B$6:$F$6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Timing'!$B$13:$F$13</c:f>
              <c:numCache>
                <c:formatCode>General</c:formatCode>
                <c:ptCount val="5"/>
                <c:pt idx="0">
                  <c:v>0.107576523403764</c:v>
                </c:pt>
                <c:pt idx="1">
                  <c:v>0.0202540921613117</c:v>
                </c:pt>
                <c:pt idx="2">
                  <c:v>0.00642729141016158</c:v>
                </c:pt>
                <c:pt idx="3">
                  <c:v>0.00170271732424711</c:v>
                </c:pt>
                <c:pt idx="4">
                  <c:v>0.00115487718220837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271460"/>
        <c:axId val="99300210"/>
      </c:lineChart>
      <c:catAx>
        <c:axId val="75271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00210"/>
        <c:crosses val="autoZero"/>
        <c:auto val="1"/>
        <c:lblAlgn val="ctr"/>
        <c:lblOffset val="100"/>
        <c:noMultiLvlLbl val="0"/>
      </c:catAx>
      <c:valAx>
        <c:axId val="99300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disk_bytes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71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written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'Overhead and Timing'!A18</c:f>
              <c:strCache>
                <c:ptCount val="1"/>
                <c:pt idx="0">
                  <c:v>MemoryStore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Timing'!$B$18:$F$18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'Overhead and Timing'!A19</c:f>
              <c:strCache>
                <c:ptCount val="1"/>
                <c:pt idx="0">
                  <c:v>FileStore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Timing'!$B$19:$F$19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'Overhead and Timing'!A20</c:f>
              <c:strCache>
                <c:ptCount val="1"/>
                <c:pt idx="0">
                  <c:v>CompressedStore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Timing'!$B$20:$F$20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'Overhead and Timing'!A21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Timing'!$B$21:$F$21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'Overhead and Timing'!A22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Timing'!$B$22:$F$22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'Overhead and Timing'!A23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Timing'!$B$23:$F$23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'Overhead and Timing'!A24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Timing'!$B$17:$F$17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Timing'!$B$24:$F$24</c:f>
              <c:numCache>
                <c:formatCode>General</c:formatCode>
                <c:ptCount val="5"/>
                <c:pt idx="0">
                  <c:v>342</c:v>
                </c:pt>
                <c:pt idx="1">
                  <c:v>86</c:v>
                </c:pt>
                <c:pt idx="2">
                  <c:v>22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154066"/>
        <c:axId val="92313268"/>
      </c:lineChart>
      <c:catAx>
        <c:axId val="79154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13268"/>
        <c:crosses val="autoZero"/>
        <c:auto val="1"/>
        <c:lblAlgn val="ctr"/>
        <c:lblOffset val="100"/>
        <c:noMultiLvlLbl val="0"/>
      </c:catAx>
      <c:valAx>
        <c:axId val="9231326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54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Encode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'Overhead and Timing'!A28</c:f>
              <c:strCache>
                <c:ptCount val="1"/>
                <c:pt idx="0">
                  <c:v>MemoryStore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Timing'!$B$28:$F$28</c:f>
              <c:numCache>
                <c:formatCode>General</c:formatCode>
                <c:ptCount val="5"/>
                <c:pt idx="0">
                  <c:v>0.6759</c:v>
                </c:pt>
                <c:pt idx="1">
                  <c:v>0.6934</c:v>
                </c:pt>
                <c:pt idx="2">
                  <c:v>0.7453</c:v>
                </c:pt>
                <c:pt idx="3">
                  <c:v>0.653</c:v>
                </c:pt>
                <c:pt idx="4">
                  <c:v>0.6585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'Overhead and Timing'!A29</c:f>
              <c:strCache>
                <c:ptCount val="1"/>
                <c:pt idx="0">
                  <c:v>FileStore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Timing'!$B$29:$F$29</c:f>
              <c:numCache>
                <c:formatCode>General</c:formatCode>
                <c:ptCount val="5"/>
                <c:pt idx="0">
                  <c:v>0.6804</c:v>
                </c:pt>
                <c:pt idx="1">
                  <c:v>0.6688</c:v>
                </c:pt>
                <c:pt idx="2">
                  <c:v>0.7324</c:v>
                </c:pt>
                <c:pt idx="3">
                  <c:v>0.6875</c:v>
                </c:pt>
                <c:pt idx="4">
                  <c:v>0.6623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'Overhead and Timing'!A30</c:f>
              <c:strCache>
                <c:ptCount val="1"/>
                <c:pt idx="0">
                  <c:v>CompressedStore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Timing'!$B$30:$F$30</c:f>
              <c:numCache>
                <c:formatCode>General</c:formatCode>
                <c:ptCount val="5"/>
                <c:pt idx="0">
                  <c:v>0.7031</c:v>
                </c:pt>
                <c:pt idx="1">
                  <c:v>0.7695</c:v>
                </c:pt>
                <c:pt idx="2">
                  <c:v>0.6936</c:v>
                </c:pt>
                <c:pt idx="3">
                  <c:v>0.6715</c:v>
                </c:pt>
                <c:pt idx="4">
                  <c:v>0.6797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'Overhead and Timing'!A31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Timing'!$B$31:$F$31</c:f>
              <c:numCache>
                <c:formatCode>General</c:formatCode>
                <c:ptCount val="5"/>
                <c:pt idx="0">
                  <c:v>0.7157</c:v>
                </c:pt>
                <c:pt idx="1">
                  <c:v>0.6977</c:v>
                </c:pt>
                <c:pt idx="2">
                  <c:v>0.7072</c:v>
                </c:pt>
                <c:pt idx="3">
                  <c:v>0.6909</c:v>
                </c:pt>
                <c:pt idx="4">
                  <c:v>0.7017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'Overhead and Timing'!A32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Timing'!$B$32:$F$32</c:f>
              <c:numCache>
                <c:formatCode>General</c:formatCode>
                <c:ptCount val="5"/>
                <c:pt idx="0">
                  <c:v>0.7184</c:v>
                </c:pt>
                <c:pt idx="1">
                  <c:v>0.7177</c:v>
                </c:pt>
                <c:pt idx="2">
                  <c:v>0.7142</c:v>
                </c:pt>
                <c:pt idx="3">
                  <c:v>0.6916</c:v>
                </c:pt>
                <c:pt idx="4">
                  <c:v>0.6805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'Overhead and Timing'!A33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Timing'!$B$33:$F$33</c:f>
              <c:numCache>
                <c:formatCode>General</c:formatCode>
                <c:ptCount val="5"/>
                <c:pt idx="0">
                  <c:v>0.695</c:v>
                </c:pt>
                <c:pt idx="1">
                  <c:v>0.6953</c:v>
                </c:pt>
                <c:pt idx="2">
                  <c:v>0.717</c:v>
                </c:pt>
                <c:pt idx="3">
                  <c:v>0.6803</c:v>
                </c:pt>
                <c:pt idx="4">
                  <c:v>0.6573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'Overhead and Timing'!A34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Timing'!$B$27:$F$27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Timing'!$B$34:$F$34</c:f>
              <c:numCache>
                <c:formatCode>General</c:formatCode>
                <c:ptCount val="5"/>
                <c:pt idx="0">
                  <c:v>0.7438</c:v>
                </c:pt>
                <c:pt idx="1">
                  <c:v>0.7093</c:v>
                </c:pt>
                <c:pt idx="2">
                  <c:v>0.7075</c:v>
                </c:pt>
                <c:pt idx="3">
                  <c:v>0.6819</c:v>
                </c:pt>
                <c:pt idx="4">
                  <c:v>0.6817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142153"/>
        <c:axId val="28580613"/>
      </c:lineChart>
      <c:catAx>
        <c:axId val="82142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80613"/>
        <c:crosses val="autoZero"/>
        <c:auto val="1"/>
        <c:lblAlgn val="ctr"/>
        <c:lblOffset val="100"/>
        <c:noMultiLvlLbl val="0"/>
      </c:catAx>
      <c:valAx>
        <c:axId val="28580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42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Decode time (see the caveat above)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'Overhead and Timing'!A40</c:f>
              <c:strCache>
                <c:ptCount val="1"/>
                <c:pt idx="0">
                  <c:v>MemoryStore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Timing'!$B$40:$F$40</c:f>
              <c:numCache>
                <c:formatCode>General</c:formatCode>
                <c:ptCount val="5"/>
                <c:pt idx="0">
                  <c:v>0.4095</c:v>
                </c:pt>
                <c:pt idx="1">
                  <c:v>0.4331</c:v>
                </c:pt>
                <c:pt idx="2">
                  <c:v>0.4162</c:v>
                </c:pt>
                <c:pt idx="3">
                  <c:v>0.4373</c:v>
                </c:pt>
                <c:pt idx="4">
                  <c:v>0.427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'Overhead and Timing'!A41</c:f>
              <c:strCache>
                <c:ptCount val="1"/>
                <c:pt idx="0">
                  <c:v>FileStore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Timing'!$B$41:$F$41</c:f>
              <c:numCache>
                <c:formatCode>General</c:formatCode>
                <c:ptCount val="5"/>
                <c:pt idx="0">
                  <c:v>0.399</c:v>
                </c:pt>
                <c:pt idx="1">
                  <c:v>0.4381</c:v>
                </c:pt>
                <c:pt idx="2">
                  <c:v>0.431</c:v>
                </c:pt>
                <c:pt idx="3">
                  <c:v>0.4065</c:v>
                </c:pt>
                <c:pt idx="4">
                  <c:v>0.4198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'Overhead and Timing'!A42</c:f>
              <c:strCache>
                <c:ptCount val="1"/>
                <c:pt idx="0">
                  <c:v>CompressedStore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Timing'!$B$42:$F$42</c:f>
              <c:numCache>
                <c:formatCode>General</c:formatCode>
                <c:ptCount val="5"/>
                <c:pt idx="0">
                  <c:v>0.4097</c:v>
                </c:pt>
                <c:pt idx="1">
                  <c:v>0.4426</c:v>
                </c:pt>
                <c:pt idx="2">
                  <c:v>0.5869</c:v>
                </c:pt>
                <c:pt idx="3">
                  <c:v>2.1232</c:v>
                </c:pt>
                <c:pt idx="4">
                  <c:v>7.5978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'Overhead and Timing'!A43</c:f>
              <c:strCache>
                <c:ptCount val="1"/>
                <c:pt idx="0">
                  <c:v>LossyStore lossless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Timing'!$B$43:$F$43</c:f>
              <c:numCache>
                <c:formatCode>General</c:formatCode>
                <c:ptCount val="5"/>
                <c:pt idx="0">
                  <c:v>0.4167</c:v>
                </c:pt>
                <c:pt idx="1">
                  <c:v>0.4176</c:v>
                </c:pt>
                <c:pt idx="2">
                  <c:v>0.7512</c:v>
                </c:pt>
                <c:pt idx="3">
                  <c:v>2.8006</c:v>
                </c:pt>
                <c:pt idx="4">
                  <c:v>10.9161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'Overhead and Timing'!A44</c:f>
              <c:strCache>
                <c:ptCount val="1"/>
                <c:pt idx="0">
                  <c:v>LossyStore 0.1%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Timing'!$B$44:$F$44</c:f>
              <c:numCache>
                <c:formatCode>General</c:formatCode>
                <c:ptCount val="5"/>
                <c:pt idx="0">
                  <c:v>0.4371</c:v>
                </c:pt>
                <c:pt idx="1">
                  <c:v>0.4269</c:v>
                </c:pt>
                <c:pt idx="2">
                  <c:v>0.8139</c:v>
                </c:pt>
                <c:pt idx="3">
                  <c:v>2.7759</c:v>
                </c:pt>
                <c:pt idx="4">
                  <c:v>11.3982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'Overhead and Timing'!A45</c:f>
              <c:strCache>
                <c:ptCount val="1"/>
                <c:pt idx="0">
                  <c:v>LossyStore 1%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Timing'!$B$45:$F$45</c:f>
              <c:numCache>
                <c:formatCode>General</c:formatCode>
                <c:ptCount val="5"/>
                <c:pt idx="0">
                  <c:v>0.4221</c:v>
                </c:pt>
                <c:pt idx="1">
                  <c:v>0.426</c:v>
                </c:pt>
                <c:pt idx="2">
                  <c:v>0.8083</c:v>
                </c:pt>
                <c:pt idx="3">
                  <c:v>2.8354</c:v>
                </c:pt>
                <c:pt idx="4">
                  <c:v>13.3751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'Overhead and Timing'!A46</c:f>
              <c:strCache>
                <c:ptCount val="1"/>
                <c:pt idx="0">
                  <c:v>LossyStore 5%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'Overhead and Timing'!$B$39:$F$39</c:f>
              <c:strCache>
                <c:ptCount val="5"/>
                <c:pt idx="0">
                  <c:v>16 KB</c:v>
                </c:pt>
                <c:pt idx="1">
                  <c:v>64 KB</c:v>
                </c:pt>
                <c:pt idx="2">
                  <c:v>256 KB</c:v>
                </c:pt>
                <c:pt idx="3">
                  <c:v>1024 KB</c:v>
                </c:pt>
                <c:pt idx="4">
                  <c:v>4096 KB</c:v>
                </c:pt>
              </c:strCache>
            </c:strRef>
          </c:cat>
          <c:val>
            <c:numRef>
              <c:f>'Overhead and Timing'!$B$46:$F$46</c:f>
              <c:numCache>
                <c:formatCode>General</c:formatCode>
                <c:ptCount val="5"/>
                <c:pt idx="0">
                  <c:v>0.4027</c:v>
                </c:pt>
                <c:pt idx="1">
                  <c:v>0.4334</c:v>
                </c:pt>
                <c:pt idx="2">
                  <c:v>0.8157</c:v>
                </c:pt>
                <c:pt idx="3">
                  <c:v>2.8947</c:v>
                </c:pt>
                <c:pt idx="4">
                  <c:v>11.3411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076275"/>
        <c:axId val="23450613"/>
      </c:lineChart>
      <c:catAx>
        <c:axId val="23076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 size 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50613"/>
        <c:crosses val="autoZero"/>
        <c:auto val="1"/>
        <c:lblAlgn val="ctr"/>
        <c:lblOffset val="100"/>
        <c:noMultiLvlLbl val="0"/>
      </c:catAx>
      <c:valAx>
        <c:axId val="23450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76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4680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632088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17</xdr:col>
      <xdr:colOff>4680</xdr:colOff>
      <xdr:row>29</xdr:row>
      <xdr:rowOff>21960</xdr:rowOff>
    </xdr:to>
    <xdr:graphicFrame>
      <xdr:nvGraphicFramePr>
        <xdr:cNvPr id="1" name="Chart 2"/>
        <xdr:cNvGraphicFramePr/>
      </xdr:nvGraphicFramePr>
      <xdr:xfrm>
        <a:off x="6320880" y="2666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17</xdr:col>
      <xdr:colOff>4680</xdr:colOff>
      <xdr:row>38</xdr:row>
      <xdr:rowOff>22320</xdr:rowOff>
    </xdr:to>
    <xdr:graphicFrame>
      <xdr:nvGraphicFramePr>
        <xdr:cNvPr id="2" name="Chart 3"/>
        <xdr:cNvGraphicFramePr/>
      </xdr:nvGraphicFramePr>
      <xdr:xfrm>
        <a:off x="6320880" y="4381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17</xdr:col>
      <xdr:colOff>4680</xdr:colOff>
      <xdr:row>47</xdr:row>
      <xdr:rowOff>21960</xdr:rowOff>
    </xdr:to>
    <xdr:graphicFrame>
      <xdr:nvGraphicFramePr>
        <xdr:cNvPr id="3" name="Chart 4"/>
        <xdr:cNvGraphicFramePr/>
      </xdr:nvGraphicFramePr>
      <xdr:xfrm>
        <a:off x="6320880" y="6095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4680</xdr:colOff>
      <xdr:row>18</xdr:row>
      <xdr:rowOff>22320</xdr:rowOff>
    </xdr:to>
    <xdr:graphicFrame>
      <xdr:nvGraphicFramePr>
        <xdr:cNvPr id="4" name="Chart 1"/>
        <xdr:cNvGraphicFramePr/>
      </xdr:nvGraphicFramePr>
      <xdr:xfrm>
        <a:off x="632088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17</xdr:col>
      <xdr:colOff>4680</xdr:colOff>
      <xdr:row>26</xdr:row>
      <xdr:rowOff>22320</xdr:rowOff>
    </xdr:to>
    <xdr:graphicFrame>
      <xdr:nvGraphicFramePr>
        <xdr:cNvPr id="5" name="Chart 2"/>
        <xdr:cNvGraphicFramePr/>
      </xdr:nvGraphicFramePr>
      <xdr:xfrm>
        <a:off x="632088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17</xdr:col>
      <xdr:colOff>4680</xdr:colOff>
      <xdr:row>34</xdr:row>
      <xdr:rowOff>21960</xdr:rowOff>
    </xdr:to>
    <xdr:graphicFrame>
      <xdr:nvGraphicFramePr>
        <xdr:cNvPr id="6" name="Chart 3"/>
        <xdr:cNvGraphicFramePr/>
      </xdr:nvGraphicFramePr>
      <xdr:xfrm>
        <a:off x="6320880" y="3619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4680</xdr:colOff>
      <xdr:row>18</xdr:row>
      <xdr:rowOff>22320</xdr:rowOff>
    </xdr:to>
    <xdr:graphicFrame>
      <xdr:nvGraphicFramePr>
        <xdr:cNvPr id="7" name="Chart 1"/>
        <xdr:cNvGraphicFramePr/>
      </xdr:nvGraphicFramePr>
      <xdr:xfrm>
        <a:off x="632088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17</xdr:col>
      <xdr:colOff>4680</xdr:colOff>
      <xdr:row>29</xdr:row>
      <xdr:rowOff>21960</xdr:rowOff>
    </xdr:to>
    <xdr:graphicFrame>
      <xdr:nvGraphicFramePr>
        <xdr:cNvPr id="8" name="Chart 2"/>
        <xdr:cNvGraphicFramePr/>
      </xdr:nvGraphicFramePr>
      <xdr:xfrm>
        <a:off x="6320880" y="2666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17</xdr:col>
      <xdr:colOff>4680</xdr:colOff>
      <xdr:row>40</xdr:row>
      <xdr:rowOff>21960</xdr:rowOff>
    </xdr:to>
    <xdr:graphicFrame>
      <xdr:nvGraphicFramePr>
        <xdr:cNvPr id="9" name="Chart 3"/>
        <xdr:cNvGraphicFramePr/>
      </xdr:nvGraphicFramePr>
      <xdr:xfrm>
        <a:off x="6320880" y="4762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17</xdr:col>
      <xdr:colOff>4680</xdr:colOff>
      <xdr:row>51</xdr:row>
      <xdr:rowOff>21960</xdr:rowOff>
    </xdr:to>
    <xdr:graphicFrame>
      <xdr:nvGraphicFramePr>
        <xdr:cNvPr id="10" name="Chart 4"/>
        <xdr:cNvGraphicFramePr/>
      </xdr:nvGraphicFramePr>
      <xdr:xfrm>
        <a:off x="6320880" y="68580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2" min="1" style="1" width="24.65"/>
  </cols>
  <sheetData>
    <row r="1" customFormat="false" ht="17.25" hidden="false" customHeight="true" outlineLevel="0" collapsed="false">
      <c r="A1" s="2" t="s">
        <v>0</v>
      </c>
    </row>
    <row r="2" customFormat="false" ht="12.75" hidden="false" customHeight="true" outlineLevel="0" collapsed="false">
      <c r="A2" s="3" t="s">
        <v>1</v>
      </c>
    </row>
    <row r="4" customFormat="false" ht="12.75" hidden="false" customHeight="true" outlineLevel="0" collapsed="false">
      <c r="A4" s="4" t="s">
        <v>2</v>
      </c>
      <c r="B4" s="4"/>
    </row>
    <row r="5" customFormat="false" ht="12.75" hidden="false" customHeight="true" outlineLevel="0" collapsed="false">
      <c r="A5" s="5" t="s">
        <v>3</v>
      </c>
      <c r="B5" s="5" t="s">
        <v>4</v>
      </c>
    </row>
    <row r="6" customFormat="false" ht="12.75" hidden="false" customHeight="true" outlineLevel="0" collapsed="false">
      <c r="A6" s="5" t="s">
        <v>5</v>
      </c>
      <c r="B6" s="5" t="s">
        <v>6</v>
      </c>
    </row>
    <row r="7" customFormat="false" ht="12.75" hidden="false" customHeight="true" outlineLevel="0" collapsed="false">
      <c r="A7" s="5" t="s">
        <v>7</v>
      </c>
      <c r="B7" s="6" t="n">
        <v>5278962</v>
      </c>
    </row>
    <row r="8" customFormat="false" ht="12.75" hidden="false" customHeight="true" outlineLevel="0" collapsed="false">
      <c r="A8" s="5" t="s">
        <v>8</v>
      </c>
      <c r="B8" s="6" t="n">
        <v>200001</v>
      </c>
    </row>
    <row r="9" customFormat="false" ht="12.75" hidden="false" customHeight="true" outlineLevel="0" collapsed="false">
      <c r="A9" s="5" t="s">
        <v>9</v>
      </c>
      <c r="B9" s="6" t="n">
        <v>4</v>
      </c>
    </row>
    <row r="10" customFormat="false" ht="12.75" hidden="false" customHeight="true" outlineLevel="0" collapsed="false">
      <c r="A10" s="5" t="s">
        <v>10</v>
      </c>
      <c r="B10" s="6" t="n">
        <v>28</v>
      </c>
    </row>
    <row r="11" customFormat="false" ht="12.75" hidden="false" customHeight="true" outlineLevel="0" collapsed="false">
      <c r="A11" s="5" t="s">
        <v>11</v>
      </c>
      <c r="B11" s="6" t="n">
        <v>5600028</v>
      </c>
    </row>
    <row r="12" customFormat="false" ht="12.75" hidden="false" customHeight="true" outlineLevel="0" collapsed="false">
      <c r="A12" s="5" t="s">
        <v>12</v>
      </c>
      <c r="B12" s="5" t="s">
        <v>13</v>
      </c>
    </row>
    <row r="13" customFormat="false" ht="12.75" hidden="false" customHeight="true" outlineLevel="0" collapsed="false">
      <c r="A13" s="5" t="s">
        <v>14</v>
      </c>
      <c r="B13" s="5" t="s">
        <v>15</v>
      </c>
    </row>
    <row r="14" customFormat="false" ht="12.75" hidden="false" customHeight="true" outlineLevel="0" collapsed="false">
      <c r="A14" s="5" t="s">
        <v>16</v>
      </c>
      <c r="B14" s="6" t="n">
        <v>2</v>
      </c>
    </row>
    <row r="15" customFormat="false" ht="12.75" hidden="false" customHeight="true" outlineLevel="0" collapsed="false">
      <c r="A15" s="5" t="s">
        <v>17</v>
      </c>
      <c r="B15" s="5" t="s">
        <v>18</v>
      </c>
    </row>
    <row r="16" customFormat="false" ht="12.75" hidden="false" customHeight="true" outlineLevel="0" collapsed="false">
      <c r="A16" s="5" t="s">
        <v>19</v>
      </c>
      <c r="B16" s="5" t="s">
        <v>20</v>
      </c>
    </row>
    <row r="18" customFormat="false" ht="12.75" hidden="false" customHeight="true" outlineLevel="0" collapsed="false">
      <c r="A18" s="4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23.25" hidden="false" customHeight="true" outlineLevel="0" collapsed="false">
      <c r="A19" s="7" t="s">
        <v>3</v>
      </c>
      <c r="B19" s="7" t="s">
        <v>22</v>
      </c>
      <c r="C19" s="7" t="s">
        <v>23</v>
      </c>
      <c r="D19" s="7" t="s">
        <v>24</v>
      </c>
      <c r="E19" s="7" t="s">
        <v>25</v>
      </c>
      <c r="F19" s="7" t="s">
        <v>26</v>
      </c>
      <c r="G19" s="7" t="s">
        <v>27</v>
      </c>
      <c r="H19" s="7" t="s">
        <v>28</v>
      </c>
      <c r="I19" s="7" t="s">
        <v>29</v>
      </c>
      <c r="J19" s="7" t="s">
        <v>30</v>
      </c>
      <c r="K19" s="7" t="s">
        <v>31</v>
      </c>
      <c r="L19" s="7" t="s">
        <v>32</v>
      </c>
      <c r="M19" s="7" t="s">
        <v>33</v>
      </c>
    </row>
    <row r="20" customFormat="false" ht="12.75" hidden="false" customHeight="true" outlineLevel="0" collapsed="false">
      <c r="A20" s="5" t="s">
        <v>4</v>
      </c>
      <c r="B20" s="5" t="s">
        <v>34</v>
      </c>
      <c r="C20" s="5" t="s">
        <v>35</v>
      </c>
      <c r="D20" s="6" t="n">
        <v>4</v>
      </c>
      <c r="E20" s="6" t="n">
        <v>1</v>
      </c>
      <c r="F20" s="6" t="n">
        <v>5</v>
      </c>
      <c r="G20" s="6" t="n">
        <v>26</v>
      </c>
      <c r="H20" s="6" t="n">
        <v>0.01</v>
      </c>
      <c r="I20" s="6" t="n">
        <v>0</v>
      </c>
      <c r="J20" s="6" t="n">
        <v>25</v>
      </c>
      <c r="K20" s="5"/>
      <c r="L20" s="5" t="s">
        <v>36</v>
      </c>
      <c r="M20" s="6" t="n">
        <v>6</v>
      </c>
    </row>
    <row r="21" customFormat="false" ht="12.75" hidden="false" customHeight="true" outlineLevel="0" collapsed="false">
      <c r="A21" s="5" t="s">
        <v>4</v>
      </c>
      <c r="B21" s="5" t="s">
        <v>37</v>
      </c>
      <c r="C21" s="5" t="s">
        <v>35</v>
      </c>
      <c r="D21" s="6" t="n">
        <v>4</v>
      </c>
      <c r="E21" s="6" t="n">
        <v>1</v>
      </c>
      <c r="F21" s="6" t="n">
        <v>5</v>
      </c>
      <c r="G21" s="6" t="n">
        <v>4</v>
      </c>
      <c r="H21" s="6" t="n">
        <v>0</v>
      </c>
      <c r="I21" s="6" t="n">
        <v>0</v>
      </c>
      <c r="J21" s="6" t="n">
        <v>3</v>
      </c>
      <c r="K21" s="5"/>
      <c r="L21" s="5" t="s">
        <v>36</v>
      </c>
      <c r="M21" s="6" t="n">
        <v>1</v>
      </c>
    </row>
    <row r="22" customFormat="false" ht="12.75" hidden="false" customHeight="true" outlineLevel="0" collapsed="false">
      <c r="A22" s="5" t="s">
        <v>4</v>
      </c>
      <c r="B22" s="5" t="s">
        <v>38</v>
      </c>
      <c r="C22" s="5" t="s">
        <v>39</v>
      </c>
      <c r="D22" s="6" t="n">
        <v>8</v>
      </c>
      <c r="E22" s="6" t="n">
        <v>1</v>
      </c>
      <c r="F22" s="6" t="n">
        <v>9</v>
      </c>
      <c r="G22" s="6" t="n">
        <v>80200</v>
      </c>
      <c r="H22" s="6" t="n">
        <v>40.1</v>
      </c>
      <c r="I22" s="6" t="n">
        <v>0.01</v>
      </c>
      <c r="J22" s="6" t="n">
        <v>900</v>
      </c>
      <c r="K22" s="5" t="s">
        <v>40</v>
      </c>
      <c r="L22" s="5" t="s">
        <v>41</v>
      </c>
      <c r="M22" s="6" t="n">
        <v>725.07</v>
      </c>
    </row>
    <row r="23" customFormat="false" ht="12.75" hidden="false" customHeight="true" outlineLevel="0" collapsed="false">
      <c r="A23" s="5" t="s">
        <v>4</v>
      </c>
      <c r="B23" s="5" t="s">
        <v>42</v>
      </c>
      <c r="C23" s="5" t="s">
        <v>43</v>
      </c>
      <c r="D23" s="6" t="n">
        <v>8</v>
      </c>
      <c r="E23" s="6" t="n">
        <v>1</v>
      </c>
      <c r="F23" s="6" t="n">
        <v>9</v>
      </c>
      <c r="G23" s="6" t="n">
        <v>66667</v>
      </c>
      <c r="H23" s="6" t="n">
        <v>33.33</v>
      </c>
      <c r="I23" s="6" t="n">
        <v>1000000000000</v>
      </c>
      <c r="J23" s="6" t="n">
        <v>1004000000000</v>
      </c>
      <c r="K23" s="5"/>
      <c r="L23" s="5" t="s">
        <v>36</v>
      </c>
      <c r="M23" s="6" t="n">
        <v>1000000000000</v>
      </c>
    </row>
    <row r="25" customFormat="false" ht="12.75" hidden="false" customHeight="true" outlineLevel="0" collapsed="false">
      <c r="A25" s="4" t="s">
        <v>44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75" hidden="false" customHeight="true" outlineLevel="0" collapsed="false">
      <c r="A26" s="5" t="s">
        <v>45</v>
      </c>
      <c r="B26" s="3" t="s">
        <v>46</v>
      </c>
    </row>
    <row r="27" customFormat="false" ht="12.75" hidden="false" customHeight="true" outlineLevel="0" collapsed="false">
      <c r="A27" s="5" t="s">
        <v>47</v>
      </c>
      <c r="B27" s="3" t="s">
        <v>48</v>
      </c>
    </row>
    <row r="28" customFormat="false" ht="12.75" hidden="false" customHeight="true" outlineLevel="0" collapsed="false">
      <c r="A28" s="5" t="s">
        <v>49</v>
      </c>
      <c r="B28" s="3" t="s">
        <v>50</v>
      </c>
    </row>
    <row r="29" customFormat="false" ht="12.75" hidden="false" customHeight="true" outlineLevel="0" collapsed="false">
      <c r="A29" s="5" t="s">
        <v>51</v>
      </c>
      <c r="B29" s="3" t="s">
        <v>52</v>
      </c>
    </row>
    <row r="30" customFormat="false" ht="12.75" hidden="false" customHeight="true" outlineLevel="0" collapsed="false">
      <c r="A30" s="5" t="s">
        <v>53</v>
      </c>
      <c r="B30" s="3" t="s">
        <v>54</v>
      </c>
    </row>
    <row r="31" customFormat="false" ht="12.75" hidden="false" customHeight="true" outlineLevel="0" collapsed="false">
      <c r="A31" s="5" t="s">
        <v>55</v>
      </c>
      <c r="B31" s="3" t="s">
        <v>56</v>
      </c>
    </row>
    <row r="32" customFormat="false" ht="12.75" hidden="false" customHeight="true" outlineLevel="0" collapsed="false">
      <c r="A32" s="5" t="s">
        <v>57</v>
      </c>
      <c r="B32" s="3" t="s">
        <v>58</v>
      </c>
    </row>
    <row r="33" customFormat="false" ht="12.75" hidden="false" customHeight="true" outlineLevel="0" collapsed="false">
      <c r="A33" s="5" t="s">
        <v>59</v>
      </c>
      <c r="B33" s="3" t="s">
        <v>60</v>
      </c>
    </row>
    <row r="34" customFormat="false" ht="12.75" hidden="false" customHeight="true" outlineLevel="0" collapsed="false">
      <c r="A34" s="5" t="s">
        <v>61</v>
      </c>
      <c r="B34" s="3" t="s">
        <v>62</v>
      </c>
    </row>
    <row r="35" customFormat="false" ht="12.75" hidden="false" customHeight="true" outlineLevel="0" collapsed="false">
      <c r="A35" s="5" t="s">
        <v>63</v>
      </c>
      <c r="B35" s="3" t="s">
        <v>64</v>
      </c>
    </row>
    <row r="36" customFormat="false" ht="12.75" hidden="false" customHeight="true" outlineLevel="0" collapsed="false">
      <c r="A36" s="5" t="s">
        <v>65</v>
      </c>
      <c r="B36" s="3" t="s">
        <v>66</v>
      </c>
    </row>
    <row r="37" customFormat="false" ht="12.75" hidden="false" customHeight="true" outlineLevel="0" collapsed="false">
      <c r="A37" s="5" t="s">
        <v>67</v>
      </c>
      <c r="B37" s="3" t="s">
        <v>68</v>
      </c>
    </row>
    <row r="38" customFormat="false" ht="12.75" hidden="false" customHeight="true" outlineLevel="0" collapsed="false">
      <c r="A38" s="5" t="s">
        <v>69</v>
      </c>
      <c r="B38" s="3" t="s">
        <v>70</v>
      </c>
    </row>
    <row r="39" customFormat="false" ht="12.75" hidden="false" customHeight="true" outlineLevel="0" collapsed="false">
      <c r="A39" s="5" t="s">
        <v>71</v>
      </c>
      <c r="B39" s="3" t="s">
        <v>72</v>
      </c>
    </row>
    <row r="41" customFormat="false" ht="12.75" hidden="false" customHeight="true" outlineLevel="0" collapsed="false">
      <c r="A41" s="4" t="s">
        <v>73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75" hidden="false" customHeight="true" outlineLevel="0" collapsed="false">
      <c r="A42" s="3" t="s">
        <v>74</v>
      </c>
    </row>
    <row r="43" customFormat="false" ht="12.75" hidden="false" customHeight="true" outlineLevel="0" collapsed="false">
      <c r="A43" s="3" t="s">
        <v>75</v>
      </c>
    </row>
    <row r="44" customFormat="false" ht="12.75" hidden="false" customHeight="true" outlineLevel="0" collapsed="false">
      <c r="A44" s="3" t="s">
        <v>76</v>
      </c>
    </row>
    <row r="45" customFormat="false" ht="12.75" hidden="false" customHeight="true" outlineLevel="0" collapsed="false">
      <c r="A45" s="3" t="s">
        <v>77</v>
      </c>
    </row>
    <row r="46" customFormat="false" ht="12.75" hidden="false" customHeight="true" outlineLevel="0" collapsed="false">
      <c r="A46" s="3" t="s">
        <v>78</v>
      </c>
    </row>
    <row r="47" customFormat="false" ht="12.75" hidden="false" customHeight="true" outlineLevel="0" collapsed="false">
      <c r="A47" s="3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65"/>
    <col collapsed="false" customWidth="true" hidden="false" outlineLevel="0" max="21" min="2" style="1" width="13.62"/>
  </cols>
  <sheetData>
    <row r="1" customFormat="false" ht="34.5" hidden="false" customHeight="true" outlineLevel="0" collapsed="false">
      <c r="A1" s="7" t="s">
        <v>80</v>
      </c>
      <c r="B1" s="7" t="s">
        <v>81</v>
      </c>
      <c r="C1" s="7" t="s">
        <v>67</v>
      </c>
      <c r="D1" s="7" t="s">
        <v>82</v>
      </c>
      <c r="E1" s="7" t="s">
        <v>83</v>
      </c>
      <c r="F1" s="7" t="s">
        <v>84</v>
      </c>
      <c r="G1" s="7" t="s">
        <v>85</v>
      </c>
      <c r="H1" s="7" t="s">
        <v>86</v>
      </c>
      <c r="I1" s="7" t="s">
        <v>8</v>
      </c>
      <c r="J1" s="7" t="s">
        <v>87</v>
      </c>
      <c r="K1" s="7" t="s">
        <v>45</v>
      </c>
      <c r="L1" s="7" t="s">
        <v>63</v>
      </c>
      <c r="M1" s="7" t="s">
        <v>65</v>
      </c>
      <c r="N1" s="7" t="s">
        <v>47</v>
      </c>
      <c r="O1" s="7" t="s">
        <v>49</v>
      </c>
      <c r="P1" s="7" t="s">
        <v>51</v>
      </c>
      <c r="Q1" s="7" t="s">
        <v>53</v>
      </c>
      <c r="R1" s="7" t="s">
        <v>55</v>
      </c>
      <c r="S1" s="7" t="s">
        <v>57</v>
      </c>
      <c r="T1" s="7" t="s">
        <v>88</v>
      </c>
      <c r="U1" s="7" t="s">
        <v>89</v>
      </c>
    </row>
    <row r="2" customFormat="false" ht="12.75" hidden="false" customHeight="true" outlineLevel="0" collapsed="false">
      <c r="A2" s="5" t="s">
        <v>90</v>
      </c>
      <c r="B2" s="5"/>
      <c r="C2" s="6" t="n">
        <v>16</v>
      </c>
      <c r="D2" s="6" t="n">
        <v>16</v>
      </c>
      <c r="E2" s="6" t="n">
        <v>16</v>
      </c>
      <c r="F2" s="6" t="n">
        <v>16</v>
      </c>
      <c r="G2" s="6" t="n">
        <v>4096</v>
      </c>
      <c r="H2" s="5" t="s">
        <v>91</v>
      </c>
      <c r="I2" s="6" t="n">
        <v>200001</v>
      </c>
      <c r="J2" s="6" t="n">
        <v>28</v>
      </c>
      <c r="K2" s="8" t="n">
        <f aca="false">I2*J2</f>
        <v>5600028</v>
      </c>
      <c r="L2" s="9" t="n">
        <v>0.7031</v>
      </c>
      <c r="M2" s="9" t="n">
        <v>0.4097</v>
      </c>
      <c r="N2" s="6" t="n">
        <v>1768681</v>
      </c>
      <c r="O2" s="6" t="n">
        <v>1783081</v>
      </c>
      <c r="P2" s="8" t="n">
        <f aca="false">IF(O2=0,0,O2-N2)</f>
        <v>14400</v>
      </c>
      <c r="Q2" s="10" t="n">
        <f aca="false">IFERROR(P2/O2,0)</f>
        <v>0.00807590905853408</v>
      </c>
      <c r="R2" s="11" t="n">
        <f aca="false">IFERROR(K2/N2,0)</f>
        <v>3.16621708493505</v>
      </c>
      <c r="S2" s="11" t="n">
        <f aca="false">IFERROR(K2/O2,0)</f>
        <v>3.14064700369753</v>
      </c>
      <c r="T2" s="6" t="n">
        <v>342</v>
      </c>
      <c r="U2" s="6" t="n">
        <v>3</v>
      </c>
    </row>
    <row r="3" customFormat="false" ht="12.75" hidden="false" customHeight="true" outlineLevel="0" collapsed="false">
      <c r="A3" s="5" t="s">
        <v>92</v>
      </c>
      <c r="B3" s="5"/>
      <c r="C3" s="6" t="n">
        <v>16</v>
      </c>
      <c r="D3" s="6" t="n">
        <v>16</v>
      </c>
      <c r="E3" s="6" t="n">
        <v>16</v>
      </c>
      <c r="F3" s="6" t="n">
        <v>16</v>
      </c>
      <c r="G3" s="6" t="n">
        <v>4096</v>
      </c>
      <c r="H3" s="5" t="s">
        <v>91</v>
      </c>
      <c r="I3" s="6" t="n">
        <v>200001</v>
      </c>
      <c r="J3" s="6" t="n">
        <v>28</v>
      </c>
      <c r="K3" s="8" t="n">
        <f aca="false">I3*J3</f>
        <v>5600028</v>
      </c>
      <c r="L3" s="9" t="n">
        <v>0.7157</v>
      </c>
      <c r="M3" s="9" t="n">
        <v>0.4167</v>
      </c>
      <c r="N3" s="6" t="n">
        <v>1206685</v>
      </c>
      <c r="O3" s="6" t="n">
        <v>1287775</v>
      </c>
      <c r="P3" s="8" t="n">
        <f aca="false">IF(O3=0,0,O3-N3)</f>
        <v>81090</v>
      </c>
      <c r="Q3" s="10" t="n">
        <f aca="false">IFERROR(P3/O3,0)</f>
        <v>0.0629690745665974</v>
      </c>
      <c r="R3" s="11" t="n">
        <f aca="false">IFERROR(K3/N3,0)</f>
        <v>4.640836672371</v>
      </c>
      <c r="S3" s="11" t="n">
        <f aca="false">IFERROR(K3/O3,0)</f>
        <v>4.34860748189707</v>
      </c>
      <c r="T3" s="6" t="n">
        <v>342</v>
      </c>
      <c r="U3" s="6" t="n">
        <v>3</v>
      </c>
    </row>
    <row r="4" customFormat="false" ht="12.75" hidden="false" customHeight="true" outlineLevel="0" collapsed="false">
      <c r="A4" s="5" t="s">
        <v>92</v>
      </c>
      <c r="B4" s="12" t="n">
        <v>0.1</v>
      </c>
      <c r="C4" s="6" t="n">
        <v>16</v>
      </c>
      <c r="D4" s="6" t="n">
        <v>16</v>
      </c>
      <c r="E4" s="6" t="n">
        <v>16</v>
      </c>
      <c r="F4" s="6" t="n">
        <v>16</v>
      </c>
      <c r="G4" s="6" t="n">
        <v>4096</v>
      </c>
      <c r="H4" s="5" t="s">
        <v>91</v>
      </c>
      <c r="I4" s="6" t="n">
        <v>200001</v>
      </c>
      <c r="J4" s="6" t="n">
        <v>28</v>
      </c>
      <c r="K4" s="8" t="n">
        <f aca="false">I4*J4</f>
        <v>5600028</v>
      </c>
      <c r="L4" s="9" t="n">
        <v>0.7184</v>
      </c>
      <c r="M4" s="9" t="n">
        <v>0.4371</v>
      </c>
      <c r="N4" s="6" t="n">
        <v>808854</v>
      </c>
      <c r="O4" s="6" t="n">
        <v>889944</v>
      </c>
      <c r="P4" s="8" t="n">
        <f aca="false">IF(O4=0,0,O4-N4)</f>
        <v>81090</v>
      </c>
      <c r="Q4" s="10" t="n">
        <f aca="false">IFERROR(P4/O4,0)</f>
        <v>0.0911180928238181</v>
      </c>
      <c r="R4" s="11" t="n">
        <f aca="false">IFERROR(K4/N4,0)</f>
        <v>6.9234101580755</v>
      </c>
      <c r="S4" s="11" t="n">
        <f aca="false">IFERROR(K4/O4,0)</f>
        <v>6.29256222863461</v>
      </c>
      <c r="T4" s="6" t="n">
        <v>342</v>
      </c>
      <c r="U4" s="6" t="n">
        <v>3</v>
      </c>
    </row>
    <row r="5" customFormat="false" ht="12.75" hidden="false" customHeight="true" outlineLevel="0" collapsed="false">
      <c r="A5" s="5" t="s">
        <v>92</v>
      </c>
      <c r="B5" s="12" t="n">
        <v>1</v>
      </c>
      <c r="C5" s="6" t="n">
        <v>16</v>
      </c>
      <c r="D5" s="6" t="n">
        <v>16</v>
      </c>
      <c r="E5" s="6" t="n">
        <v>16</v>
      </c>
      <c r="F5" s="6" t="n">
        <v>16</v>
      </c>
      <c r="G5" s="6" t="n">
        <v>4096</v>
      </c>
      <c r="H5" s="5" t="s">
        <v>91</v>
      </c>
      <c r="I5" s="6" t="n">
        <v>200001</v>
      </c>
      <c r="J5" s="6" t="n">
        <v>28</v>
      </c>
      <c r="K5" s="8" t="n">
        <f aca="false">I5*J5</f>
        <v>5600028</v>
      </c>
      <c r="L5" s="9" t="n">
        <v>0.695</v>
      </c>
      <c r="M5" s="9" t="n">
        <v>0.4221</v>
      </c>
      <c r="N5" s="6" t="n">
        <v>730085</v>
      </c>
      <c r="O5" s="6" t="n">
        <v>811175</v>
      </c>
      <c r="P5" s="8" t="n">
        <f aca="false">IF(O5=0,0,O5-N5)</f>
        <v>81090</v>
      </c>
      <c r="Q5" s="10" t="n">
        <f aca="false">IFERROR(P5/O5,0)</f>
        <v>0.0999660985607298</v>
      </c>
      <c r="R5" s="11" t="n">
        <f aca="false">IFERROR(K5/N5,0)</f>
        <v>7.67037810665881</v>
      </c>
      <c r="S5" s="11" t="n">
        <f aca="false">IFERROR(K5/O5,0)</f>
        <v>6.9036003328505</v>
      </c>
      <c r="T5" s="6" t="n">
        <v>342</v>
      </c>
      <c r="U5" s="6" t="n">
        <v>3</v>
      </c>
    </row>
    <row r="6" customFormat="false" ht="12.75" hidden="false" customHeight="true" outlineLevel="0" collapsed="false">
      <c r="A6" s="5" t="s">
        <v>92</v>
      </c>
      <c r="B6" s="12" t="n">
        <v>5</v>
      </c>
      <c r="C6" s="6" t="n">
        <v>16</v>
      </c>
      <c r="D6" s="6" t="n">
        <v>16</v>
      </c>
      <c r="E6" s="6" t="n">
        <v>16</v>
      </c>
      <c r="F6" s="6" t="n">
        <v>16</v>
      </c>
      <c r="G6" s="6" t="n">
        <v>4096</v>
      </c>
      <c r="H6" s="5" t="s">
        <v>91</v>
      </c>
      <c r="I6" s="6" t="n">
        <v>200001</v>
      </c>
      <c r="J6" s="6" t="n">
        <v>28</v>
      </c>
      <c r="K6" s="8" t="n">
        <f aca="false">I6*J6</f>
        <v>5600028</v>
      </c>
      <c r="L6" s="9" t="n">
        <v>0.7438</v>
      </c>
      <c r="M6" s="9" t="n">
        <v>0.4027</v>
      </c>
      <c r="N6" s="6" t="n">
        <v>672699</v>
      </c>
      <c r="O6" s="6" t="n">
        <v>753789</v>
      </c>
      <c r="P6" s="8" t="n">
        <f aca="false">IF(O6=0,0,O6-N6)</f>
        <v>81090</v>
      </c>
      <c r="Q6" s="10" t="n">
        <f aca="false">IFERROR(P6/O6,0)</f>
        <v>0.107576523403764</v>
      </c>
      <c r="R6" s="11" t="n">
        <f aca="false">IFERROR(K6/N6,0)</f>
        <v>8.32471580900224</v>
      </c>
      <c r="S6" s="11" t="n">
        <f aca="false">IFERROR(K6/O6,0)</f>
        <v>7.42917182394543</v>
      </c>
      <c r="T6" s="6" t="n">
        <v>342</v>
      </c>
      <c r="U6" s="6" t="n">
        <v>3</v>
      </c>
    </row>
    <row r="7" customFormat="false" ht="12.75" hidden="false" customHeight="true" outlineLevel="0" collapsed="false">
      <c r="A7" s="5" t="s">
        <v>69</v>
      </c>
      <c r="B7" s="5"/>
      <c r="C7" s="6" t="n">
        <v>16</v>
      </c>
      <c r="D7" s="6" t="n">
        <v>16</v>
      </c>
      <c r="E7" s="6" t="n">
        <v>16</v>
      </c>
      <c r="F7" s="6" t="n">
        <v>16</v>
      </c>
      <c r="G7" s="6" t="n">
        <v>4096</v>
      </c>
      <c r="H7" s="5" t="s">
        <v>91</v>
      </c>
      <c r="I7" s="6" t="n">
        <v>200001</v>
      </c>
      <c r="J7" s="6" t="n">
        <v>28</v>
      </c>
      <c r="K7" s="8" t="n">
        <f aca="false">I7*J7</f>
        <v>5600028</v>
      </c>
      <c r="L7" s="9" t="n">
        <v>0.6759</v>
      </c>
      <c r="M7" s="9" t="n">
        <v>0.4095</v>
      </c>
      <c r="N7" s="6" t="n">
        <v>5600028</v>
      </c>
      <c r="O7" s="6" t="n">
        <v>0</v>
      </c>
      <c r="P7" s="8" t="n">
        <f aca="false">IF(O7=0,0,O7-N7)</f>
        <v>0</v>
      </c>
      <c r="Q7" s="10" t="n">
        <f aca="false">IFERROR(P7/O7,0)</f>
        <v>0</v>
      </c>
      <c r="R7" s="11" t="n">
        <f aca="false">IFERROR(K7/N7,0)</f>
        <v>1</v>
      </c>
      <c r="S7" s="11" t="n">
        <f aca="false">IFERROR(K7/O7,0)</f>
        <v>0</v>
      </c>
      <c r="T7" s="6" t="n">
        <v>0</v>
      </c>
      <c r="U7" s="6" t="n">
        <v>3</v>
      </c>
    </row>
    <row r="8" customFormat="false" ht="12.75" hidden="false" customHeight="true" outlineLevel="0" collapsed="false">
      <c r="A8" s="5" t="s">
        <v>93</v>
      </c>
      <c r="B8" s="5"/>
      <c r="C8" s="6" t="n">
        <v>16</v>
      </c>
      <c r="D8" s="6" t="n">
        <v>16</v>
      </c>
      <c r="E8" s="6" t="n">
        <v>16</v>
      </c>
      <c r="F8" s="6" t="n">
        <v>16</v>
      </c>
      <c r="G8" s="6" t="n">
        <v>4096</v>
      </c>
      <c r="H8" s="5" t="s">
        <v>91</v>
      </c>
      <c r="I8" s="6" t="n">
        <v>200001</v>
      </c>
      <c r="J8" s="6" t="n">
        <v>28</v>
      </c>
      <c r="K8" s="8" t="n">
        <f aca="false">I8*J8</f>
        <v>5600028</v>
      </c>
      <c r="L8" s="9" t="n">
        <v>0.6804</v>
      </c>
      <c r="M8" s="9" t="n">
        <v>0.399</v>
      </c>
      <c r="N8" s="6" t="n">
        <v>5600028</v>
      </c>
      <c r="O8" s="6" t="n">
        <v>5621264</v>
      </c>
      <c r="P8" s="8" t="n">
        <f aca="false">IF(O8=0,0,O8-N8)</f>
        <v>21236</v>
      </c>
      <c r="Q8" s="10" t="n">
        <f aca="false">IFERROR(P8/O8,0)</f>
        <v>0.00377779801838163</v>
      </c>
      <c r="R8" s="11" t="n">
        <f aca="false">IFERROR(K8/N8,0)</f>
        <v>1</v>
      </c>
      <c r="S8" s="11" t="n">
        <f aca="false">IFERROR(K8/O8,0)</f>
        <v>0.996222201981618</v>
      </c>
      <c r="T8" s="6" t="n">
        <v>342</v>
      </c>
      <c r="U8" s="6" t="n">
        <v>3</v>
      </c>
    </row>
    <row r="9" customFormat="false" ht="12.75" hidden="false" customHeight="true" outlineLevel="0" collapsed="false">
      <c r="A9" s="5" t="s">
        <v>90</v>
      </c>
      <c r="B9" s="5"/>
      <c r="C9" s="6" t="n">
        <v>64</v>
      </c>
      <c r="D9" s="6" t="n">
        <v>64</v>
      </c>
      <c r="E9" s="6" t="n">
        <v>64</v>
      </c>
      <c r="F9" s="6" t="n">
        <v>64</v>
      </c>
      <c r="G9" s="6" t="n">
        <v>4096</v>
      </c>
      <c r="H9" s="5" t="s">
        <v>91</v>
      </c>
      <c r="I9" s="6" t="n">
        <v>200001</v>
      </c>
      <c r="J9" s="6" t="n">
        <v>28</v>
      </c>
      <c r="K9" s="8" t="n">
        <f aca="false">I9*J9</f>
        <v>5600028</v>
      </c>
      <c r="L9" s="9" t="n">
        <v>0.7695</v>
      </c>
      <c r="M9" s="9" t="n">
        <v>0.4426</v>
      </c>
      <c r="N9" s="6" t="n">
        <v>1719557</v>
      </c>
      <c r="O9" s="6" t="n">
        <v>1723461</v>
      </c>
      <c r="P9" s="8" t="n">
        <f aca="false">IF(O9=0,0,O9-N9)</f>
        <v>3904</v>
      </c>
      <c r="Q9" s="10" t="n">
        <f aca="false">IFERROR(P9/O9,0)</f>
        <v>0.00226520936650148</v>
      </c>
      <c r="R9" s="11" t="n">
        <f aca="false">IFERROR(K9/N9,0)</f>
        <v>3.25666901417051</v>
      </c>
      <c r="S9" s="11" t="n">
        <f aca="false">IFERROR(K9/O9,0)</f>
        <v>3.24929197701602</v>
      </c>
      <c r="T9" s="6" t="n">
        <v>86</v>
      </c>
      <c r="U9" s="6" t="n">
        <v>3</v>
      </c>
    </row>
    <row r="10" customFormat="false" ht="12.75" hidden="false" customHeight="true" outlineLevel="0" collapsed="false">
      <c r="A10" s="5" t="s">
        <v>92</v>
      </c>
      <c r="B10" s="5"/>
      <c r="C10" s="6" t="n">
        <v>64</v>
      </c>
      <c r="D10" s="6" t="n">
        <v>64</v>
      </c>
      <c r="E10" s="6" t="n">
        <v>64</v>
      </c>
      <c r="F10" s="6" t="n">
        <v>64</v>
      </c>
      <c r="G10" s="6" t="n">
        <v>4096</v>
      </c>
      <c r="H10" s="5" t="s">
        <v>91</v>
      </c>
      <c r="I10" s="6" t="n">
        <v>200001</v>
      </c>
      <c r="J10" s="6" t="n">
        <v>28</v>
      </c>
      <c r="K10" s="8" t="n">
        <f aca="false">I10*J10</f>
        <v>5600028</v>
      </c>
      <c r="L10" s="9" t="n">
        <v>0.6977</v>
      </c>
      <c r="M10" s="9" t="n">
        <v>0.4176</v>
      </c>
      <c r="N10" s="6" t="n">
        <v>1499024</v>
      </c>
      <c r="O10" s="6" t="n">
        <v>1519698</v>
      </c>
      <c r="P10" s="8" t="n">
        <f aca="false">IF(O10=0,0,O10-N10)</f>
        <v>20674</v>
      </c>
      <c r="Q10" s="10" t="n">
        <f aca="false">IFERROR(P10/O10,0)</f>
        <v>0.0136040186931877</v>
      </c>
      <c r="R10" s="11" t="n">
        <f aca="false">IFERROR(K10/N10,0)</f>
        <v>3.73578274930888</v>
      </c>
      <c r="S10" s="11" t="n">
        <f aca="false">IFERROR(K10/O10,0)</f>
        <v>3.6849610909536</v>
      </c>
      <c r="T10" s="6" t="n">
        <v>86</v>
      </c>
      <c r="U10" s="6" t="n">
        <v>3</v>
      </c>
    </row>
    <row r="11" customFormat="false" ht="12.75" hidden="false" customHeight="true" outlineLevel="0" collapsed="false">
      <c r="A11" s="5" t="s">
        <v>92</v>
      </c>
      <c r="B11" s="12" t="n">
        <v>0.1</v>
      </c>
      <c r="C11" s="6" t="n">
        <v>64</v>
      </c>
      <c r="D11" s="6" t="n">
        <v>64</v>
      </c>
      <c r="E11" s="6" t="n">
        <v>64</v>
      </c>
      <c r="F11" s="6" t="n">
        <v>64</v>
      </c>
      <c r="G11" s="6" t="n">
        <v>4096</v>
      </c>
      <c r="H11" s="5" t="s">
        <v>91</v>
      </c>
      <c r="I11" s="6" t="n">
        <v>200001</v>
      </c>
      <c r="J11" s="6" t="n">
        <v>28</v>
      </c>
      <c r="K11" s="8" t="n">
        <f aca="false">I11*J11</f>
        <v>5600028</v>
      </c>
      <c r="L11" s="9" t="n">
        <v>0.7177</v>
      </c>
      <c r="M11" s="9" t="n">
        <v>0.4269</v>
      </c>
      <c r="N11" s="6" t="n">
        <v>1136554</v>
      </c>
      <c r="O11" s="6" t="n">
        <v>1157228</v>
      </c>
      <c r="P11" s="8" t="n">
        <f aca="false">IF(O11=0,0,O11-N11)</f>
        <v>20674</v>
      </c>
      <c r="Q11" s="10" t="n">
        <f aca="false">IFERROR(P11/O11,0)</f>
        <v>0.0178651052342321</v>
      </c>
      <c r="R11" s="11" t="n">
        <f aca="false">IFERROR(K11/N11,0)</f>
        <v>4.92719923558406</v>
      </c>
      <c r="S11" s="11" t="n">
        <f aca="false">IFERROR(K11/O11,0)</f>
        <v>4.83917430273032</v>
      </c>
      <c r="T11" s="6" t="n">
        <v>86</v>
      </c>
      <c r="U11" s="6" t="n">
        <v>3</v>
      </c>
    </row>
    <row r="12" customFormat="false" ht="12.75" hidden="false" customHeight="true" outlineLevel="0" collapsed="false">
      <c r="A12" s="5" t="s">
        <v>92</v>
      </c>
      <c r="B12" s="12" t="n">
        <v>1</v>
      </c>
      <c r="C12" s="6" t="n">
        <v>64</v>
      </c>
      <c r="D12" s="6" t="n">
        <v>64</v>
      </c>
      <c r="E12" s="6" t="n">
        <v>64</v>
      </c>
      <c r="F12" s="6" t="n">
        <v>64</v>
      </c>
      <c r="G12" s="6" t="n">
        <v>4096</v>
      </c>
      <c r="H12" s="5" t="s">
        <v>91</v>
      </c>
      <c r="I12" s="6" t="n">
        <v>200001</v>
      </c>
      <c r="J12" s="6" t="n">
        <v>28</v>
      </c>
      <c r="K12" s="8" t="n">
        <f aca="false">I12*J12</f>
        <v>5600028</v>
      </c>
      <c r="L12" s="9" t="n">
        <v>0.6953</v>
      </c>
      <c r="M12" s="9" t="n">
        <v>0.426</v>
      </c>
      <c r="N12" s="6" t="n">
        <v>1053788</v>
      </c>
      <c r="O12" s="6" t="n">
        <v>1074462</v>
      </c>
      <c r="P12" s="8" t="n">
        <f aca="false">IF(O12=0,0,O12-N12)</f>
        <v>20674</v>
      </c>
      <c r="Q12" s="10" t="n">
        <f aca="false">IFERROR(P12/O12,0)</f>
        <v>0.0192412574851414</v>
      </c>
      <c r="R12" s="11" t="n">
        <f aca="false">IFERROR(K12/N12,0)</f>
        <v>5.31418843258796</v>
      </c>
      <c r="S12" s="11" t="n">
        <f aca="false">IFERROR(K12/O12,0)</f>
        <v>5.21193676463197</v>
      </c>
      <c r="T12" s="6" t="n">
        <v>86</v>
      </c>
      <c r="U12" s="6" t="n">
        <v>3</v>
      </c>
    </row>
    <row r="13" customFormat="false" ht="12.75" hidden="false" customHeight="true" outlineLevel="0" collapsed="false">
      <c r="A13" s="5" t="s">
        <v>92</v>
      </c>
      <c r="B13" s="12" t="n">
        <v>5</v>
      </c>
      <c r="C13" s="6" t="n">
        <v>64</v>
      </c>
      <c r="D13" s="6" t="n">
        <v>64</v>
      </c>
      <c r="E13" s="6" t="n">
        <v>64</v>
      </c>
      <c r="F13" s="6" t="n">
        <v>64</v>
      </c>
      <c r="G13" s="6" t="n">
        <v>4096</v>
      </c>
      <c r="H13" s="5" t="s">
        <v>91</v>
      </c>
      <c r="I13" s="6" t="n">
        <v>200001</v>
      </c>
      <c r="J13" s="6" t="n">
        <v>28</v>
      </c>
      <c r="K13" s="8" t="n">
        <f aca="false">I13*J13</f>
        <v>5600028</v>
      </c>
      <c r="L13" s="9" t="n">
        <v>0.7093</v>
      </c>
      <c r="M13" s="9" t="n">
        <v>0.4334</v>
      </c>
      <c r="N13" s="6" t="n">
        <v>1000058</v>
      </c>
      <c r="O13" s="6" t="n">
        <v>1020732</v>
      </c>
      <c r="P13" s="8" t="n">
        <f aca="false">IF(O13=0,0,O13-N13)</f>
        <v>20674</v>
      </c>
      <c r="Q13" s="10" t="n">
        <f aca="false">IFERROR(P13/O13,0)</f>
        <v>0.0202540921613117</v>
      </c>
      <c r="R13" s="11" t="n">
        <f aca="false">IFERROR(K13/N13,0)</f>
        <v>5.5997032172134</v>
      </c>
      <c r="S13" s="11" t="n">
        <f aca="false">IFERROR(K13/O13,0)</f>
        <v>5.48628631217597</v>
      </c>
      <c r="T13" s="6" t="n">
        <v>86</v>
      </c>
      <c r="U13" s="6" t="n">
        <v>3</v>
      </c>
    </row>
    <row r="14" customFormat="false" ht="12.75" hidden="false" customHeight="true" outlineLevel="0" collapsed="false">
      <c r="A14" s="5" t="s">
        <v>69</v>
      </c>
      <c r="B14" s="5"/>
      <c r="C14" s="6" t="n">
        <v>64</v>
      </c>
      <c r="D14" s="6" t="n">
        <v>64</v>
      </c>
      <c r="E14" s="6" t="n">
        <v>64</v>
      </c>
      <c r="F14" s="6" t="n">
        <v>64</v>
      </c>
      <c r="G14" s="6" t="n">
        <v>4096</v>
      </c>
      <c r="H14" s="5" t="s">
        <v>91</v>
      </c>
      <c r="I14" s="6" t="n">
        <v>200001</v>
      </c>
      <c r="J14" s="6" t="n">
        <v>28</v>
      </c>
      <c r="K14" s="8" t="n">
        <f aca="false">I14*J14</f>
        <v>5600028</v>
      </c>
      <c r="L14" s="9" t="n">
        <v>0.6934</v>
      </c>
      <c r="M14" s="9" t="n">
        <v>0.4331</v>
      </c>
      <c r="N14" s="6" t="n">
        <v>5600028</v>
      </c>
      <c r="O14" s="6" t="n">
        <v>0</v>
      </c>
      <c r="P14" s="8" t="n">
        <f aca="false">IF(O14=0,0,O14-N14)</f>
        <v>0</v>
      </c>
      <c r="Q14" s="10" t="n">
        <f aca="false">IFERROR(P14/O14,0)</f>
        <v>0</v>
      </c>
      <c r="R14" s="11" t="n">
        <f aca="false">IFERROR(K14/N14,0)</f>
        <v>1</v>
      </c>
      <c r="S14" s="11" t="n">
        <f aca="false">IFERROR(K14/O14,0)</f>
        <v>0</v>
      </c>
      <c r="T14" s="6" t="n">
        <v>0</v>
      </c>
      <c r="U14" s="6" t="n">
        <v>3</v>
      </c>
    </row>
    <row r="15" customFormat="false" ht="12.75" hidden="false" customHeight="true" outlineLevel="0" collapsed="false">
      <c r="A15" s="5" t="s">
        <v>93</v>
      </c>
      <c r="B15" s="5"/>
      <c r="C15" s="6" t="n">
        <v>64</v>
      </c>
      <c r="D15" s="6" t="n">
        <v>64</v>
      </c>
      <c r="E15" s="6" t="n">
        <v>64</v>
      </c>
      <c r="F15" s="6" t="n">
        <v>64</v>
      </c>
      <c r="G15" s="6" t="n">
        <v>4096</v>
      </c>
      <c r="H15" s="5" t="s">
        <v>91</v>
      </c>
      <c r="I15" s="6" t="n">
        <v>200001</v>
      </c>
      <c r="J15" s="6" t="n">
        <v>28</v>
      </c>
      <c r="K15" s="8" t="n">
        <f aca="false">I15*J15</f>
        <v>5600028</v>
      </c>
      <c r="L15" s="9" t="n">
        <v>0.6688</v>
      </c>
      <c r="M15" s="9" t="n">
        <v>0.4381</v>
      </c>
      <c r="N15" s="6" t="n">
        <v>5600028</v>
      </c>
      <c r="O15" s="6" t="n">
        <v>5605904</v>
      </c>
      <c r="P15" s="8" t="n">
        <f aca="false">IF(O15=0,0,O15-N15)</f>
        <v>5876</v>
      </c>
      <c r="Q15" s="10" t="n">
        <f aca="false">IFERROR(P15/O15,0)</f>
        <v>0.00104818063241896</v>
      </c>
      <c r="R15" s="11" t="n">
        <f aca="false">IFERROR(K15/N15,0)</f>
        <v>1</v>
      </c>
      <c r="S15" s="11" t="n">
        <f aca="false">IFERROR(K15/O15,0)</f>
        <v>0.998951819367581</v>
      </c>
      <c r="T15" s="6" t="n">
        <v>86</v>
      </c>
      <c r="U15" s="6" t="n">
        <v>3</v>
      </c>
    </row>
    <row r="16" customFormat="false" ht="12.75" hidden="false" customHeight="true" outlineLevel="0" collapsed="false">
      <c r="A16" s="5" t="s">
        <v>90</v>
      </c>
      <c r="B16" s="5"/>
      <c r="C16" s="6" t="n">
        <v>256</v>
      </c>
      <c r="D16" s="6" t="n">
        <v>256</v>
      </c>
      <c r="E16" s="6" t="n">
        <v>256</v>
      </c>
      <c r="F16" s="6" t="n">
        <v>256</v>
      </c>
      <c r="G16" s="6" t="n">
        <v>4096</v>
      </c>
      <c r="H16" s="5" t="s">
        <v>91</v>
      </c>
      <c r="I16" s="6" t="n">
        <v>200001</v>
      </c>
      <c r="J16" s="6" t="n">
        <v>28</v>
      </c>
      <c r="K16" s="8" t="n">
        <f aca="false">I16*J16</f>
        <v>5600028</v>
      </c>
      <c r="L16" s="9" t="n">
        <v>0.6936</v>
      </c>
      <c r="M16" s="9" t="n">
        <v>0.5869</v>
      </c>
      <c r="N16" s="6" t="n">
        <v>1713493</v>
      </c>
      <c r="O16" s="6" t="n">
        <v>1714773</v>
      </c>
      <c r="P16" s="8" t="n">
        <f aca="false">IF(O16=0,0,O16-N16)</f>
        <v>1280</v>
      </c>
      <c r="Q16" s="10" t="n">
        <f aca="false">IFERROR(P16/O16,0)</f>
        <v>0.000746454486978743</v>
      </c>
      <c r="R16" s="11" t="n">
        <f aca="false">IFERROR(K16/N16,0)</f>
        <v>3.2681942674992</v>
      </c>
      <c r="S16" s="11" t="n">
        <f aca="false">IFERROR(K16/O16,0)</f>
        <v>3.2657547092239</v>
      </c>
      <c r="T16" s="6" t="n">
        <v>22</v>
      </c>
      <c r="U16" s="6" t="n">
        <v>3</v>
      </c>
    </row>
    <row r="17" customFormat="false" ht="12.75" hidden="false" customHeight="true" outlineLevel="0" collapsed="false">
      <c r="A17" s="5" t="s">
        <v>92</v>
      </c>
      <c r="B17" s="5"/>
      <c r="C17" s="6" t="n">
        <v>256</v>
      </c>
      <c r="D17" s="6" t="n">
        <v>256</v>
      </c>
      <c r="E17" s="6" t="n">
        <v>256</v>
      </c>
      <c r="F17" s="6" t="n">
        <v>256</v>
      </c>
      <c r="G17" s="6" t="n">
        <v>4096</v>
      </c>
      <c r="H17" s="5" t="s">
        <v>91</v>
      </c>
      <c r="I17" s="6" t="n">
        <v>200001</v>
      </c>
      <c r="J17" s="6" t="n">
        <v>28</v>
      </c>
      <c r="K17" s="8" t="n">
        <f aca="false">I17*J17</f>
        <v>5600028</v>
      </c>
      <c r="L17" s="9" t="n">
        <v>0.7072</v>
      </c>
      <c r="M17" s="9" t="n">
        <v>0.7512</v>
      </c>
      <c r="N17" s="6" t="n">
        <v>1365416</v>
      </c>
      <c r="O17" s="6" t="n">
        <v>1370986</v>
      </c>
      <c r="P17" s="8" t="n">
        <f aca="false">IF(O17=0,0,O17-N17)</f>
        <v>5570</v>
      </c>
      <c r="Q17" s="10" t="n">
        <f aca="false">IFERROR(P17/O17,0)</f>
        <v>0.00406276942288251</v>
      </c>
      <c r="R17" s="11" t="n">
        <f aca="false">IFERROR(K17/N17,0)</f>
        <v>4.10133468481401</v>
      </c>
      <c r="S17" s="11" t="n">
        <f aca="false">IFERROR(K17/O17,0)</f>
        <v>4.08467190766354</v>
      </c>
      <c r="T17" s="6" t="n">
        <v>22</v>
      </c>
      <c r="U17" s="6" t="n">
        <v>3</v>
      </c>
    </row>
    <row r="18" customFormat="false" ht="12.75" hidden="false" customHeight="true" outlineLevel="0" collapsed="false">
      <c r="A18" s="5" t="s">
        <v>92</v>
      </c>
      <c r="B18" s="12" t="n">
        <v>0.1</v>
      </c>
      <c r="C18" s="6" t="n">
        <v>256</v>
      </c>
      <c r="D18" s="6" t="n">
        <v>256</v>
      </c>
      <c r="E18" s="6" t="n">
        <v>256</v>
      </c>
      <c r="F18" s="6" t="n">
        <v>256</v>
      </c>
      <c r="G18" s="6" t="n">
        <v>4096</v>
      </c>
      <c r="H18" s="5" t="s">
        <v>91</v>
      </c>
      <c r="I18" s="6" t="n">
        <v>200001</v>
      </c>
      <c r="J18" s="6" t="n">
        <v>28</v>
      </c>
      <c r="K18" s="8" t="n">
        <f aca="false">I18*J18</f>
        <v>5600028</v>
      </c>
      <c r="L18" s="9" t="n">
        <v>0.7142</v>
      </c>
      <c r="M18" s="9" t="n">
        <v>0.8139</v>
      </c>
      <c r="N18" s="6" t="n">
        <v>1018407</v>
      </c>
      <c r="O18" s="6" t="n">
        <v>1023977</v>
      </c>
      <c r="P18" s="8" t="n">
        <f aca="false">IF(O18=0,0,O18-N18)</f>
        <v>5570</v>
      </c>
      <c r="Q18" s="10" t="n">
        <f aca="false">IFERROR(P18/O18,0)</f>
        <v>0.00543957530296091</v>
      </c>
      <c r="R18" s="11" t="n">
        <f aca="false">IFERROR(K18/N18,0)</f>
        <v>5.49881137894771</v>
      </c>
      <c r="S18" s="11" t="n">
        <f aca="false">IFERROR(K18/O18,0)</f>
        <v>5.46890018037515</v>
      </c>
      <c r="T18" s="6" t="n">
        <v>22</v>
      </c>
      <c r="U18" s="6" t="n">
        <v>3</v>
      </c>
    </row>
    <row r="19" customFormat="false" ht="12.75" hidden="false" customHeight="true" outlineLevel="0" collapsed="false">
      <c r="A19" s="5" t="s">
        <v>92</v>
      </c>
      <c r="B19" s="12" t="n">
        <v>1</v>
      </c>
      <c r="C19" s="6" t="n">
        <v>256</v>
      </c>
      <c r="D19" s="6" t="n">
        <v>256</v>
      </c>
      <c r="E19" s="6" t="n">
        <v>256</v>
      </c>
      <c r="F19" s="6" t="n">
        <v>256</v>
      </c>
      <c r="G19" s="6" t="n">
        <v>4096</v>
      </c>
      <c r="H19" s="5" t="s">
        <v>91</v>
      </c>
      <c r="I19" s="6" t="n">
        <v>200001</v>
      </c>
      <c r="J19" s="6" t="n">
        <v>28</v>
      </c>
      <c r="K19" s="8" t="n">
        <f aca="false">I19*J19</f>
        <v>5600028</v>
      </c>
      <c r="L19" s="9" t="n">
        <v>0.717</v>
      </c>
      <c r="M19" s="9" t="n">
        <v>0.8083</v>
      </c>
      <c r="N19" s="6" t="n">
        <v>920140</v>
      </c>
      <c r="O19" s="6" t="n">
        <v>925710</v>
      </c>
      <c r="P19" s="8" t="n">
        <f aca="false">IF(O19=0,0,O19-N19)</f>
        <v>5570</v>
      </c>
      <c r="Q19" s="10" t="n">
        <f aca="false">IFERROR(P19/O19,0)</f>
        <v>0.00601700316513811</v>
      </c>
      <c r="R19" s="11" t="n">
        <f aca="false">IFERROR(K19/N19,0)</f>
        <v>6.08606081683222</v>
      </c>
      <c r="S19" s="11" t="n">
        <f aca="false">IFERROR(K19/O19,0)</f>
        <v>6.04944096963412</v>
      </c>
      <c r="T19" s="6" t="n">
        <v>22</v>
      </c>
      <c r="U19" s="6" t="n">
        <v>3</v>
      </c>
    </row>
    <row r="20" customFormat="false" ht="12.75" hidden="false" customHeight="true" outlineLevel="0" collapsed="false">
      <c r="A20" s="5" t="s">
        <v>92</v>
      </c>
      <c r="B20" s="12" t="n">
        <v>5</v>
      </c>
      <c r="C20" s="6" t="n">
        <v>256</v>
      </c>
      <c r="D20" s="6" t="n">
        <v>256</v>
      </c>
      <c r="E20" s="6" t="n">
        <v>256</v>
      </c>
      <c r="F20" s="6" t="n">
        <v>256</v>
      </c>
      <c r="G20" s="6" t="n">
        <v>4096</v>
      </c>
      <c r="H20" s="5" t="s">
        <v>91</v>
      </c>
      <c r="I20" s="6" t="n">
        <v>200001</v>
      </c>
      <c r="J20" s="6" t="n">
        <v>28</v>
      </c>
      <c r="K20" s="8" t="n">
        <f aca="false">I20*J20</f>
        <v>5600028</v>
      </c>
      <c r="L20" s="9" t="n">
        <v>0.7075</v>
      </c>
      <c r="M20" s="9" t="n">
        <v>0.8157</v>
      </c>
      <c r="N20" s="6" t="n">
        <v>861047</v>
      </c>
      <c r="O20" s="6" t="n">
        <v>866617</v>
      </c>
      <c r="P20" s="8" t="n">
        <f aca="false">IF(O20=0,0,O20-N20)</f>
        <v>5570</v>
      </c>
      <c r="Q20" s="10" t="n">
        <f aca="false">IFERROR(P20/O20,0)</f>
        <v>0.00642729141016158</v>
      </c>
      <c r="R20" s="11" t="n">
        <f aca="false">IFERROR(K20/N20,0)</f>
        <v>6.50374253670241</v>
      </c>
      <c r="S20" s="11" t="n">
        <f aca="false">IFERROR(K20/O20,0)</f>
        <v>6.46194108816236</v>
      </c>
      <c r="T20" s="6" t="n">
        <v>22</v>
      </c>
      <c r="U20" s="6" t="n">
        <v>3</v>
      </c>
    </row>
    <row r="21" customFormat="false" ht="12.75" hidden="false" customHeight="true" outlineLevel="0" collapsed="false">
      <c r="A21" s="5" t="s">
        <v>69</v>
      </c>
      <c r="B21" s="5"/>
      <c r="C21" s="6" t="n">
        <v>256</v>
      </c>
      <c r="D21" s="6" t="n">
        <v>256</v>
      </c>
      <c r="E21" s="6" t="n">
        <v>256</v>
      </c>
      <c r="F21" s="6" t="n">
        <v>256</v>
      </c>
      <c r="G21" s="6" t="n">
        <v>4096</v>
      </c>
      <c r="H21" s="5" t="s">
        <v>91</v>
      </c>
      <c r="I21" s="6" t="n">
        <v>200001</v>
      </c>
      <c r="J21" s="6" t="n">
        <v>28</v>
      </c>
      <c r="K21" s="8" t="n">
        <f aca="false">I21*J21</f>
        <v>5600028</v>
      </c>
      <c r="L21" s="9" t="n">
        <v>0.7453</v>
      </c>
      <c r="M21" s="9" t="n">
        <v>0.4162</v>
      </c>
      <c r="N21" s="6" t="n">
        <v>5600028</v>
      </c>
      <c r="O21" s="6" t="n">
        <v>0</v>
      </c>
      <c r="P21" s="8" t="n">
        <f aca="false">IF(O21=0,0,O21-N21)</f>
        <v>0</v>
      </c>
      <c r="Q21" s="10" t="n">
        <f aca="false">IFERROR(P21/O21,0)</f>
        <v>0</v>
      </c>
      <c r="R21" s="11" t="n">
        <f aca="false">IFERROR(K21/N21,0)</f>
        <v>1</v>
      </c>
      <c r="S21" s="11" t="n">
        <f aca="false">IFERROR(K21/O21,0)</f>
        <v>0</v>
      </c>
      <c r="T21" s="6" t="n">
        <v>0</v>
      </c>
      <c r="U21" s="6" t="n">
        <v>3</v>
      </c>
    </row>
    <row r="22" customFormat="false" ht="12.75" hidden="false" customHeight="true" outlineLevel="0" collapsed="false">
      <c r="A22" s="5" t="s">
        <v>93</v>
      </c>
      <c r="B22" s="5"/>
      <c r="C22" s="6" t="n">
        <v>256</v>
      </c>
      <c r="D22" s="6" t="n">
        <v>256</v>
      </c>
      <c r="E22" s="6" t="n">
        <v>256</v>
      </c>
      <c r="F22" s="6" t="n">
        <v>256</v>
      </c>
      <c r="G22" s="6" t="n">
        <v>4096</v>
      </c>
      <c r="H22" s="5" t="s">
        <v>91</v>
      </c>
      <c r="I22" s="6" t="n">
        <v>200001</v>
      </c>
      <c r="J22" s="6" t="n">
        <v>28</v>
      </c>
      <c r="K22" s="8" t="n">
        <f aca="false">I22*J22</f>
        <v>5600028</v>
      </c>
      <c r="L22" s="9" t="n">
        <v>0.7324</v>
      </c>
      <c r="M22" s="9" t="n">
        <v>0.431</v>
      </c>
      <c r="N22" s="6" t="n">
        <v>5600028</v>
      </c>
      <c r="O22" s="6" t="n">
        <v>5602064</v>
      </c>
      <c r="P22" s="8" t="n">
        <f aca="false">IF(O22=0,0,O22-N22)</f>
        <v>2036</v>
      </c>
      <c r="Q22" s="10" t="n">
        <f aca="false">IFERROR(P22/O22,0)</f>
        <v>0.000363437475901739</v>
      </c>
      <c r="R22" s="11" t="n">
        <f aca="false">IFERROR(K22/N22,0)</f>
        <v>1</v>
      </c>
      <c r="S22" s="11" t="n">
        <f aca="false">IFERROR(K22/O22,0)</f>
        <v>0.999636562524098</v>
      </c>
      <c r="T22" s="6" t="n">
        <v>22</v>
      </c>
      <c r="U22" s="6" t="n">
        <v>3</v>
      </c>
    </row>
    <row r="23" customFormat="false" ht="12.75" hidden="false" customHeight="true" outlineLevel="0" collapsed="false">
      <c r="A23" s="5" t="s">
        <v>90</v>
      </c>
      <c r="B23" s="5"/>
      <c r="C23" s="6" t="n">
        <v>1024</v>
      </c>
      <c r="D23" s="6" t="n">
        <v>1024</v>
      </c>
      <c r="E23" s="6" t="n">
        <v>1024</v>
      </c>
      <c r="F23" s="6" t="n">
        <v>1024</v>
      </c>
      <c r="G23" s="6" t="n">
        <v>4096</v>
      </c>
      <c r="H23" s="5" t="s">
        <v>91</v>
      </c>
      <c r="I23" s="6" t="n">
        <v>200001</v>
      </c>
      <c r="J23" s="6" t="n">
        <v>28</v>
      </c>
      <c r="K23" s="8" t="n">
        <f aca="false">I23*J23</f>
        <v>5600028</v>
      </c>
      <c r="L23" s="9" t="n">
        <v>0.6715</v>
      </c>
      <c r="M23" s="9" t="n">
        <v>2.1232</v>
      </c>
      <c r="N23" s="6" t="n">
        <v>1714576</v>
      </c>
      <c r="O23" s="6" t="n">
        <v>1715200</v>
      </c>
      <c r="P23" s="8" t="n">
        <f aca="false">IF(O23=0,0,O23-N23)</f>
        <v>624</v>
      </c>
      <c r="Q23" s="10" t="n">
        <f aca="false">IFERROR(P23/O23,0)</f>
        <v>0.000363805970149254</v>
      </c>
      <c r="R23" s="11" t="n">
        <f aca="false">IFERROR(K23/N23,0)</f>
        <v>3.26612993533095</v>
      </c>
      <c r="S23" s="11" t="n">
        <f aca="false">IFERROR(K23/O23,0)</f>
        <v>3.26494169776119</v>
      </c>
      <c r="T23" s="6" t="n">
        <v>6</v>
      </c>
      <c r="U23" s="6" t="n">
        <v>3</v>
      </c>
    </row>
    <row r="24" customFormat="false" ht="12.75" hidden="false" customHeight="true" outlineLevel="0" collapsed="false">
      <c r="A24" s="5" t="s">
        <v>92</v>
      </c>
      <c r="B24" s="5"/>
      <c r="C24" s="6" t="n">
        <v>1024</v>
      </c>
      <c r="D24" s="6" t="n">
        <v>1024</v>
      </c>
      <c r="E24" s="6" t="n">
        <v>1024</v>
      </c>
      <c r="F24" s="6" t="n">
        <v>1024</v>
      </c>
      <c r="G24" s="6" t="n">
        <v>4096</v>
      </c>
      <c r="H24" s="5" t="s">
        <v>91</v>
      </c>
      <c r="I24" s="6" t="n">
        <v>200001</v>
      </c>
      <c r="J24" s="6" t="n">
        <v>28</v>
      </c>
      <c r="K24" s="8" t="n">
        <f aca="false">I24*J24</f>
        <v>5600028</v>
      </c>
      <c r="L24" s="9" t="n">
        <v>0.6909</v>
      </c>
      <c r="M24" s="9" t="n">
        <v>2.8006</v>
      </c>
      <c r="N24" s="6" t="n">
        <v>1560562</v>
      </c>
      <c r="O24" s="6" t="n">
        <v>1562356</v>
      </c>
      <c r="P24" s="8" t="n">
        <f aca="false">IF(O24=0,0,O24-N24)</f>
        <v>1794</v>
      </c>
      <c r="Q24" s="10" t="n">
        <f aca="false">IFERROR(P24/O24,0)</f>
        <v>0.00114826582417836</v>
      </c>
      <c r="R24" s="11" t="n">
        <f aca="false">IFERROR(K24/N24,0)</f>
        <v>3.58846876958429</v>
      </c>
      <c r="S24" s="11" t="n">
        <f aca="false">IFERROR(K24/O24,0)</f>
        <v>3.58434825353505</v>
      </c>
      <c r="T24" s="6" t="n">
        <v>6</v>
      </c>
      <c r="U24" s="6" t="n">
        <v>3</v>
      </c>
    </row>
    <row r="25" customFormat="false" ht="12.75" hidden="false" customHeight="true" outlineLevel="0" collapsed="false">
      <c r="A25" s="5" t="s">
        <v>92</v>
      </c>
      <c r="B25" s="12" t="n">
        <v>0.1</v>
      </c>
      <c r="C25" s="6" t="n">
        <v>1024</v>
      </c>
      <c r="D25" s="6" t="n">
        <v>1024</v>
      </c>
      <c r="E25" s="6" t="n">
        <v>1024</v>
      </c>
      <c r="F25" s="6" t="n">
        <v>1024</v>
      </c>
      <c r="G25" s="6" t="n">
        <v>4096</v>
      </c>
      <c r="H25" s="5" t="s">
        <v>91</v>
      </c>
      <c r="I25" s="6" t="n">
        <v>200001</v>
      </c>
      <c r="J25" s="6" t="n">
        <v>28</v>
      </c>
      <c r="K25" s="8" t="n">
        <f aca="false">I25*J25</f>
        <v>5600028</v>
      </c>
      <c r="L25" s="9" t="n">
        <v>0.6916</v>
      </c>
      <c r="M25" s="9" t="n">
        <v>2.7759</v>
      </c>
      <c r="N25" s="6" t="n">
        <v>1213496</v>
      </c>
      <c r="O25" s="6" t="n">
        <v>1215290</v>
      </c>
      <c r="P25" s="8" t="n">
        <f aca="false">IF(O25=0,0,O25-N25)</f>
        <v>1794</v>
      </c>
      <c r="Q25" s="10" t="n">
        <f aca="false">IFERROR(P25/O25,0)</f>
        <v>0.00147619086802327</v>
      </c>
      <c r="R25" s="11" t="n">
        <f aca="false">IFERROR(K25/N25,0)</f>
        <v>4.61478900630904</v>
      </c>
      <c r="S25" s="11" t="n">
        <f aca="false">IFERROR(K25/O25,0)</f>
        <v>4.60797669692008</v>
      </c>
      <c r="T25" s="6" t="n">
        <v>6</v>
      </c>
      <c r="U25" s="6" t="n">
        <v>3</v>
      </c>
    </row>
    <row r="26" customFormat="false" ht="12.75" hidden="false" customHeight="true" outlineLevel="0" collapsed="false">
      <c r="A26" s="5" t="s">
        <v>92</v>
      </c>
      <c r="B26" s="12" t="n">
        <v>1</v>
      </c>
      <c r="C26" s="6" t="n">
        <v>1024</v>
      </c>
      <c r="D26" s="6" t="n">
        <v>1024</v>
      </c>
      <c r="E26" s="6" t="n">
        <v>1024</v>
      </c>
      <c r="F26" s="6" t="n">
        <v>1024</v>
      </c>
      <c r="G26" s="6" t="n">
        <v>4096</v>
      </c>
      <c r="H26" s="5" t="s">
        <v>91</v>
      </c>
      <c r="I26" s="6" t="n">
        <v>200001</v>
      </c>
      <c r="J26" s="6" t="n">
        <v>28</v>
      </c>
      <c r="K26" s="8" t="n">
        <f aca="false">I26*J26</f>
        <v>5600028</v>
      </c>
      <c r="L26" s="9" t="n">
        <v>0.6803</v>
      </c>
      <c r="M26" s="9" t="n">
        <v>2.8354</v>
      </c>
      <c r="N26" s="6" t="n">
        <v>1120901</v>
      </c>
      <c r="O26" s="6" t="n">
        <v>1122695</v>
      </c>
      <c r="P26" s="8" t="n">
        <f aca="false">IF(O26=0,0,O26-N26)</f>
        <v>1794</v>
      </c>
      <c r="Q26" s="10" t="n">
        <f aca="false">IFERROR(P26/O26,0)</f>
        <v>0.00159794066954961</v>
      </c>
      <c r="R26" s="11" t="n">
        <f aca="false">IFERROR(K26/N26,0)</f>
        <v>4.99600589168892</v>
      </c>
      <c r="S26" s="11" t="n">
        <f aca="false">IFERROR(K26/O26,0)</f>
        <v>4.98802257068928</v>
      </c>
      <c r="T26" s="6" t="n">
        <v>6</v>
      </c>
      <c r="U26" s="6" t="n">
        <v>3</v>
      </c>
    </row>
    <row r="27" customFormat="false" ht="12.75" hidden="false" customHeight="true" outlineLevel="0" collapsed="false">
      <c r="A27" s="5" t="s">
        <v>92</v>
      </c>
      <c r="B27" s="12" t="n">
        <v>5</v>
      </c>
      <c r="C27" s="6" t="n">
        <v>1024</v>
      </c>
      <c r="D27" s="6" t="n">
        <v>1024</v>
      </c>
      <c r="E27" s="6" t="n">
        <v>1024</v>
      </c>
      <c r="F27" s="6" t="n">
        <v>1024</v>
      </c>
      <c r="G27" s="6" t="n">
        <v>4096</v>
      </c>
      <c r="H27" s="5" t="s">
        <v>91</v>
      </c>
      <c r="I27" s="6" t="n">
        <v>200001</v>
      </c>
      <c r="J27" s="6" t="n">
        <v>28</v>
      </c>
      <c r="K27" s="8" t="n">
        <f aca="false">I27*J27</f>
        <v>5600028</v>
      </c>
      <c r="L27" s="9" t="n">
        <v>0.6819</v>
      </c>
      <c r="M27" s="9" t="n">
        <v>2.8947</v>
      </c>
      <c r="N27" s="6" t="n">
        <v>1051816</v>
      </c>
      <c r="O27" s="6" t="n">
        <v>1053610</v>
      </c>
      <c r="P27" s="8" t="n">
        <f aca="false">IF(O27=0,0,O27-N27)</f>
        <v>1794</v>
      </c>
      <c r="Q27" s="10" t="n">
        <f aca="false">IFERROR(P27/O27,0)</f>
        <v>0.00170271732424711</v>
      </c>
      <c r="R27" s="11" t="n">
        <f aca="false">IFERROR(K27/N27,0)</f>
        <v>5.32415175277805</v>
      </c>
      <c r="S27" s="11" t="n">
        <f aca="false">IFERROR(K27/O27,0)</f>
        <v>5.31508622735168</v>
      </c>
      <c r="T27" s="6" t="n">
        <v>6</v>
      </c>
      <c r="U27" s="6" t="n">
        <v>3</v>
      </c>
    </row>
    <row r="28" customFormat="false" ht="12.75" hidden="false" customHeight="true" outlineLevel="0" collapsed="false">
      <c r="A28" s="5" t="s">
        <v>69</v>
      </c>
      <c r="B28" s="5"/>
      <c r="C28" s="6" t="n">
        <v>1024</v>
      </c>
      <c r="D28" s="6" t="n">
        <v>1024</v>
      </c>
      <c r="E28" s="6" t="n">
        <v>1024</v>
      </c>
      <c r="F28" s="6" t="n">
        <v>1024</v>
      </c>
      <c r="G28" s="6" t="n">
        <v>4096</v>
      </c>
      <c r="H28" s="5" t="s">
        <v>91</v>
      </c>
      <c r="I28" s="6" t="n">
        <v>200001</v>
      </c>
      <c r="J28" s="6" t="n">
        <v>28</v>
      </c>
      <c r="K28" s="8" t="n">
        <f aca="false">I28*J28</f>
        <v>5600028</v>
      </c>
      <c r="L28" s="9" t="n">
        <v>0.653</v>
      </c>
      <c r="M28" s="9" t="n">
        <v>0.4373</v>
      </c>
      <c r="N28" s="6" t="n">
        <v>5600028</v>
      </c>
      <c r="O28" s="6" t="n">
        <v>0</v>
      </c>
      <c r="P28" s="8" t="n">
        <f aca="false">IF(O28=0,0,O28-N28)</f>
        <v>0</v>
      </c>
      <c r="Q28" s="10" t="n">
        <f aca="false">IFERROR(P28/O28,0)</f>
        <v>0</v>
      </c>
      <c r="R28" s="11" t="n">
        <f aca="false">IFERROR(K28/N28,0)</f>
        <v>1</v>
      </c>
      <c r="S28" s="11" t="n">
        <f aca="false">IFERROR(K28/O28,0)</f>
        <v>0</v>
      </c>
      <c r="T28" s="6" t="n">
        <v>0</v>
      </c>
      <c r="U28" s="6" t="n">
        <v>3</v>
      </c>
    </row>
    <row r="29" customFormat="false" ht="12.75" hidden="false" customHeight="true" outlineLevel="0" collapsed="false">
      <c r="A29" s="5" t="s">
        <v>93</v>
      </c>
      <c r="B29" s="5"/>
      <c r="C29" s="6" t="n">
        <v>1024</v>
      </c>
      <c r="D29" s="6" t="n">
        <v>1024</v>
      </c>
      <c r="E29" s="6" t="n">
        <v>1024</v>
      </c>
      <c r="F29" s="6" t="n">
        <v>1024</v>
      </c>
      <c r="G29" s="6" t="n">
        <v>4096</v>
      </c>
      <c r="H29" s="5" t="s">
        <v>91</v>
      </c>
      <c r="I29" s="6" t="n">
        <v>200001</v>
      </c>
      <c r="J29" s="6" t="n">
        <v>28</v>
      </c>
      <c r="K29" s="8" t="n">
        <f aca="false">I29*J29</f>
        <v>5600028</v>
      </c>
      <c r="L29" s="9" t="n">
        <v>0.6875</v>
      </c>
      <c r="M29" s="9" t="n">
        <v>0.4065</v>
      </c>
      <c r="N29" s="6" t="n">
        <v>5600028</v>
      </c>
      <c r="O29" s="6" t="n">
        <v>5601104</v>
      </c>
      <c r="P29" s="8" t="n">
        <f aca="false">IF(O29=0,0,O29-N29)</f>
        <v>1076</v>
      </c>
      <c r="Q29" s="10" t="n">
        <f aca="false">IFERROR(P29/O29,0)</f>
        <v>0.000192104985017239</v>
      </c>
      <c r="R29" s="11" t="n">
        <f aca="false">IFERROR(K29/N29,0)</f>
        <v>1</v>
      </c>
      <c r="S29" s="11" t="n">
        <f aca="false">IFERROR(K29/O29,0)</f>
        <v>0.999807895014983</v>
      </c>
      <c r="T29" s="6" t="n">
        <v>6</v>
      </c>
      <c r="U29" s="6" t="n">
        <v>3</v>
      </c>
    </row>
    <row r="30" customFormat="false" ht="12.75" hidden="false" customHeight="true" outlineLevel="0" collapsed="false">
      <c r="A30" s="5" t="s">
        <v>90</v>
      </c>
      <c r="B30" s="5"/>
      <c r="C30" s="6" t="n">
        <v>4096</v>
      </c>
      <c r="D30" s="6" t="n">
        <v>4096</v>
      </c>
      <c r="E30" s="6" t="n">
        <v>4096</v>
      </c>
      <c r="F30" s="6" t="n">
        <v>4096</v>
      </c>
      <c r="G30" s="6" t="n">
        <v>4096</v>
      </c>
      <c r="H30" s="5" t="s">
        <v>91</v>
      </c>
      <c r="I30" s="6" t="n">
        <v>200001</v>
      </c>
      <c r="J30" s="6" t="n">
        <v>28</v>
      </c>
      <c r="K30" s="8" t="n">
        <f aca="false">I30*J30</f>
        <v>5600028</v>
      </c>
      <c r="L30" s="9" t="n">
        <v>0.6797</v>
      </c>
      <c r="M30" s="9" t="n">
        <v>7.5978</v>
      </c>
      <c r="N30" s="6" t="n">
        <v>1712535</v>
      </c>
      <c r="O30" s="6" t="n">
        <v>1712995</v>
      </c>
      <c r="P30" s="8" t="n">
        <f aca="false">IF(O30=0,0,O30-N30)</f>
        <v>460</v>
      </c>
      <c r="Q30" s="10" t="n">
        <f aca="false">IFERROR(P30/O30,0)</f>
        <v>0.000268535518200579</v>
      </c>
      <c r="R30" s="11" t="n">
        <f aca="false">IFERROR(K30/N30,0)</f>
        <v>3.27002251048884</v>
      </c>
      <c r="S30" s="11" t="n">
        <f aca="false">IFERROR(K30/O30,0)</f>
        <v>3.26914439329946</v>
      </c>
      <c r="T30" s="6" t="n">
        <v>2</v>
      </c>
      <c r="U30" s="6" t="n">
        <v>3</v>
      </c>
    </row>
    <row r="31" customFormat="false" ht="12.75" hidden="false" customHeight="true" outlineLevel="0" collapsed="false">
      <c r="A31" s="5" t="s">
        <v>92</v>
      </c>
      <c r="B31" s="5"/>
      <c r="C31" s="6" t="n">
        <v>4096</v>
      </c>
      <c r="D31" s="6" t="n">
        <v>4096</v>
      </c>
      <c r="E31" s="6" t="n">
        <v>4096</v>
      </c>
      <c r="F31" s="6" t="n">
        <v>4096</v>
      </c>
      <c r="G31" s="6" t="n">
        <v>4096</v>
      </c>
      <c r="H31" s="5" t="s">
        <v>91</v>
      </c>
      <c r="I31" s="6" t="n">
        <v>200001</v>
      </c>
      <c r="J31" s="6" t="n">
        <v>28</v>
      </c>
      <c r="K31" s="8" t="n">
        <f aca="false">I31*J31</f>
        <v>5600028</v>
      </c>
      <c r="L31" s="9" t="n">
        <v>0.7017</v>
      </c>
      <c r="M31" s="9" t="n">
        <v>10.9161</v>
      </c>
      <c r="N31" s="6" t="n">
        <v>1245607</v>
      </c>
      <c r="O31" s="6" t="n">
        <v>1246457</v>
      </c>
      <c r="P31" s="8" t="n">
        <f aca="false">IF(O31=0,0,O31-N31)</f>
        <v>850</v>
      </c>
      <c r="Q31" s="10" t="n">
        <f aca="false">IFERROR(P31/O31,0)</f>
        <v>0.000681932870528225</v>
      </c>
      <c r="R31" s="11" t="n">
        <f aca="false">IFERROR(K31/N31,0)</f>
        <v>4.49582251865958</v>
      </c>
      <c r="S31" s="11" t="n">
        <f aca="false">IFERROR(K31/O31,0)</f>
        <v>4.49275666950404</v>
      </c>
      <c r="T31" s="6" t="n">
        <v>2</v>
      </c>
      <c r="U31" s="6" t="n">
        <v>3</v>
      </c>
    </row>
    <row r="32" customFormat="false" ht="12.75" hidden="false" customHeight="true" outlineLevel="0" collapsed="false">
      <c r="A32" s="5" t="s">
        <v>92</v>
      </c>
      <c r="B32" s="12" t="n">
        <v>0.1</v>
      </c>
      <c r="C32" s="6" t="n">
        <v>4096</v>
      </c>
      <c r="D32" s="6" t="n">
        <v>4096</v>
      </c>
      <c r="E32" s="6" t="n">
        <v>4096</v>
      </c>
      <c r="F32" s="6" t="n">
        <v>4096</v>
      </c>
      <c r="G32" s="6" t="n">
        <v>4096</v>
      </c>
      <c r="H32" s="5" t="s">
        <v>91</v>
      </c>
      <c r="I32" s="6" t="n">
        <v>200001</v>
      </c>
      <c r="J32" s="6" t="n">
        <v>28</v>
      </c>
      <c r="K32" s="8" t="n">
        <f aca="false">I32*J32</f>
        <v>5600028</v>
      </c>
      <c r="L32" s="9" t="n">
        <v>0.6805</v>
      </c>
      <c r="M32" s="9" t="n">
        <v>11.3982</v>
      </c>
      <c r="N32" s="6" t="n">
        <v>897067</v>
      </c>
      <c r="O32" s="6" t="n">
        <v>897917</v>
      </c>
      <c r="P32" s="8" t="n">
        <f aca="false">IF(O32=0,0,O32-N32)</f>
        <v>850</v>
      </c>
      <c r="Q32" s="10" t="n">
        <f aca="false">IFERROR(P32/O32,0)</f>
        <v>0.000946635379439302</v>
      </c>
      <c r="R32" s="11" t="n">
        <f aca="false">IFERROR(K32/N32,0)</f>
        <v>6.24259726419543</v>
      </c>
      <c r="S32" s="11" t="n">
        <f aca="false">IFERROR(K32/O32,0)</f>
        <v>6.23668780076555</v>
      </c>
      <c r="T32" s="6" t="n">
        <v>2</v>
      </c>
      <c r="U32" s="6" t="n">
        <v>3</v>
      </c>
    </row>
    <row r="33" customFormat="false" ht="12.75" hidden="false" customHeight="true" outlineLevel="0" collapsed="false">
      <c r="A33" s="5" t="s">
        <v>92</v>
      </c>
      <c r="B33" s="12" t="n">
        <v>1</v>
      </c>
      <c r="C33" s="6" t="n">
        <v>4096</v>
      </c>
      <c r="D33" s="6" t="n">
        <v>4096</v>
      </c>
      <c r="E33" s="6" t="n">
        <v>4096</v>
      </c>
      <c r="F33" s="6" t="n">
        <v>4096</v>
      </c>
      <c r="G33" s="6" t="n">
        <v>4096</v>
      </c>
      <c r="H33" s="5" t="s">
        <v>91</v>
      </c>
      <c r="I33" s="6" t="n">
        <v>200001</v>
      </c>
      <c r="J33" s="6" t="n">
        <v>28</v>
      </c>
      <c r="K33" s="8" t="n">
        <f aca="false">I33*J33</f>
        <v>5600028</v>
      </c>
      <c r="L33" s="9" t="n">
        <v>0.6573</v>
      </c>
      <c r="M33" s="9" t="n">
        <v>13.3751</v>
      </c>
      <c r="N33" s="6" t="n">
        <v>807007</v>
      </c>
      <c r="O33" s="6" t="n">
        <v>807857</v>
      </c>
      <c r="P33" s="8" t="n">
        <f aca="false">IF(O33=0,0,O33-N33)</f>
        <v>850</v>
      </c>
      <c r="Q33" s="10" t="n">
        <f aca="false">IFERROR(P33/O33,0)</f>
        <v>0.00105216641063951</v>
      </c>
      <c r="R33" s="11" t="n">
        <f aca="false">IFERROR(K33/N33,0)</f>
        <v>6.93925579332026</v>
      </c>
      <c r="S33" s="11" t="n">
        <f aca="false">IFERROR(K33/O33,0)</f>
        <v>6.93195454145969</v>
      </c>
      <c r="T33" s="6" t="n">
        <v>2</v>
      </c>
      <c r="U33" s="6" t="n">
        <v>3</v>
      </c>
    </row>
    <row r="34" customFormat="false" ht="12.75" hidden="false" customHeight="true" outlineLevel="0" collapsed="false">
      <c r="A34" s="5" t="s">
        <v>92</v>
      </c>
      <c r="B34" s="12" t="n">
        <v>5</v>
      </c>
      <c r="C34" s="6" t="n">
        <v>4096</v>
      </c>
      <c r="D34" s="6" t="n">
        <v>4096</v>
      </c>
      <c r="E34" s="6" t="n">
        <v>4096</v>
      </c>
      <c r="F34" s="6" t="n">
        <v>4096</v>
      </c>
      <c r="G34" s="6" t="n">
        <v>4096</v>
      </c>
      <c r="H34" s="5" t="s">
        <v>91</v>
      </c>
      <c r="I34" s="6" t="n">
        <v>200001</v>
      </c>
      <c r="J34" s="6" t="n">
        <v>28</v>
      </c>
      <c r="K34" s="8" t="n">
        <f aca="false">I34*J34</f>
        <v>5600028</v>
      </c>
      <c r="L34" s="9" t="n">
        <v>0.6817</v>
      </c>
      <c r="M34" s="9" t="n">
        <v>11.3411</v>
      </c>
      <c r="N34" s="6" t="n">
        <v>735159</v>
      </c>
      <c r="O34" s="6" t="n">
        <v>736009</v>
      </c>
      <c r="P34" s="8" t="n">
        <f aca="false">IF(O34=0,0,O34-N34)</f>
        <v>850</v>
      </c>
      <c r="Q34" s="10" t="n">
        <f aca="false">IFERROR(P34/O34,0)</f>
        <v>0.00115487718220837</v>
      </c>
      <c r="R34" s="11" t="n">
        <f aca="false">IFERROR(K34/N34,0)</f>
        <v>7.61743786038122</v>
      </c>
      <c r="S34" s="11" t="n">
        <f aca="false">IFERROR(K34/O34,0)</f>
        <v>7.60864065520938</v>
      </c>
      <c r="T34" s="6" t="n">
        <v>2</v>
      </c>
      <c r="U34" s="6" t="n">
        <v>3</v>
      </c>
    </row>
    <row r="35" customFormat="false" ht="12.75" hidden="false" customHeight="true" outlineLevel="0" collapsed="false">
      <c r="A35" s="5" t="s">
        <v>69</v>
      </c>
      <c r="B35" s="5"/>
      <c r="C35" s="6" t="n">
        <v>4096</v>
      </c>
      <c r="D35" s="6" t="n">
        <v>4096</v>
      </c>
      <c r="E35" s="6" t="n">
        <v>4096</v>
      </c>
      <c r="F35" s="6" t="n">
        <v>4096</v>
      </c>
      <c r="G35" s="6" t="n">
        <v>4096</v>
      </c>
      <c r="H35" s="5" t="s">
        <v>91</v>
      </c>
      <c r="I35" s="6" t="n">
        <v>200001</v>
      </c>
      <c r="J35" s="6" t="n">
        <v>28</v>
      </c>
      <c r="K35" s="8" t="n">
        <f aca="false">I35*J35</f>
        <v>5600028</v>
      </c>
      <c r="L35" s="9" t="n">
        <v>0.6585</v>
      </c>
      <c r="M35" s="9" t="n">
        <v>0.427</v>
      </c>
      <c r="N35" s="6" t="n">
        <v>5600028</v>
      </c>
      <c r="O35" s="6" t="n">
        <v>0</v>
      </c>
      <c r="P35" s="8" t="n">
        <f aca="false">IF(O35=0,0,O35-N35)</f>
        <v>0</v>
      </c>
      <c r="Q35" s="10" t="n">
        <f aca="false">IFERROR(P35/O35,0)</f>
        <v>0</v>
      </c>
      <c r="R35" s="11" t="n">
        <f aca="false">IFERROR(K35/N35,0)</f>
        <v>1</v>
      </c>
      <c r="S35" s="11" t="n">
        <f aca="false">IFERROR(K35/O35,0)</f>
        <v>0</v>
      </c>
      <c r="T35" s="6" t="n">
        <v>0</v>
      </c>
      <c r="U35" s="6" t="n">
        <v>3</v>
      </c>
    </row>
    <row r="36" customFormat="false" ht="12.75" hidden="false" customHeight="true" outlineLevel="0" collapsed="false">
      <c r="A36" s="5" t="s">
        <v>93</v>
      </c>
      <c r="B36" s="5"/>
      <c r="C36" s="6" t="n">
        <v>4096</v>
      </c>
      <c r="D36" s="6" t="n">
        <v>4096</v>
      </c>
      <c r="E36" s="6" t="n">
        <v>4096</v>
      </c>
      <c r="F36" s="6" t="n">
        <v>4096</v>
      </c>
      <c r="G36" s="6" t="n">
        <v>4096</v>
      </c>
      <c r="H36" s="5" t="s">
        <v>91</v>
      </c>
      <c r="I36" s="6" t="n">
        <v>200001</v>
      </c>
      <c r="J36" s="6" t="n">
        <v>28</v>
      </c>
      <c r="K36" s="8" t="n">
        <f aca="false">I36*J36</f>
        <v>5600028</v>
      </c>
      <c r="L36" s="9" t="n">
        <v>0.6623</v>
      </c>
      <c r="M36" s="9" t="n">
        <v>0.4198</v>
      </c>
      <c r="N36" s="6" t="n">
        <v>5600028</v>
      </c>
      <c r="O36" s="6" t="n">
        <v>5600864</v>
      </c>
      <c r="P36" s="8" t="n">
        <f aca="false">IF(O36=0,0,O36-N36)</f>
        <v>836</v>
      </c>
      <c r="Q36" s="10" t="n">
        <f aca="false">IFERROR(P36/O36,0)</f>
        <v>0.000149262685185714</v>
      </c>
      <c r="R36" s="11" t="n">
        <f aca="false">IFERROR(K36/N36,0)</f>
        <v>1</v>
      </c>
      <c r="S36" s="11" t="n">
        <f aca="false">IFERROR(K36/O36,0)</f>
        <v>0.999850737314814</v>
      </c>
      <c r="T36" s="6" t="n">
        <v>2</v>
      </c>
      <c r="U36" s="6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65"/>
    <col collapsed="false" customWidth="true" hidden="false" outlineLevel="0" max="31" min="2" style="1" width="13.62"/>
  </cols>
  <sheetData>
    <row r="1" customFormat="false" ht="34.5" hidden="false" customHeight="true" outlineLevel="0" collapsed="false">
      <c r="A1" s="7" t="s">
        <v>80</v>
      </c>
      <c r="B1" s="7" t="s">
        <v>81</v>
      </c>
      <c r="C1" s="7" t="s">
        <v>67</v>
      </c>
      <c r="D1" s="7" t="s">
        <v>82</v>
      </c>
      <c r="E1" s="7" t="s">
        <v>83</v>
      </c>
      <c r="F1" s="7" t="s">
        <v>84</v>
      </c>
      <c r="G1" s="7" t="s">
        <v>85</v>
      </c>
      <c r="H1" s="7" t="s">
        <v>86</v>
      </c>
      <c r="I1" s="7" t="s">
        <v>8</v>
      </c>
      <c r="J1" s="7" t="s">
        <v>87</v>
      </c>
      <c r="K1" s="7" t="s">
        <v>45</v>
      </c>
      <c r="L1" s="7" t="s">
        <v>63</v>
      </c>
      <c r="M1" s="7" t="s">
        <v>65</v>
      </c>
      <c r="N1" s="7" t="s">
        <v>47</v>
      </c>
      <c r="O1" s="7" t="s">
        <v>49</v>
      </c>
      <c r="P1" s="7" t="s">
        <v>51</v>
      </c>
      <c r="Q1" s="7" t="s">
        <v>53</v>
      </c>
      <c r="R1" s="7" t="s">
        <v>55</v>
      </c>
      <c r="S1" s="7" t="s">
        <v>57</v>
      </c>
      <c r="T1" s="7" t="s">
        <v>59</v>
      </c>
      <c r="U1" s="7" t="s">
        <v>61</v>
      </c>
      <c r="V1" s="7" t="s">
        <v>88</v>
      </c>
      <c r="W1" s="7" t="s">
        <v>89</v>
      </c>
      <c r="X1" s="7" t="s">
        <v>94</v>
      </c>
      <c r="Y1" s="7" t="s">
        <v>95</v>
      </c>
      <c r="Z1" s="7" t="s">
        <v>96</v>
      </c>
      <c r="AA1" s="7" t="s">
        <v>97</v>
      </c>
      <c r="AB1" s="7" t="s">
        <v>98</v>
      </c>
      <c r="AC1" s="7" t="s">
        <v>99</v>
      </c>
      <c r="AD1" s="7" t="s">
        <v>100</v>
      </c>
      <c r="AE1" s="7" t="s">
        <v>101</v>
      </c>
    </row>
    <row r="2" customFormat="false" ht="12.75" hidden="false" customHeight="true" outlineLevel="0" collapsed="false">
      <c r="A2" s="5" t="s">
        <v>102</v>
      </c>
      <c r="B2" s="5"/>
      <c r="C2" s="6" t="n">
        <v>16</v>
      </c>
      <c r="D2" s="6" t="n">
        <v>16</v>
      </c>
      <c r="E2" s="6" t="n">
        <v>16</v>
      </c>
      <c r="F2" s="6" t="n">
        <v>16</v>
      </c>
      <c r="G2" s="6" t="n">
        <v>4096</v>
      </c>
      <c r="H2" s="5" t="s">
        <v>91</v>
      </c>
      <c r="I2" s="6" t="n">
        <v>200001</v>
      </c>
      <c r="J2" s="6" t="n">
        <v>28</v>
      </c>
      <c r="K2" s="8" t="n">
        <f aca="false">I2*J2</f>
        <v>5600028</v>
      </c>
      <c r="L2" s="9" t="n">
        <v>0.8098</v>
      </c>
      <c r="M2" s="9" t="n">
        <v>0.4267</v>
      </c>
      <c r="N2" s="6" t="n">
        <v>2007323</v>
      </c>
      <c r="O2" s="6" t="n">
        <v>2028856</v>
      </c>
      <c r="P2" s="8" t="n">
        <f aca="false">IF(O2=0,0,O2-N2)</f>
        <v>21533</v>
      </c>
      <c r="Q2" s="10" t="n">
        <f aca="false">IFERROR(P2/O2,0)</f>
        <v>0.0106133702934067</v>
      </c>
      <c r="R2" s="11" t="n">
        <f aca="false">IFERROR(K2/N2,0)</f>
        <v>2.78979915041077</v>
      </c>
      <c r="S2" s="11" t="n">
        <f aca="false">IFERROR(K2/O2,0)</f>
        <v>2.76018997898323</v>
      </c>
      <c r="T2" s="8" t="n">
        <f aca="false">K2-X2-Z2</f>
        <v>5232780</v>
      </c>
      <c r="U2" s="11" t="n">
        <f aca="false">IFERROR(T2/(AB2+AD2),0)</f>
        <v>3.19057360181699</v>
      </c>
      <c r="V2" s="6" t="n">
        <v>275</v>
      </c>
      <c r="W2" s="6" t="n">
        <v>3</v>
      </c>
      <c r="X2" s="5"/>
      <c r="Y2" s="5"/>
      <c r="Z2" s="6" t="n">
        <v>367248</v>
      </c>
      <c r="AA2" s="6" t="n">
        <v>377866</v>
      </c>
      <c r="AB2" s="6" t="n">
        <v>1640075</v>
      </c>
      <c r="AC2" s="6" t="n">
        <v>1650990</v>
      </c>
      <c r="AD2" s="5"/>
      <c r="AE2" s="5"/>
    </row>
    <row r="3" customFormat="false" ht="12.75" hidden="false" customHeight="true" outlineLevel="0" collapsed="false">
      <c r="A3" s="5" t="s">
        <v>103</v>
      </c>
      <c r="B3" s="5"/>
      <c r="C3" s="6" t="n">
        <v>16</v>
      </c>
      <c r="D3" s="6" t="n">
        <v>16</v>
      </c>
      <c r="E3" s="6" t="n">
        <v>16</v>
      </c>
      <c r="F3" s="6" t="n">
        <v>16</v>
      </c>
      <c r="G3" s="6" t="n">
        <v>4096</v>
      </c>
      <c r="H3" s="5" t="s">
        <v>91</v>
      </c>
      <c r="I3" s="6" t="n">
        <v>200001</v>
      </c>
      <c r="J3" s="6" t="n">
        <v>28</v>
      </c>
      <c r="K3" s="8" t="n">
        <f aca="false">I3*J3</f>
        <v>5600028</v>
      </c>
      <c r="L3" s="9" t="n">
        <v>0.7906</v>
      </c>
      <c r="M3" s="9" t="n">
        <v>0.4572</v>
      </c>
      <c r="N3" s="6" t="n">
        <v>1476829</v>
      </c>
      <c r="O3" s="6" t="n">
        <v>1548477</v>
      </c>
      <c r="P3" s="8" t="n">
        <f aca="false">IF(O3=0,0,O3-N3)</f>
        <v>71648</v>
      </c>
      <c r="Q3" s="10" t="n">
        <f aca="false">IFERROR(P3/O3,0)</f>
        <v>0.0462699801159462</v>
      </c>
      <c r="R3" s="11" t="n">
        <f aca="false">IFERROR(K3/N3,0)</f>
        <v>3.79192716286043</v>
      </c>
      <c r="S3" s="11" t="n">
        <f aca="false">IFERROR(K3/O3,0)</f>
        <v>3.61647476843376</v>
      </c>
      <c r="T3" s="8" t="n">
        <f aca="false">K3-X3-Z3</f>
        <v>5232780</v>
      </c>
      <c r="U3" s="11" t="n">
        <f aca="false">IFERROR(T3/(AB3+AD3),0)</f>
        <v>4.71599639864057</v>
      </c>
      <c r="V3" s="6" t="n">
        <v>275</v>
      </c>
      <c r="W3" s="6" t="n">
        <v>3</v>
      </c>
      <c r="X3" s="5"/>
      <c r="Y3" s="5"/>
      <c r="Z3" s="6" t="n">
        <v>367248</v>
      </c>
      <c r="AA3" s="6" t="n">
        <v>377866</v>
      </c>
      <c r="AB3" s="5"/>
      <c r="AC3" s="5"/>
      <c r="AD3" s="6" t="n">
        <v>1109581</v>
      </c>
      <c r="AE3" s="6" t="n">
        <v>1170611</v>
      </c>
    </row>
    <row r="4" customFormat="false" ht="12.75" hidden="false" customHeight="true" outlineLevel="0" collapsed="false">
      <c r="A4" s="5" t="s">
        <v>103</v>
      </c>
      <c r="B4" s="12" t="n">
        <v>0.1</v>
      </c>
      <c r="C4" s="6" t="n">
        <v>16</v>
      </c>
      <c r="D4" s="6" t="n">
        <v>16</v>
      </c>
      <c r="E4" s="6" t="n">
        <v>16</v>
      </c>
      <c r="F4" s="6" t="n">
        <v>16</v>
      </c>
      <c r="G4" s="6" t="n">
        <v>4096</v>
      </c>
      <c r="H4" s="5" t="s">
        <v>91</v>
      </c>
      <c r="I4" s="6" t="n">
        <v>200001</v>
      </c>
      <c r="J4" s="6" t="n">
        <v>28</v>
      </c>
      <c r="K4" s="8" t="n">
        <f aca="false">I4*J4</f>
        <v>5600028</v>
      </c>
      <c r="L4" s="9" t="n">
        <v>0.738</v>
      </c>
      <c r="M4" s="9" t="n">
        <v>0.4081</v>
      </c>
      <c r="N4" s="6" t="n">
        <v>1111309</v>
      </c>
      <c r="O4" s="6" t="n">
        <v>1182957</v>
      </c>
      <c r="P4" s="8" t="n">
        <f aca="false">IF(O4=0,0,O4-N4)</f>
        <v>71648</v>
      </c>
      <c r="Q4" s="10" t="n">
        <f aca="false">IFERROR(P4/O4,0)</f>
        <v>0.0605668676038098</v>
      </c>
      <c r="R4" s="11" t="n">
        <f aca="false">IFERROR(K4/N4,0)</f>
        <v>5.03912773135105</v>
      </c>
      <c r="S4" s="11" t="n">
        <f aca="false">IFERROR(K4/O4,0)</f>
        <v>4.73392354920762</v>
      </c>
      <c r="T4" s="8" t="n">
        <f aca="false">K4-X4-Z4</f>
        <v>5232780</v>
      </c>
      <c r="U4" s="11" t="n">
        <f aca="false">IFERROR(T4/(AB4+AD4),0)</f>
        <v>7.0327298433865</v>
      </c>
      <c r="V4" s="6" t="n">
        <v>275</v>
      </c>
      <c r="W4" s="6" t="n">
        <v>3</v>
      </c>
      <c r="X4" s="5"/>
      <c r="Y4" s="5"/>
      <c r="Z4" s="6" t="n">
        <v>367248</v>
      </c>
      <c r="AA4" s="6" t="n">
        <v>377866</v>
      </c>
      <c r="AB4" s="5"/>
      <c r="AC4" s="5"/>
      <c r="AD4" s="6" t="n">
        <v>744061</v>
      </c>
      <c r="AE4" s="6" t="n">
        <v>805091</v>
      </c>
    </row>
    <row r="5" customFormat="false" ht="12.75" hidden="false" customHeight="true" outlineLevel="0" collapsed="false">
      <c r="A5" s="5" t="s">
        <v>103</v>
      </c>
      <c r="B5" s="12" t="n">
        <v>1</v>
      </c>
      <c r="C5" s="6" t="n">
        <v>16</v>
      </c>
      <c r="D5" s="6" t="n">
        <v>16</v>
      </c>
      <c r="E5" s="6" t="n">
        <v>16</v>
      </c>
      <c r="F5" s="6" t="n">
        <v>16</v>
      </c>
      <c r="G5" s="6" t="n">
        <v>4096</v>
      </c>
      <c r="H5" s="5" t="s">
        <v>91</v>
      </c>
      <c r="I5" s="6" t="n">
        <v>200001</v>
      </c>
      <c r="J5" s="6" t="n">
        <v>28</v>
      </c>
      <c r="K5" s="8" t="n">
        <f aca="false">I5*J5</f>
        <v>5600028</v>
      </c>
      <c r="L5" s="9" t="n">
        <v>0.6896</v>
      </c>
      <c r="M5" s="9" t="n">
        <v>0.4378</v>
      </c>
      <c r="N5" s="6" t="n">
        <v>1037711</v>
      </c>
      <c r="O5" s="6" t="n">
        <v>1109359</v>
      </c>
      <c r="P5" s="8" t="n">
        <f aca="false">IF(O5=0,0,O5-N5)</f>
        <v>71648</v>
      </c>
      <c r="Q5" s="10" t="n">
        <f aca="false">IFERROR(P5/O5,0)</f>
        <v>0.0645850441561298</v>
      </c>
      <c r="R5" s="11" t="n">
        <f aca="false">IFERROR(K5/N5,0)</f>
        <v>5.39651984030236</v>
      </c>
      <c r="S5" s="11" t="n">
        <f aca="false">IFERROR(K5/O5,0)</f>
        <v>5.047985368127</v>
      </c>
      <c r="T5" s="8" t="n">
        <f aca="false">K5-X5-Z5</f>
        <v>5232780</v>
      </c>
      <c r="U5" s="11" t="n">
        <f aca="false">IFERROR(T5/(AB5+AD5),0)</f>
        <v>7.80472598786212</v>
      </c>
      <c r="V5" s="6" t="n">
        <v>275</v>
      </c>
      <c r="W5" s="6" t="n">
        <v>3</v>
      </c>
      <c r="X5" s="5"/>
      <c r="Y5" s="5"/>
      <c r="Z5" s="6" t="n">
        <v>367248</v>
      </c>
      <c r="AA5" s="6" t="n">
        <v>377866</v>
      </c>
      <c r="AB5" s="5"/>
      <c r="AC5" s="5"/>
      <c r="AD5" s="6" t="n">
        <v>670463</v>
      </c>
      <c r="AE5" s="6" t="n">
        <v>731493</v>
      </c>
    </row>
    <row r="6" customFormat="false" ht="12.75" hidden="false" customHeight="true" outlineLevel="0" collapsed="false">
      <c r="A6" s="5" t="s">
        <v>103</v>
      </c>
      <c r="B6" s="12" t="n">
        <v>5</v>
      </c>
      <c r="C6" s="6" t="n">
        <v>16</v>
      </c>
      <c r="D6" s="6" t="n">
        <v>16</v>
      </c>
      <c r="E6" s="6" t="n">
        <v>16</v>
      </c>
      <c r="F6" s="6" t="n">
        <v>16</v>
      </c>
      <c r="G6" s="6" t="n">
        <v>4096</v>
      </c>
      <c r="H6" s="5" t="s">
        <v>91</v>
      </c>
      <c r="I6" s="6" t="n">
        <v>200001</v>
      </c>
      <c r="J6" s="6" t="n">
        <v>28</v>
      </c>
      <c r="K6" s="8" t="n">
        <f aca="false">I6*J6</f>
        <v>5600028</v>
      </c>
      <c r="L6" s="9" t="n">
        <v>0.8259</v>
      </c>
      <c r="M6" s="9" t="n">
        <v>0.4572</v>
      </c>
      <c r="N6" s="6" t="n">
        <v>985610</v>
      </c>
      <c r="O6" s="6" t="n">
        <v>1057258</v>
      </c>
      <c r="P6" s="8" t="n">
        <f aca="false">IF(O6=0,0,O6-N6)</f>
        <v>71648</v>
      </c>
      <c r="Q6" s="10" t="n">
        <f aca="false">IFERROR(P6/O6,0)</f>
        <v>0.0677677539446379</v>
      </c>
      <c r="R6" s="11" t="n">
        <f aca="false">IFERROR(K6/N6,0)</f>
        <v>5.68178894288816</v>
      </c>
      <c r="S6" s="11" t="n">
        <f aca="false">IFERROR(K6/O6,0)</f>
        <v>5.29674686784115</v>
      </c>
      <c r="T6" s="8" t="n">
        <f aca="false">K6-X6-Z6</f>
        <v>5232780</v>
      </c>
      <c r="U6" s="11" t="n">
        <f aca="false">IFERROR(T6/(AB6+AD6),0)</f>
        <v>8.46232465772476</v>
      </c>
      <c r="V6" s="6" t="n">
        <v>275</v>
      </c>
      <c r="W6" s="6" t="n">
        <v>3</v>
      </c>
      <c r="X6" s="5"/>
      <c r="Y6" s="5"/>
      <c r="Z6" s="6" t="n">
        <v>367248</v>
      </c>
      <c r="AA6" s="6" t="n">
        <v>377866</v>
      </c>
      <c r="AB6" s="5"/>
      <c r="AC6" s="5"/>
      <c r="AD6" s="6" t="n">
        <v>618362</v>
      </c>
      <c r="AE6" s="6" t="n">
        <v>679392</v>
      </c>
    </row>
    <row r="7" customFormat="false" ht="12.75" hidden="false" customHeight="true" outlineLevel="0" collapsed="false">
      <c r="A7" s="5" t="s">
        <v>102</v>
      </c>
      <c r="B7" s="5"/>
      <c r="C7" s="6" t="n">
        <v>64</v>
      </c>
      <c r="D7" s="6" t="n">
        <v>64</v>
      </c>
      <c r="E7" s="6" t="n">
        <v>64</v>
      </c>
      <c r="F7" s="6" t="n">
        <v>64</v>
      </c>
      <c r="G7" s="6" t="n">
        <v>4096</v>
      </c>
      <c r="H7" s="5" t="s">
        <v>91</v>
      </c>
      <c r="I7" s="6" t="n">
        <v>200001</v>
      </c>
      <c r="J7" s="6" t="n">
        <v>28</v>
      </c>
      <c r="K7" s="8" t="n">
        <f aca="false">I7*J7</f>
        <v>5600028</v>
      </c>
      <c r="L7" s="9" t="n">
        <v>0.6931</v>
      </c>
      <c r="M7" s="9" t="n">
        <v>0.4137</v>
      </c>
      <c r="N7" s="6" t="n">
        <v>1973692</v>
      </c>
      <c r="O7" s="6" t="n">
        <v>1980124</v>
      </c>
      <c r="P7" s="8" t="n">
        <f aca="false">IF(O7=0,0,O7-N7)</f>
        <v>6432</v>
      </c>
      <c r="Q7" s="10" t="n">
        <f aca="false">IFERROR(P7/O7,0)</f>
        <v>0.00324828142075951</v>
      </c>
      <c r="R7" s="11" t="n">
        <f aca="false">IFERROR(K7/N7,0)</f>
        <v>2.83733632197932</v>
      </c>
      <c r="S7" s="11" t="n">
        <f aca="false">IFERROR(K7/O7,0)</f>
        <v>2.82811985512018</v>
      </c>
      <c r="T7" s="8" t="n">
        <f aca="false">K7-X7-Z7</f>
        <v>5232780</v>
      </c>
      <c r="U7" s="11" t="n">
        <f aca="false">IFERROR(T7/(AB7+AD7),0)</f>
        <v>3.25736844857337</v>
      </c>
      <c r="V7" s="6" t="n">
        <v>82</v>
      </c>
      <c r="W7" s="6" t="n">
        <v>3</v>
      </c>
      <c r="X7" s="5"/>
      <c r="Y7" s="5"/>
      <c r="Z7" s="6" t="n">
        <v>367248</v>
      </c>
      <c r="AA7" s="6" t="n">
        <v>370186</v>
      </c>
      <c r="AB7" s="6" t="n">
        <v>1606444</v>
      </c>
      <c r="AC7" s="6" t="n">
        <v>1609938</v>
      </c>
      <c r="AD7" s="5"/>
      <c r="AE7" s="5"/>
    </row>
    <row r="8" customFormat="false" ht="12.75" hidden="false" customHeight="true" outlineLevel="0" collapsed="false">
      <c r="A8" s="5" t="s">
        <v>103</v>
      </c>
      <c r="B8" s="5"/>
      <c r="C8" s="6" t="n">
        <v>64</v>
      </c>
      <c r="D8" s="6" t="n">
        <v>64</v>
      </c>
      <c r="E8" s="6" t="n">
        <v>64</v>
      </c>
      <c r="F8" s="6" t="n">
        <v>64</v>
      </c>
      <c r="G8" s="6" t="n">
        <v>4096</v>
      </c>
      <c r="H8" s="5" t="s">
        <v>91</v>
      </c>
      <c r="I8" s="6" t="n">
        <v>200001</v>
      </c>
      <c r="J8" s="6" t="n">
        <v>28</v>
      </c>
      <c r="K8" s="8" t="n">
        <f aca="false">I8*J8</f>
        <v>5600028</v>
      </c>
      <c r="L8" s="9" t="n">
        <v>0.7005</v>
      </c>
      <c r="M8" s="9" t="n">
        <v>0.4227</v>
      </c>
      <c r="N8" s="6" t="n">
        <v>1766946</v>
      </c>
      <c r="O8" s="6" t="n">
        <v>1788198</v>
      </c>
      <c r="P8" s="8" t="n">
        <f aca="false">IF(O8=0,0,O8-N8)</f>
        <v>21252</v>
      </c>
      <c r="Q8" s="10" t="n">
        <f aca="false">IFERROR(P8/O8,0)</f>
        <v>0.0118845899615143</v>
      </c>
      <c r="R8" s="11" t="n">
        <f aca="false">IFERROR(K8/N8,0)</f>
        <v>3.16932605750261</v>
      </c>
      <c r="S8" s="11" t="n">
        <f aca="false">IFERROR(K8/O8,0)</f>
        <v>3.13165991685485</v>
      </c>
      <c r="T8" s="8" t="n">
        <f aca="false">K8-X8-Z8</f>
        <v>5232780</v>
      </c>
      <c r="U8" s="11" t="n">
        <f aca="false">IFERROR(T8/(AB8+AD8),0)</f>
        <v>3.73850644924834</v>
      </c>
      <c r="V8" s="6" t="n">
        <v>82</v>
      </c>
      <c r="W8" s="6" t="n">
        <v>3</v>
      </c>
      <c r="X8" s="5"/>
      <c r="Y8" s="5"/>
      <c r="Z8" s="6" t="n">
        <v>367248</v>
      </c>
      <c r="AA8" s="6" t="n">
        <v>370186</v>
      </c>
      <c r="AB8" s="5"/>
      <c r="AC8" s="5"/>
      <c r="AD8" s="6" t="n">
        <v>1399698</v>
      </c>
      <c r="AE8" s="6" t="n">
        <v>1418012</v>
      </c>
    </row>
    <row r="9" customFormat="false" ht="12.75" hidden="false" customHeight="true" outlineLevel="0" collapsed="false">
      <c r="A9" s="5" t="s">
        <v>103</v>
      </c>
      <c r="B9" s="12" t="n">
        <v>0.1</v>
      </c>
      <c r="C9" s="6" t="n">
        <v>64</v>
      </c>
      <c r="D9" s="6" t="n">
        <v>64</v>
      </c>
      <c r="E9" s="6" t="n">
        <v>64</v>
      </c>
      <c r="F9" s="6" t="n">
        <v>64</v>
      </c>
      <c r="G9" s="6" t="n">
        <v>4096</v>
      </c>
      <c r="H9" s="5" t="s">
        <v>91</v>
      </c>
      <c r="I9" s="6" t="n">
        <v>200001</v>
      </c>
      <c r="J9" s="6" t="n">
        <v>28</v>
      </c>
      <c r="K9" s="8" t="n">
        <f aca="false">I9*J9</f>
        <v>5600028</v>
      </c>
      <c r="L9" s="9" t="n">
        <v>0.6785</v>
      </c>
      <c r="M9" s="9" t="n">
        <v>0.4285</v>
      </c>
      <c r="N9" s="6" t="n">
        <v>1428231</v>
      </c>
      <c r="O9" s="6" t="n">
        <v>1449483</v>
      </c>
      <c r="P9" s="8" t="n">
        <f aca="false">IF(O9=0,0,O9-N9)</f>
        <v>21252</v>
      </c>
      <c r="Q9" s="10" t="n">
        <f aca="false">IFERROR(P9/O9,0)</f>
        <v>0.0146617794068644</v>
      </c>
      <c r="R9" s="11" t="n">
        <f aca="false">IFERROR(K9/N9,0)</f>
        <v>3.92095396332946</v>
      </c>
      <c r="S9" s="11" t="n">
        <f aca="false">IFERROR(K9/O9,0)</f>
        <v>3.86346580125465</v>
      </c>
      <c r="T9" s="8" t="n">
        <f aca="false">K9-X9-Z9</f>
        <v>5232780</v>
      </c>
      <c r="U9" s="11" t="n">
        <f aca="false">IFERROR(T9/(AB9+AD9),0)</f>
        <v>4.93201116323259</v>
      </c>
      <c r="V9" s="6" t="n">
        <v>82</v>
      </c>
      <c r="W9" s="6" t="n">
        <v>3</v>
      </c>
      <c r="X9" s="5"/>
      <c r="Y9" s="5"/>
      <c r="Z9" s="6" t="n">
        <v>367248</v>
      </c>
      <c r="AA9" s="6" t="n">
        <v>370186</v>
      </c>
      <c r="AB9" s="5"/>
      <c r="AC9" s="5"/>
      <c r="AD9" s="6" t="n">
        <v>1060983</v>
      </c>
      <c r="AE9" s="6" t="n">
        <v>1079297</v>
      </c>
    </row>
    <row r="10" customFormat="false" ht="12.75" hidden="false" customHeight="true" outlineLevel="0" collapsed="false">
      <c r="A10" s="5" t="s">
        <v>103</v>
      </c>
      <c r="B10" s="12" t="n">
        <v>1</v>
      </c>
      <c r="C10" s="6" t="n">
        <v>64</v>
      </c>
      <c r="D10" s="6" t="n">
        <v>64</v>
      </c>
      <c r="E10" s="6" t="n">
        <v>64</v>
      </c>
      <c r="F10" s="6" t="n">
        <v>64</v>
      </c>
      <c r="G10" s="6" t="n">
        <v>4096</v>
      </c>
      <c r="H10" s="5" t="s">
        <v>91</v>
      </c>
      <c r="I10" s="6" t="n">
        <v>200001</v>
      </c>
      <c r="J10" s="6" t="n">
        <v>28</v>
      </c>
      <c r="K10" s="8" t="n">
        <f aca="false">I10*J10</f>
        <v>5600028</v>
      </c>
      <c r="L10" s="9" t="n">
        <v>0.721</v>
      </c>
      <c r="M10" s="9" t="n">
        <v>0.43</v>
      </c>
      <c r="N10" s="6" t="n">
        <v>1351087</v>
      </c>
      <c r="O10" s="6" t="n">
        <v>1372339</v>
      </c>
      <c r="P10" s="8" t="n">
        <f aca="false">IF(O10=0,0,O10-N10)</f>
        <v>21252</v>
      </c>
      <c r="Q10" s="10" t="n">
        <f aca="false">IFERROR(P10/O10,0)</f>
        <v>0.015485969574573</v>
      </c>
      <c r="R10" s="11" t="n">
        <f aca="false">IFERROR(K10/N10,0)</f>
        <v>4.14483153194428</v>
      </c>
      <c r="S10" s="11" t="n">
        <f aca="false">IFERROR(K10/O10,0)</f>
        <v>4.08064479694886</v>
      </c>
      <c r="T10" s="8" t="n">
        <f aca="false">K10-X10-Z10</f>
        <v>5232780</v>
      </c>
      <c r="U10" s="11" t="n">
        <f aca="false">IFERROR(T10/(AB10+AD10),0)</f>
        <v>5.31873609401538</v>
      </c>
      <c r="V10" s="6" t="n">
        <v>82</v>
      </c>
      <c r="W10" s="6" t="n">
        <v>3</v>
      </c>
      <c r="X10" s="5"/>
      <c r="Y10" s="5"/>
      <c r="Z10" s="6" t="n">
        <v>367248</v>
      </c>
      <c r="AA10" s="6" t="n">
        <v>370186</v>
      </c>
      <c r="AB10" s="5"/>
      <c r="AC10" s="5"/>
      <c r="AD10" s="6" t="n">
        <v>983839</v>
      </c>
      <c r="AE10" s="6" t="n">
        <v>1002153</v>
      </c>
    </row>
    <row r="11" customFormat="false" ht="12.75" hidden="false" customHeight="true" outlineLevel="0" collapsed="false">
      <c r="A11" s="5" t="s">
        <v>103</v>
      </c>
      <c r="B11" s="12" t="n">
        <v>5</v>
      </c>
      <c r="C11" s="6" t="n">
        <v>64</v>
      </c>
      <c r="D11" s="6" t="n">
        <v>64</v>
      </c>
      <c r="E11" s="6" t="n">
        <v>64</v>
      </c>
      <c r="F11" s="6" t="n">
        <v>64</v>
      </c>
      <c r="G11" s="6" t="n">
        <v>4096</v>
      </c>
      <c r="H11" s="5" t="s">
        <v>91</v>
      </c>
      <c r="I11" s="6" t="n">
        <v>200001</v>
      </c>
      <c r="J11" s="6" t="n">
        <v>28</v>
      </c>
      <c r="K11" s="8" t="n">
        <f aca="false">I11*J11</f>
        <v>5600028</v>
      </c>
      <c r="L11" s="9" t="n">
        <v>0.7187</v>
      </c>
      <c r="M11" s="9" t="n">
        <v>0.4455</v>
      </c>
      <c r="N11" s="6" t="n">
        <v>1300852</v>
      </c>
      <c r="O11" s="6" t="n">
        <v>1322104</v>
      </c>
      <c r="P11" s="8" t="n">
        <f aca="false">IF(O11=0,0,O11-N11)</f>
        <v>21252</v>
      </c>
      <c r="Q11" s="10" t="n">
        <f aca="false">IFERROR(P11/O11,0)</f>
        <v>0.0160743784150112</v>
      </c>
      <c r="R11" s="11" t="n">
        <f aca="false">IFERROR(K11/N11,0)</f>
        <v>4.30489248584774</v>
      </c>
      <c r="S11" s="11" t="n">
        <f aca="false">IFERROR(K11/O11,0)</f>
        <v>4.23569401499428</v>
      </c>
      <c r="T11" s="8" t="n">
        <f aca="false">K11-X11-Z11</f>
        <v>5232780</v>
      </c>
      <c r="U11" s="11" t="n">
        <f aca="false">IFERROR(T11/(AB11+AD11),0)</f>
        <v>5.60492457187416</v>
      </c>
      <c r="V11" s="6" t="n">
        <v>82</v>
      </c>
      <c r="W11" s="6" t="n">
        <v>3</v>
      </c>
      <c r="X11" s="5"/>
      <c r="Y11" s="5"/>
      <c r="Z11" s="6" t="n">
        <v>367248</v>
      </c>
      <c r="AA11" s="6" t="n">
        <v>370186</v>
      </c>
      <c r="AB11" s="5"/>
      <c r="AC11" s="5"/>
      <c r="AD11" s="6" t="n">
        <v>933604</v>
      </c>
      <c r="AE11" s="6" t="n">
        <v>951918</v>
      </c>
    </row>
    <row r="12" customFormat="false" ht="12.75" hidden="false" customHeight="true" outlineLevel="0" collapsed="false">
      <c r="A12" s="5" t="s">
        <v>102</v>
      </c>
      <c r="B12" s="5"/>
      <c r="C12" s="6" t="n">
        <v>256</v>
      </c>
      <c r="D12" s="6" t="n">
        <v>256</v>
      </c>
      <c r="E12" s="6" t="n">
        <v>256</v>
      </c>
      <c r="F12" s="6" t="n">
        <v>256</v>
      </c>
      <c r="G12" s="6" t="n">
        <v>4096</v>
      </c>
      <c r="H12" s="5" t="s">
        <v>91</v>
      </c>
      <c r="I12" s="6" t="n">
        <v>200001</v>
      </c>
      <c r="J12" s="6" t="n">
        <v>28</v>
      </c>
      <c r="K12" s="8" t="n">
        <f aca="false">I12*J12</f>
        <v>5600028</v>
      </c>
      <c r="L12" s="9" t="n">
        <v>0.7665</v>
      </c>
      <c r="M12" s="9" t="n">
        <v>0.5411</v>
      </c>
      <c r="N12" s="6" t="n">
        <v>1970269</v>
      </c>
      <c r="O12" s="6" t="n">
        <v>1972485</v>
      </c>
      <c r="P12" s="8" t="n">
        <f aca="false">IF(O12=0,0,O12-N12)</f>
        <v>2216</v>
      </c>
      <c r="Q12" s="10" t="n">
        <f aca="false">IFERROR(P12/O12,0)</f>
        <v>0.00112345594516562</v>
      </c>
      <c r="R12" s="11" t="n">
        <f aca="false">IFERROR(K12/N12,0)</f>
        <v>2.84226570077487</v>
      </c>
      <c r="S12" s="11" t="n">
        <f aca="false">IFERROR(K12/O12,0)</f>
        <v>2.83907254047559</v>
      </c>
      <c r="T12" s="8" t="n">
        <f aca="false">K12-X12-Z12</f>
        <v>5232780</v>
      </c>
      <c r="U12" s="11" t="n">
        <f aca="false">IFERROR(T12/(AB12+AD12),0)</f>
        <v>3.26432404815657</v>
      </c>
      <c r="V12" s="6" t="n">
        <v>22</v>
      </c>
      <c r="W12" s="6" t="n">
        <v>3</v>
      </c>
      <c r="X12" s="5"/>
      <c r="Y12" s="5"/>
      <c r="Z12" s="6" t="n">
        <v>367248</v>
      </c>
      <c r="AA12" s="6" t="n">
        <v>368266</v>
      </c>
      <c r="AB12" s="6" t="n">
        <v>1603021</v>
      </c>
      <c r="AC12" s="6" t="n">
        <v>1604219</v>
      </c>
      <c r="AD12" s="5"/>
      <c r="AE12" s="5"/>
    </row>
    <row r="13" customFormat="false" ht="12.75" hidden="false" customHeight="true" outlineLevel="0" collapsed="false">
      <c r="A13" s="5" t="s">
        <v>103</v>
      </c>
      <c r="B13" s="5"/>
      <c r="C13" s="6" t="n">
        <v>256</v>
      </c>
      <c r="D13" s="6" t="n">
        <v>256</v>
      </c>
      <c r="E13" s="6" t="n">
        <v>256</v>
      </c>
      <c r="F13" s="6" t="n">
        <v>256</v>
      </c>
      <c r="G13" s="6" t="n">
        <v>4096</v>
      </c>
      <c r="H13" s="5" t="s">
        <v>91</v>
      </c>
      <c r="I13" s="6" t="n">
        <v>200001</v>
      </c>
      <c r="J13" s="6" t="n">
        <v>28</v>
      </c>
      <c r="K13" s="8" t="n">
        <f aca="false">I13*J13</f>
        <v>5600028</v>
      </c>
      <c r="L13" s="9" t="n">
        <v>0.7332</v>
      </c>
      <c r="M13" s="9" t="n">
        <v>0.7253</v>
      </c>
      <c r="N13" s="6" t="n">
        <v>1640906</v>
      </c>
      <c r="O13" s="6" t="n">
        <v>1647022</v>
      </c>
      <c r="P13" s="8" t="n">
        <f aca="false">IF(O13=0,0,O13-N13)</f>
        <v>6116</v>
      </c>
      <c r="Q13" s="10" t="n">
        <f aca="false">IFERROR(P13/O13,0)</f>
        <v>0.003713368734601</v>
      </c>
      <c r="R13" s="11" t="n">
        <f aca="false">IFERROR(K13/N13,0)</f>
        <v>3.41276587446204</v>
      </c>
      <c r="S13" s="11" t="n">
        <f aca="false">IFERROR(K13/O13,0)</f>
        <v>3.40009301636529</v>
      </c>
      <c r="T13" s="8" t="n">
        <f aca="false">K13-X13-Z13</f>
        <v>5232780</v>
      </c>
      <c r="U13" s="11" t="n">
        <f aca="false">IFERROR(T13/(AB13+AD13),0)</f>
        <v>4.10846553784454</v>
      </c>
      <c r="V13" s="6" t="n">
        <v>22</v>
      </c>
      <c r="W13" s="6" t="n">
        <v>3</v>
      </c>
      <c r="X13" s="5"/>
      <c r="Y13" s="5"/>
      <c r="Z13" s="6" t="n">
        <v>367248</v>
      </c>
      <c r="AA13" s="6" t="n">
        <v>368266</v>
      </c>
      <c r="AB13" s="5"/>
      <c r="AC13" s="5"/>
      <c r="AD13" s="6" t="n">
        <v>1273658</v>
      </c>
      <c r="AE13" s="6" t="n">
        <v>1278756</v>
      </c>
    </row>
    <row r="14" customFormat="false" ht="12.75" hidden="false" customHeight="true" outlineLevel="0" collapsed="false">
      <c r="A14" s="5" t="s">
        <v>103</v>
      </c>
      <c r="B14" s="12" t="n">
        <v>0.1</v>
      </c>
      <c r="C14" s="6" t="n">
        <v>256</v>
      </c>
      <c r="D14" s="6" t="n">
        <v>256</v>
      </c>
      <c r="E14" s="6" t="n">
        <v>256</v>
      </c>
      <c r="F14" s="6" t="n">
        <v>256</v>
      </c>
      <c r="G14" s="6" t="n">
        <v>4096</v>
      </c>
      <c r="H14" s="5" t="s">
        <v>91</v>
      </c>
      <c r="I14" s="6" t="n">
        <v>200001</v>
      </c>
      <c r="J14" s="6" t="n">
        <v>28</v>
      </c>
      <c r="K14" s="8" t="n">
        <f aca="false">I14*J14</f>
        <v>5600028</v>
      </c>
      <c r="L14" s="9" t="n">
        <v>0.7297</v>
      </c>
      <c r="M14" s="9" t="n">
        <v>0.7409</v>
      </c>
      <c r="N14" s="6" t="n">
        <v>1317019</v>
      </c>
      <c r="O14" s="6" t="n">
        <v>1323135</v>
      </c>
      <c r="P14" s="8" t="n">
        <f aca="false">IF(O14=0,0,O14-N14)</f>
        <v>6116</v>
      </c>
      <c r="Q14" s="10" t="n">
        <f aca="false">IFERROR(P14/O14,0)</f>
        <v>0.00462235523963919</v>
      </c>
      <c r="R14" s="11" t="n">
        <f aca="false">IFERROR(K14/N14,0)</f>
        <v>4.25204799627037</v>
      </c>
      <c r="S14" s="11" t="n">
        <f aca="false">IFERROR(K14/O14,0)</f>
        <v>4.23239351993561</v>
      </c>
      <c r="T14" s="8" t="n">
        <f aca="false">K14-X14-Z14</f>
        <v>5232780</v>
      </c>
      <c r="U14" s="11" t="n">
        <f aca="false">IFERROR(T14/(AB14+AD14),0)</f>
        <v>5.50951755739015</v>
      </c>
      <c r="V14" s="6" t="n">
        <v>22</v>
      </c>
      <c r="W14" s="6" t="n">
        <v>3</v>
      </c>
      <c r="X14" s="5"/>
      <c r="Y14" s="5"/>
      <c r="Z14" s="6" t="n">
        <v>367248</v>
      </c>
      <c r="AA14" s="6" t="n">
        <v>368266</v>
      </c>
      <c r="AB14" s="5"/>
      <c r="AC14" s="5"/>
      <c r="AD14" s="6" t="n">
        <v>949771</v>
      </c>
      <c r="AE14" s="6" t="n">
        <v>954869</v>
      </c>
    </row>
    <row r="15" customFormat="false" ht="12.75" hidden="false" customHeight="true" outlineLevel="0" collapsed="false">
      <c r="A15" s="5" t="s">
        <v>103</v>
      </c>
      <c r="B15" s="12" t="n">
        <v>1</v>
      </c>
      <c r="C15" s="6" t="n">
        <v>256</v>
      </c>
      <c r="D15" s="6" t="n">
        <v>256</v>
      </c>
      <c r="E15" s="6" t="n">
        <v>256</v>
      </c>
      <c r="F15" s="6" t="n">
        <v>256</v>
      </c>
      <c r="G15" s="6" t="n">
        <v>4096</v>
      </c>
      <c r="H15" s="5" t="s">
        <v>91</v>
      </c>
      <c r="I15" s="6" t="n">
        <v>200001</v>
      </c>
      <c r="J15" s="6" t="n">
        <v>28</v>
      </c>
      <c r="K15" s="8" t="n">
        <f aca="false">I15*J15</f>
        <v>5600028</v>
      </c>
      <c r="L15" s="9" t="n">
        <v>0.7884</v>
      </c>
      <c r="M15" s="9" t="n">
        <v>0.7474</v>
      </c>
      <c r="N15" s="6" t="n">
        <v>1224905</v>
      </c>
      <c r="O15" s="6" t="n">
        <v>1231021</v>
      </c>
      <c r="P15" s="8" t="n">
        <f aca="false">IF(O15=0,0,O15-N15)</f>
        <v>6116</v>
      </c>
      <c r="Q15" s="10" t="n">
        <f aca="false">IFERROR(P15/O15,0)</f>
        <v>0.00496823368569667</v>
      </c>
      <c r="R15" s="11" t="n">
        <f aca="false">IFERROR(K15/N15,0)</f>
        <v>4.57180597679004</v>
      </c>
      <c r="S15" s="11" t="n">
        <f aca="false">IFERROR(K15/O15,0)</f>
        <v>4.54909217633168</v>
      </c>
      <c r="T15" s="8" t="n">
        <f aca="false">K15-X15-Z15</f>
        <v>5232780</v>
      </c>
      <c r="U15" s="11" t="n">
        <f aca="false">IFERROR(T15/(AB15+AD15),0)</f>
        <v>6.10125026671502</v>
      </c>
      <c r="V15" s="6" t="n">
        <v>22</v>
      </c>
      <c r="W15" s="6" t="n">
        <v>3</v>
      </c>
      <c r="X15" s="5"/>
      <c r="Y15" s="5"/>
      <c r="Z15" s="6" t="n">
        <v>367248</v>
      </c>
      <c r="AA15" s="6" t="n">
        <v>368266</v>
      </c>
      <c r="AB15" s="5"/>
      <c r="AC15" s="5"/>
      <c r="AD15" s="6" t="n">
        <v>857657</v>
      </c>
      <c r="AE15" s="6" t="n">
        <v>862755</v>
      </c>
    </row>
    <row r="16" customFormat="false" ht="12.75" hidden="false" customHeight="true" outlineLevel="0" collapsed="false">
      <c r="A16" s="5" t="s">
        <v>103</v>
      </c>
      <c r="B16" s="12" t="n">
        <v>5</v>
      </c>
      <c r="C16" s="6" t="n">
        <v>256</v>
      </c>
      <c r="D16" s="6" t="n">
        <v>256</v>
      </c>
      <c r="E16" s="6" t="n">
        <v>256</v>
      </c>
      <c r="F16" s="6" t="n">
        <v>256</v>
      </c>
      <c r="G16" s="6" t="n">
        <v>4096</v>
      </c>
      <c r="H16" s="5" t="s">
        <v>91</v>
      </c>
      <c r="I16" s="6" t="n">
        <v>200001</v>
      </c>
      <c r="J16" s="6" t="n">
        <v>28</v>
      </c>
      <c r="K16" s="8" t="n">
        <f aca="false">I16*J16</f>
        <v>5600028</v>
      </c>
      <c r="L16" s="9" t="n">
        <v>0.747</v>
      </c>
      <c r="M16" s="9" t="n">
        <v>0.728</v>
      </c>
      <c r="N16" s="6" t="n">
        <v>1169459</v>
      </c>
      <c r="O16" s="6" t="n">
        <v>1175575</v>
      </c>
      <c r="P16" s="8" t="n">
        <f aca="false">IF(O16=0,0,O16-N16)</f>
        <v>6116</v>
      </c>
      <c r="Q16" s="10" t="n">
        <f aca="false">IFERROR(P16/O16,0)</f>
        <v>0.00520256044914191</v>
      </c>
      <c r="R16" s="11" t="n">
        <f aca="false">IFERROR(K16/N16,0)</f>
        <v>4.78856291669909</v>
      </c>
      <c r="S16" s="11" t="n">
        <f aca="false">IFERROR(K16/O16,0)</f>
        <v>4.76365012866044</v>
      </c>
      <c r="T16" s="8" t="n">
        <f aca="false">K16-X16-Z16</f>
        <v>5232780</v>
      </c>
      <c r="U16" s="11" t="n">
        <f aca="false">IFERROR(T16/(AB16+AD16),0)</f>
        <v>6.52294720466311</v>
      </c>
      <c r="V16" s="6" t="n">
        <v>22</v>
      </c>
      <c r="W16" s="6" t="n">
        <v>3</v>
      </c>
      <c r="X16" s="5"/>
      <c r="Y16" s="5"/>
      <c r="Z16" s="6" t="n">
        <v>367248</v>
      </c>
      <c r="AA16" s="6" t="n">
        <v>368266</v>
      </c>
      <c r="AB16" s="5"/>
      <c r="AC16" s="5"/>
      <c r="AD16" s="6" t="n">
        <v>802211</v>
      </c>
      <c r="AE16" s="6" t="n">
        <v>807309</v>
      </c>
    </row>
    <row r="17" customFormat="false" ht="12.75" hidden="false" customHeight="true" outlineLevel="0" collapsed="false">
      <c r="A17" s="5" t="s">
        <v>102</v>
      </c>
      <c r="B17" s="5"/>
      <c r="C17" s="6" t="n">
        <v>1024</v>
      </c>
      <c r="D17" s="6" t="n">
        <v>1024</v>
      </c>
      <c r="E17" s="6" t="n">
        <v>1024</v>
      </c>
      <c r="F17" s="6" t="n">
        <v>1024</v>
      </c>
      <c r="G17" s="6" t="n">
        <v>4096</v>
      </c>
      <c r="H17" s="5" t="s">
        <v>91</v>
      </c>
      <c r="I17" s="6" t="n">
        <v>200001</v>
      </c>
      <c r="J17" s="6" t="n">
        <v>28</v>
      </c>
      <c r="K17" s="8" t="n">
        <f aca="false">I17*J17</f>
        <v>5600028</v>
      </c>
      <c r="L17" s="9" t="n">
        <v>0.6616</v>
      </c>
      <c r="M17" s="9" t="n">
        <v>1.9656</v>
      </c>
      <c r="N17" s="6" t="n">
        <v>1969527</v>
      </c>
      <c r="O17" s="6" t="n">
        <v>1970648</v>
      </c>
      <c r="P17" s="8" t="n">
        <f aca="false">IF(O17=0,0,O17-N17)</f>
        <v>1121</v>
      </c>
      <c r="Q17" s="10" t="n">
        <f aca="false">IFERROR(P17/O17,0)</f>
        <v>0.000568848419403161</v>
      </c>
      <c r="R17" s="11" t="n">
        <f aca="false">IFERROR(K17/N17,0)</f>
        <v>2.84333649652937</v>
      </c>
      <c r="S17" s="11" t="n">
        <f aca="false">IFERROR(K17/O17,0)</f>
        <v>2.84171906905749</v>
      </c>
      <c r="T17" s="8" t="n">
        <f aca="false">K17-X17-Z17</f>
        <v>5232780</v>
      </c>
      <c r="U17" s="11" t="n">
        <f aca="false">IFERROR(T17/(AB17+AD17),0)</f>
        <v>3.26583572523886</v>
      </c>
      <c r="V17" s="6" t="n">
        <v>6</v>
      </c>
      <c r="W17" s="6" t="n">
        <v>3</v>
      </c>
      <c r="X17" s="5"/>
      <c r="Y17" s="5"/>
      <c r="Z17" s="6" t="n">
        <v>367248</v>
      </c>
      <c r="AA17" s="6" t="n">
        <v>367786</v>
      </c>
      <c r="AB17" s="6" t="n">
        <v>1602279</v>
      </c>
      <c r="AC17" s="6" t="n">
        <v>1602862</v>
      </c>
      <c r="AD17" s="5"/>
      <c r="AE17" s="5"/>
    </row>
    <row r="18" customFormat="false" ht="12.75" hidden="false" customHeight="true" outlineLevel="0" collapsed="false">
      <c r="A18" s="5" t="s">
        <v>103</v>
      </c>
      <c r="B18" s="5"/>
      <c r="C18" s="6" t="n">
        <v>1024</v>
      </c>
      <c r="D18" s="6" t="n">
        <v>1024</v>
      </c>
      <c r="E18" s="6" t="n">
        <v>1024</v>
      </c>
      <c r="F18" s="6" t="n">
        <v>1024</v>
      </c>
      <c r="G18" s="6" t="n">
        <v>4096</v>
      </c>
      <c r="H18" s="5" t="s">
        <v>91</v>
      </c>
      <c r="I18" s="6" t="n">
        <v>200001</v>
      </c>
      <c r="J18" s="6" t="n">
        <v>28</v>
      </c>
      <c r="K18" s="8" t="n">
        <f aca="false">I18*J18</f>
        <v>5600028</v>
      </c>
      <c r="L18" s="9" t="n">
        <v>0.6727</v>
      </c>
      <c r="M18" s="9" t="n">
        <v>2.6513</v>
      </c>
      <c r="N18" s="6" t="n">
        <v>1837806</v>
      </c>
      <c r="O18" s="6" t="n">
        <v>1839902</v>
      </c>
      <c r="P18" s="8" t="n">
        <f aca="false">IF(O18=0,0,O18-N18)</f>
        <v>2096</v>
      </c>
      <c r="Q18" s="10" t="n">
        <f aca="false">IFERROR(P18/O18,0)</f>
        <v>0.00113919110909168</v>
      </c>
      <c r="R18" s="11" t="n">
        <f aca="false">IFERROR(K18/N18,0)</f>
        <v>3.04712684581506</v>
      </c>
      <c r="S18" s="11" t="n">
        <f aca="false">IFERROR(K18/O18,0)</f>
        <v>3.04365558600404</v>
      </c>
      <c r="T18" s="8" t="n">
        <f aca="false">K18-X18-Z18</f>
        <v>5232780</v>
      </c>
      <c r="U18" s="11" t="n">
        <f aca="false">IFERROR(T18/(AB18+AD18),0)</f>
        <v>3.55836355995479</v>
      </c>
      <c r="V18" s="6" t="n">
        <v>6</v>
      </c>
      <c r="W18" s="6" t="n">
        <v>3</v>
      </c>
      <c r="X18" s="5"/>
      <c r="Y18" s="5"/>
      <c r="Z18" s="6" t="n">
        <v>367248</v>
      </c>
      <c r="AA18" s="6" t="n">
        <v>367786</v>
      </c>
      <c r="AB18" s="5"/>
      <c r="AC18" s="5"/>
      <c r="AD18" s="6" t="n">
        <v>1470558</v>
      </c>
      <c r="AE18" s="6" t="n">
        <v>1472116</v>
      </c>
    </row>
    <row r="19" customFormat="false" ht="12.75" hidden="false" customHeight="true" outlineLevel="0" collapsed="false">
      <c r="A19" s="5" t="s">
        <v>103</v>
      </c>
      <c r="B19" s="12" t="n">
        <v>0.1</v>
      </c>
      <c r="C19" s="6" t="n">
        <v>1024</v>
      </c>
      <c r="D19" s="6" t="n">
        <v>1024</v>
      </c>
      <c r="E19" s="6" t="n">
        <v>1024</v>
      </c>
      <c r="F19" s="6" t="n">
        <v>1024</v>
      </c>
      <c r="G19" s="6" t="n">
        <v>4096</v>
      </c>
      <c r="H19" s="5" t="s">
        <v>91</v>
      </c>
      <c r="I19" s="6" t="n">
        <v>200001</v>
      </c>
      <c r="J19" s="6" t="n">
        <v>28</v>
      </c>
      <c r="K19" s="8" t="n">
        <f aca="false">I19*J19</f>
        <v>5600028</v>
      </c>
      <c r="L19" s="9" t="n">
        <v>0.7111</v>
      </c>
      <c r="M19" s="9" t="n">
        <v>2.8274</v>
      </c>
      <c r="N19" s="6" t="n">
        <v>1513483</v>
      </c>
      <c r="O19" s="6" t="n">
        <v>1515579</v>
      </c>
      <c r="P19" s="8" t="n">
        <f aca="false">IF(O19=0,0,O19-N19)</f>
        <v>2096</v>
      </c>
      <c r="Q19" s="10" t="n">
        <f aca="false">IFERROR(P19/O19,0)</f>
        <v>0.00138296980889812</v>
      </c>
      <c r="R19" s="11" t="n">
        <f aca="false">IFERROR(K19/N19,0)</f>
        <v>3.70009309651975</v>
      </c>
      <c r="S19" s="11" t="n">
        <f aca="false">IFERROR(K19/O19,0)</f>
        <v>3.69497597947715</v>
      </c>
      <c r="T19" s="8" t="n">
        <f aca="false">K19-X19-Z19</f>
        <v>5232780</v>
      </c>
      <c r="U19" s="11" t="n">
        <f aca="false">IFERROR(T19/(AB19+AD19),0)</f>
        <v>4.56518951174934</v>
      </c>
      <c r="V19" s="6" t="n">
        <v>6</v>
      </c>
      <c r="W19" s="6" t="n">
        <v>3</v>
      </c>
      <c r="X19" s="5"/>
      <c r="Y19" s="5"/>
      <c r="Z19" s="6" t="n">
        <v>367248</v>
      </c>
      <c r="AA19" s="6" t="n">
        <v>367786</v>
      </c>
      <c r="AB19" s="5"/>
      <c r="AC19" s="5"/>
      <c r="AD19" s="6" t="n">
        <v>1146235</v>
      </c>
      <c r="AE19" s="6" t="n">
        <v>1147793</v>
      </c>
    </row>
    <row r="20" customFormat="false" ht="12.75" hidden="false" customHeight="true" outlineLevel="0" collapsed="false">
      <c r="A20" s="5" t="s">
        <v>103</v>
      </c>
      <c r="B20" s="12" t="n">
        <v>1</v>
      </c>
      <c r="C20" s="6" t="n">
        <v>1024</v>
      </c>
      <c r="D20" s="6" t="n">
        <v>1024</v>
      </c>
      <c r="E20" s="6" t="n">
        <v>1024</v>
      </c>
      <c r="F20" s="6" t="n">
        <v>1024</v>
      </c>
      <c r="G20" s="6" t="n">
        <v>4096</v>
      </c>
      <c r="H20" s="5" t="s">
        <v>91</v>
      </c>
      <c r="I20" s="6" t="n">
        <v>200001</v>
      </c>
      <c r="J20" s="6" t="n">
        <v>28</v>
      </c>
      <c r="K20" s="8" t="n">
        <f aca="false">I20*J20</f>
        <v>5600028</v>
      </c>
      <c r="L20" s="9" t="n">
        <v>0.7151</v>
      </c>
      <c r="M20" s="9" t="n">
        <v>2.8611</v>
      </c>
      <c r="N20" s="6" t="n">
        <v>1427426</v>
      </c>
      <c r="O20" s="6" t="n">
        <v>1429522</v>
      </c>
      <c r="P20" s="8" t="n">
        <f aca="false">IF(O20=0,0,O20-N20)</f>
        <v>2096</v>
      </c>
      <c r="Q20" s="10" t="n">
        <f aca="false">IFERROR(P20/O20,0)</f>
        <v>0.00146622437430134</v>
      </c>
      <c r="R20" s="11" t="n">
        <f aca="false">IFERROR(K20/N20,0)</f>
        <v>3.92316519385243</v>
      </c>
      <c r="S20" s="11" t="n">
        <f aca="false">IFERROR(K20/O20,0)</f>
        <v>3.91741295342079</v>
      </c>
      <c r="T20" s="8" t="n">
        <f aca="false">K20-X20-Z20</f>
        <v>5232780</v>
      </c>
      <c r="U20" s="11" t="n">
        <f aca="false">IFERROR(T20/(AB20+AD20),0)</f>
        <v>4.93575607115032</v>
      </c>
      <c r="V20" s="6" t="n">
        <v>6</v>
      </c>
      <c r="W20" s="6" t="n">
        <v>3</v>
      </c>
      <c r="X20" s="5"/>
      <c r="Y20" s="5"/>
      <c r="Z20" s="6" t="n">
        <v>367248</v>
      </c>
      <c r="AA20" s="6" t="n">
        <v>367786</v>
      </c>
      <c r="AB20" s="5"/>
      <c r="AC20" s="5"/>
      <c r="AD20" s="6" t="n">
        <v>1060178</v>
      </c>
      <c r="AE20" s="6" t="n">
        <v>1061736</v>
      </c>
    </row>
    <row r="21" customFormat="false" ht="12.75" hidden="false" customHeight="true" outlineLevel="0" collapsed="false">
      <c r="A21" s="5" t="s">
        <v>103</v>
      </c>
      <c r="B21" s="12" t="n">
        <v>5</v>
      </c>
      <c r="C21" s="6" t="n">
        <v>1024</v>
      </c>
      <c r="D21" s="6" t="n">
        <v>1024</v>
      </c>
      <c r="E21" s="6" t="n">
        <v>1024</v>
      </c>
      <c r="F21" s="6" t="n">
        <v>1024</v>
      </c>
      <c r="G21" s="6" t="n">
        <v>4096</v>
      </c>
      <c r="H21" s="5" t="s">
        <v>91</v>
      </c>
      <c r="I21" s="6" t="n">
        <v>200001</v>
      </c>
      <c r="J21" s="6" t="n">
        <v>28</v>
      </c>
      <c r="K21" s="8" t="n">
        <f aca="false">I21*J21</f>
        <v>5600028</v>
      </c>
      <c r="L21" s="9" t="n">
        <v>0.6936</v>
      </c>
      <c r="M21" s="9" t="n">
        <v>2.7618</v>
      </c>
      <c r="N21" s="6" t="n">
        <v>1362215</v>
      </c>
      <c r="O21" s="6" t="n">
        <v>1364311</v>
      </c>
      <c r="P21" s="8" t="n">
        <f aca="false">IF(O21=0,0,O21-N21)</f>
        <v>2096</v>
      </c>
      <c r="Q21" s="10" t="n">
        <f aca="false">IFERROR(P21/O21,0)</f>
        <v>0.00153630660457916</v>
      </c>
      <c r="R21" s="11" t="n">
        <f aca="false">IFERROR(K21/N21,0)</f>
        <v>4.11097220335997</v>
      </c>
      <c r="S21" s="11" t="n">
        <f aca="false">IFERROR(K21/O21,0)</f>
        <v>4.10465648961271</v>
      </c>
      <c r="T21" s="8" t="n">
        <f aca="false">K21-X21-Z21</f>
        <v>5232780</v>
      </c>
      <c r="U21" s="11" t="n">
        <f aca="false">IFERROR(T21/(AB21+AD21),0)</f>
        <v>5.25924980426487</v>
      </c>
      <c r="V21" s="6" t="n">
        <v>6</v>
      </c>
      <c r="W21" s="6" t="n">
        <v>3</v>
      </c>
      <c r="X21" s="5"/>
      <c r="Y21" s="5"/>
      <c r="Z21" s="6" t="n">
        <v>367248</v>
      </c>
      <c r="AA21" s="6" t="n">
        <v>367786</v>
      </c>
      <c r="AB21" s="5"/>
      <c r="AC21" s="5"/>
      <c r="AD21" s="6" t="n">
        <v>994967</v>
      </c>
      <c r="AE21" s="6" t="n">
        <v>996525</v>
      </c>
    </row>
    <row r="22" customFormat="false" ht="12.75" hidden="false" customHeight="true" outlineLevel="0" collapsed="false">
      <c r="A22" s="5" t="s">
        <v>102</v>
      </c>
      <c r="B22" s="5"/>
      <c r="C22" s="6" t="n">
        <v>4096</v>
      </c>
      <c r="D22" s="6" t="n">
        <v>4096</v>
      </c>
      <c r="E22" s="6" t="n">
        <v>4096</v>
      </c>
      <c r="F22" s="6" t="n">
        <v>4096</v>
      </c>
      <c r="G22" s="6" t="n">
        <v>4096</v>
      </c>
      <c r="H22" s="5" t="s">
        <v>91</v>
      </c>
      <c r="I22" s="6" t="n">
        <v>200001</v>
      </c>
      <c r="J22" s="6" t="n">
        <v>28</v>
      </c>
      <c r="K22" s="8" t="n">
        <f aca="false">I22*J22</f>
        <v>5600028</v>
      </c>
      <c r="L22" s="9" t="n">
        <v>0.732</v>
      </c>
      <c r="M22" s="9" t="n">
        <v>7.3734</v>
      </c>
      <c r="N22" s="6" t="n">
        <v>1967475</v>
      </c>
      <c r="O22" s="6" t="n">
        <v>1968353</v>
      </c>
      <c r="P22" s="8" t="n">
        <f aca="false">IF(O22=0,0,O22-N22)</f>
        <v>878</v>
      </c>
      <c r="Q22" s="10" t="n">
        <f aca="false">IFERROR(P22/O22,0)</f>
        <v>0.000446058201958693</v>
      </c>
      <c r="R22" s="11" t="n">
        <f aca="false">IFERROR(K22/N22,0)</f>
        <v>2.84630198604811</v>
      </c>
      <c r="S22" s="11" t="n">
        <f aca="false">IFERROR(K22/O22,0)</f>
        <v>2.84503236970198</v>
      </c>
      <c r="T22" s="8" t="n">
        <f aca="false">K22-X22-Z22</f>
        <v>5232780</v>
      </c>
      <c r="U22" s="11" t="n">
        <f aca="false">IFERROR(T22/(AB22+AD22),0)</f>
        <v>3.27002356540666</v>
      </c>
      <c r="V22" s="6" t="n">
        <v>3</v>
      </c>
      <c r="W22" s="6" t="n">
        <v>3</v>
      </c>
      <c r="X22" s="5"/>
      <c r="Y22" s="5"/>
      <c r="Z22" s="6" t="n">
        <v>367248</v>
      </c>
      <c r="AA22" s="6" t="n">
        <v>367666</v>
      </c>
      <c r="AB22" s="6" t="n">
        <v>1600227</v>
      </c>
      <c r="AC22" s="6" t="n">
        <v>1600687</v>
      </c>
      <c r="AD22" s="5"/>
      <c r="AE22" s="5"/>
    </row>
    <row r="23" customFormat="false" ht="12.75" hidden="false" customHeight="true" outlineLevel="0" collapsed="false">
      <c r="A23" s="5" t="s">
        <v>103</v>
      </c>
      <c r="B23" s="5"/>
      <c r="C23" s="6" t="n">
        <v>4096</v>
      </c>
      <c r="D23" s="6" t="n">
        <v>4096</v>
      </c>
      <c r="E23" s="6" t="n">
        <v>4096</v>
      </c>
      <c r="F23" s="6" t="n">
        <v>4096</v>
      </c>
      <c r="G23" s="6" t="n">
        <v>4096</v>
      </c>
      <c r="H23" s="5" t="s">
        <v>91</v>
      </c>
      <c r="I23" s="6" t="n">
        <v>200001</v>
      </c>
      <c r="J23" s="6" t="n">
        <v>28</v>
      </c>
      <c r="K23" s="8" t="n">
        <f aca="false">I23*J23</f>
        <v>5600028</v>
      </c>
      <c r="L23" s="9" t="n">
        <v>0.7086</v>
      </c>
      <c r="M23" s="9" t="n">
        <v>10.7313</v>
      </c>
      <c r="N23" s="6" t="n">
        <v>1508426</v>
      </c>
      <c r="O23" s="6" t="n">
        <v>1509694</v>
      </c>
      <c r="P23" s="8" t="n">
        <f aca="false">IF(O23=0,0,O23-N23)</f>
        <v>1268</v>
      </c>
      <c r="Q23" s="10" t="n">
        <f aca="false">IFERROR(P23/O23,0)</f>
        <v>0.000839905305313527</v>
      </c>
      <c r="R23" s="11" t="n">
        <f aca="false">IFERROR(K23/N23,0)</f>
        <v>3.71249766312699</v>
      </c>
      <c r="S23" s="11" t="n">
        <f aca="false">IFERROR(K23/O23,0)</f>
        <v>3.70937951664377</v>
      </c>
      <c r="T23" s="8" t="n">
        <f aca="false">K23-X23-Z23</f>
        <v>5232780</v>
      </c>
      <c r="U23" s="11" t="n">
        <f aca="false">IFERROR(T23/(AB23+AD23),0)</f>
        <v>4.58541962778813</v>
      </c>
      <c r="V23" s="6" t="n">
        <v>3</v>
      </c>
      <c r="W23" s="6" t="n">
        <v>3</v>
      </c>
      <c r="X23" s="5"/>
      <c r="Y23" s="5"/>
      <c r="Z23" s="6" t="n">
        <v>367248</v>
      </c>
      <c r="AA23" s="6" t="n">
        <v>367666</v>
      </c>
      <c r="AB23" s="5"/>
      <c r="AC23" s="5"/>
      <c r="AD23" s="6" t="n">
        <v>1141178</v>
      </c>
      <c r="AE23" s="6" t="n">
        <v>1142028</v>
      </c>
    </row>
    <row r="24" customFormat="false" ht="12.75" hidden="false" customHeight="true" outlineLevel="0" collapsed="false">
      <c r="A24" s="5" t="s">
        <v>103</v>
      </c>
      <c r="B24" s="12" t="n">
        <v>0.1</v>
      </c>
      <c r="C24" s="6" t="n">
        <v>4096</v>
      </c>
      <c r="D24" s="6" t="n">
        <v>4096</v>
      </c>
      <c r="E24" s="6" t="n">
        <v>4096</v>
      </c>
      <c r="F24" s="6" t="n">
        <v>4096</v>
      </c>
      <c r="G24" s="6" t="n">
        <v>4096</v>
      </c>
      <c r="H24" s="5" t="s">
        <v>91</v>
      </c>
      <c r="I24" s="6" t="n">
        <v>200001</v>
      </c>
      <c r="J24" s="6" t="n">
        <v>28</v>
      </c>
      <c r="K24" s="8" t="n">
        <f aca="false">I24*J24</f>
        <v>5600028</v>
      </c>
      <c r="L24" s="9" t="n">
        <v>0.711</v>
      </c>
      <c r="M24" s="9" t="n">
        <v>10.959</v>
      </c>
      <c r="N24" s="6" t="n">
        <v>1182778</v>
      </c>
      <c r="O24" s="6" t="n">
        <v>1184046</v>
      </c>
      <c r="P24" s="8" t="n">
        <f aca="false">IF(O24=0,0,O24-N24)</f>
        <v>1268</v>
      </c>
      <c r="Q24" s="10" t="n">
        <f aca="false">IFERROR(P24/O24,0)</f>
        <v>0.00107090433986517</v>
      </c>
      <c r="R24" s="11" t="n">
        <f aca="false">IFERROR(K24/N24,0)</f>
        <v>4.73463997470362</v>
      </c>
      <c r="S24" s="11" t="n">
        <f aca="false">IFERROR(K24/O24,0)</f>
        <v>4.72956962820701</v>
      </c>
      <c r="T24" s="8" t="n">
        <f aca="false">K24-X24-Z24</f>
        <v>5232780</v>
      </c>
      <c r="U24" s="11" t="n">
        <f aca="false">IFERROR(T24/(AB24+AD24),0)</f>
        <v>6.41641631822251</v>
      </c>
      <c r="V24" s="6" t="n">
        <v>3</v>
      </c>
      <c r="W24" s="6" t="n">
        <v>3</v>
      </c>
      <c r="X24" s="5"/>
      <c r="Y24" s="5"/>
      <c r="Z24" s="6" t="n">
        <v>367248</v>
      </c>
      <c r="AA24" s="6" t="n">
        <v>367666</v>
      </c>
      <c r="AB24" s="5"/>
      <c r="AC24" s="5"/>
      <c r="AD24" s="6" t="n">
        <v>815530</v>
      </c>
      <c r="AE24" s="6" t="n">
        <v>816380</v>
      </c>
    </row>
    <row r="25" customFormat="false" ht="12.75" hidden="false" customHeight="true" outlineLevel="0" collapsed="false">
      <c r="A25" s="5" t="s">
        <v>103</v>
      </c>
      <c r="B25" s="12" t="n">
        <v>1</v>
      </c>
      <c r="C25" s="6" t="n">
        <v>4096</v>
      </c>
      <c r="D25" s="6" t="n">
        <v>4096</v>
      </c>
      <c r="E25" s="6" t="n">
        <v>4096</v>
      </c>
      <c r="F25" s="6" t="n">
        <v>4096</v>
      </c>
      <c r="G25" s="6" t="n">
        <v>4096</v>
      </c>
      <c r="H25" s="5" t="s">
        <v>91</v>
      </c>
      <c r="I25" s="6" t="n">
        <v>200001</v>
      </c>
      <c r="J25" s="6" t="n">
        <v>28</v>
      </c>
      <c r="K25" s="8" t="n">
        <f aca="false">I25*J25</f>
        <v>5600028</v>
      </c>
      <c r="L25" s="9" t="n">
        <v>0.6913</v>
      </c>
      <c r="M25" s="9" t="n">
        <v>13.0422</v>
      </c>
      <c r="N25" s="6" t="n">
        <v>1098533</v>
      </c>
      <c r="O25" s="6" t="n">
        <v>1099801</v>
      </c>
      <c r="P25" s="8" t="n">
        <f aca="false">IF(O25=0,0,O25-N25)</f>
        <v>1268</v>
      </c>
      <c r="Q25" s="10" t="n">
        <f aca="false">IFERROR(P25/O25,0)</f>
        <v>0.00115293584930365</v>
      </c>
      <c r="R25" s="11" t="n">
        <f aca="false">IFERROR(K25/N25,0)</f>
        <v>5.09773306764567</v>
      </c>
      <c r="S25" s="11" t="n">
        <f aca="false">IFERROR(K25/O25,0)</f>
        <v>5.0918557084418</v>
      </c>
      <c r="T25" s="8" t="n">
        <f aca="false">K25-X25-Z25</f>
        <v>5232780</v>
      </c>
      <c r="U25" s="11" t="n">
        <f aca="false">IFERROR(T25/(AB25+AD25),0)</f>
        <v>7.15559597147487</v>
      </c>
      <c r="V25" s="6" t="n">
        <v>3</v>
      </c>
      <c r="W25" s="6" t="n">
        <v>3</v>
      </c>
      <c r="X25" s="5"/>
      <c r="Y25" s="5"/>
      <c r="Z25" s="6" t="n">
        <v>367248</v>
      </c>
      <c r="AA25" s="6" t="n">
        <v>367666</v>
      </c>
      <c r="AB25" s="5"/>
      <c r="AC25" s="5"/>
      <c r="AD25" s="6" t="n">
        <v>731285</v>
      </c>
      <c r="AE25" s="6" t="n">
        <v>732135</v>
      </c>
    </row>
    <row r="26" customFormat="false" ht="12.75" hidden="false" customHeight="true" outlineLevel="0" collapsed="false">
      <c r="A26" s="5" t="s">
        <v>103</v>
      </c>
      <c r="B26" s="12" t="n">
        <v>5</v>
      </c>
      <c r="C26" s="6" t="n">
        <v>4096</v>
      </c>
      <c r="D26" s="6" t="n">
        <v>4096</v>
      </c>
      <c r="E26" s="6" t="n">
        <v>4096</v>
      </c>
      <c r="F26" s="6" t="n">
        <v>4096</v>
      </c>
      <c r="G26" s="6" t="n">
        <v>4096</v>
      </c>
      <c r="H26" s="5" t="s">
        <v>91</v>
      </c>
      <c r="I26" s="6" t="n">
        <v>200001</v>
      </c>
      <c r="J26" s="6" t="n">
        <v>28</v>
      </c>
      <c r="K26" s="8" t="n">
        <f aca="false">I26*J26</f>
        <v>5600028</v>
      </c>
      <c r="L26" s="9" t="n">
        <v>0.7192</v>
      </c>
      <c r="M26" s="9" t="n">
        <v>10.9258</v>
      </c>
      <c r="N26" s="6" t="n">
        <v>1031479</v>
      </c>
      <c r="O26" s="6" t="n">
        <v>1032747</v>
      </c>
      <c r="P26" s="8" t="n">
        <f aca="false">IF(O26=0,0,O26-N26)</f>
        <v>1268</v>
      </c>
      <c r="Q26" s="10" t="n">
        <f aca="false">IFERROR(P26/O26,0)</f>
        <v>0.00122779344795966</v>
      </c>
      <c r="R26" s="11" t="n">
        <f aca="false">IFERROR(K26/N26,0)</f>
        <v>5.42912458712199</v>
      </c>
      <c r="S26" s="11" t="n">
        <f aca="false">IFERROR(K26/O26,0)</f>
        <v>5.42245874352576</v>
      </c>
      <c r="T26" s="8" t="n">
        <f aca="false">K26-X26-Z26</f>
        <v>5232780</v>
      </c>
      <c r="U26" s="11" t="n">
        <f aca="false">IFERROR(T26/(AB26+AD26),0)</f>
        <v>7.87795209799001</v>
      </c>
      <c r="V26" s="6" t="n">
        <v>3</v>
      </c>
      <c r="W26" s="6" t="n">
        <v>3</v>
      </c>
      <c r="X26" s="5"/>
      <c r="Y26" s="5"/>
      <c r="Z26" s="6" t="n">
        <v>367248</v>
      </c>
      <c r="AA26" s="6" t="n">
        <v>367666</v>
      </c>
      <c r="AB26" s="5"/>
      <c r="AC26" s="5"/>
      <c r="AD26" s="6" t="n">
        <v>664231</v>
      </c>
      <c r="AE26" s="6" t="n">
        <v>665081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65"/>
    <col collapsed="false" customWidth="true" hidden="false" outlineLevel="0" max="13" min="2" style="1" width="13.62"/>
  </cols>
  <sheetData>
    <row r="1" customFormat="false" ht="23.25" hidden="false" customHeight="true" outlineLevel="0" collapsed="false">
      <c r="A1" s="7" t="s">
        <v>22</v>
      </c>
      <c r="B1" s="7" t="s">
        <v>104</v>
      </c>
      <c r="C1" s="7" t="s">
        <v>105</v>
      </c>
      <c r="D1" s="7" t="s">
        <v>81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  <c r="J1" s="7" t="s">
        <v>111</v>
      </c>
      <c r="K1" s="7" t="s">
        <v>112</v>
      </c>
      <c r="L1" s="7" t="s">
        <v>113</v>
      </c>
      <c r="M1" s="7" t="s">
        <v>114</v>
      </c>
    </row>
    <row r="2" customFormat="false" ht="12.75" hidden="false" customHeight="true" outlineLevel="0" collapsed="false">
      <c r="A2" s="5" t="s">
        <v>34</v>
      </c>
      <c r="B2" s="5" t="s">
        <v>35</v>
      </c>
      <c r="C2" s="5" t="s">
        <v>36</v>
      </c>
      <c r="D2" s="12" t="n">
        <v>0</v>
      </c>
      <c r="E2" s="6" t="n">
        <v>86</v>
      </c>
      <c r="F2" s="6" t="n">
        <v>150881</v>
      </c>
      <c r="G2" s="11" t="n">
        <f aca="false">F2/200001</f>
        <v>0.75440122799386</v>
      </c>
      <c r="H2" s="8" t="n">
        <f aca="false">F2-F2</f>
        <v>0</v>
      </c>
      <c r="I2" s="10" t="n">
        <f aca="false">IFERROR((F2-F2)/F2,0)</f>
        <v>0</v>
      </c>
      <c r="J2" s="5" t="s">
        <v>115</v>
      </c>
      <c r="K2" s="9" t="n">
        <v>0</v>
      </c>
      <c r="L2" s="11" t="n">
        <f aca="false">D2/100</f>
        <v>0</v>
      </c>
      <c r="M2" s="5" t="str">
        <f aca="false">IF(K2&lt;=L2,"within","EXCEEDED")</f>
        <v>within</v>
      </c>
    </row>
    <row r="3" customFormat="false" ht="12.75" hidden="false" customHeight="true" outlineLevel="0" collapsed="false">
      <c r="A3" s="5" t="s">
        <v>37</v>
      </c>
      <c r="B3" s="5" t="s">
        <v>35</v>
      </c>
      <c r="C3" s="5" t="s">
        <v>36</v>
      </c>
      <c r="D3" s="12" t="n">
        <v>0</v>
      </c>
      <c r="E3" s="6" t="n">
        <v>86</v>
      </c>
      <c r="F3" s="6" t="n">
        <v>75870</v>
      </c>
      <c r="G3" s="11" t="n">
        <f aca="false">F3/200001</f>
        <v>0.379348103259484</v>
      </c>
      <c r="H3" s="8" t="n">
        <f aca="false">F3-F3</f>
        <v>0</v>
      </c>
      <c r="I3" s="10" t="n">
        <f aca="false">IFERROR((F3-F3)/F3,0)</f>
        <v>0</v>
      </c>
      <c r="J3" s="5" t="s">
        <v>115</v>
      </c>
      <c r="K3" s="9" t="n">
        <v>0</v>
      </c>
      <c r="L3" s="11" t="n">
        <f aca="false">D3/100</f>
        <v>0</v>
      </c>
      <c r="M3" s="5" t="str">
        <f aca="false">IF(K3&lt;=L3,"within","EXCEEDED")</f>
        <v>within</v>
      </c>
    </row>
    <row r="4" customFormat="false" ht="12.75" hidden="false" customHeight="true" outlineLevel="0" collapsed="false">
      <c r="A4" s="5" t="s">
        <v>38</v>
      </c>
      <c r="B4" s="5" t="s">
        <v>39</v>
      </c>
      <c r="C4" s="5" t="s">
        <v>41</v>
      </c>
      <c r="D4" s="12" t="n">
        <v>0</v>
      </c>
      <c r="E4" s="6" t="n">
        <v>86</v>
      </c>
      <c r="F4" s="6" t="n">
        <v>697848</v>
      </c>
      <c r="G4" s="11" t="n">
        <f aca="false">F4/200001</f>
        <v>3.48922255388723</v>
      </c>
      <c r="H4" s="8" t="n">
        <f aca="false">F4-F4</f>
        <v>0</v>
      </c>
      <c r="I4" s="10" t="n">
        <f aca="false">IFERROR((F4-F4)/F4,0)</f>
        <v>0</v>
      </c>
      <c r="J4" s="5" t="s">
        <v>116</v>
      </c>
      <c r="K4" s="9" t="n">
        <v>0</v>
      </c>
      <c r="L4" s="11" t="n">
        <f aca="false">D4/100</f>
        <v>0</v>
      </c>
      <c r="M4" s="5" t="str">
        <f aca="false">IF(K4&lt;=L4,"within","EXCEEDED")</f>
        <v>within</v>
      </c>
    </row>
    <row r="5" customFormat="false" ht="12.75" hidden="false" customHeight="true" outlineLevel="0" collapsed="false">
      <c r="A5" s="5" t="s">
        <v>117</v>
      </c>
      <c r="B5" s="5" t="s">
        <v>43</v>
      </c>
      <c r="C5" s="5" t="s">
        <v>36</v>
      </c>
      <c r="D5" s="12" t="n">
        <v>0</v>
      </c>
      <c r="E5" s="6" t="n">
        <v>86</v>
      </c>
      <c r="F5" s="6" t="n">
        <v>574425</v>
      </c>
      <c r="G5" s="11" t="n">
        <f aca="false">F5/200001</f>
        <v>2.8721106394468</v>
      </c>
      <c r="H5" s="8" t="n">
        <f aca="false">F5-F5</f>
        <v>0</v>
      </c>
      <c r="I5" s="10" t="n">
        <f aca="false">IFERROR((F5-F5)/F5,0)</f>
        <v>0</v>
      </c>
      <c r="J5" s="5" t="s">
        <v>115</v>
      </c>
      <c r="K5" s="9" t="n">
        <v>0</v>
      </c>
      <c r="L5" s="11" t="n">
        <f aca="false">D5/100</f>
        <v>0</v>
      </c>
      <c r="M5" s="5" t="str">
        <f aca="false">IF(K5&lt;=L5,"within","EXCEEDED")</f>
        <v>within</v>
      </c>
    </row>
    <row r="6" customFormat="false" ht="12.75" hidden="false" customHeight="true" outlineLevel="0" collapsed="false">
      <c r="A6" s="5" t="s">
        <v>34</v>
      </c>
      <c r="B6" s="5" t="s">
        <v>35</v>
      </c>
      <c r="C6" s="5" t="s">
        <v>36</v>
      </c>
      <c r="D6" s="12" t="n">
        <v>0.01</v>
      </c>
      <c r="E6" s="6" t="n">
        <v>86</v>
      </c>
      <c r="F6" s="6" t="n">
        <v>150881</v>
      </c>
      <c r="G6" s="11" t="n">
        <f aca="false">F6/200001</f>
        <v>0.75440122799386</v>
      </c>
      <c r="H6" s="8" t="n">
        <f aca="false">F6-F2</f>
        <v>0</v>
      </c>
      <c r="I6" s="10" t="n">
        <f aca="false">IFERROR((F6-F2)/F2,0)</f>
        <v>0</v>
      </c>
      <c r="J6" s="5" t="s">
        <v>115</v>
      </c>
      <c r="K6" s="9" t="n">
        <v>0</v>
      </c>
      <c r="L6" s="11" t="n">
        <f aca="false">D6/100</f>
        <v>0.0001</v>
      </c>
      <c r="M6" s="5" t="str">
        <f aca="false">IF(K6&lt;=L6,"within","EXCEEDED")</f>
        <v>within</v>
      </c>
    </row>
    <row r="7" customFormat="false" ht="12.75" hidden="false" customHeight="true" outlineLevel="0" collapsed="false">
      <c r="A7" s="5" t="s">
        <v>37</v>
      </c>
      <c r="B7" s="5" t="s">
        <v>35</v>
      </c>
      <c r="C7" s="5" t="s">
        <v>36</v>
      </c>
      <c r="D7" s="12" t="n">
        <v>0.01</v>
      </c>
      <c r="E7" s="6" t="n">
        <v>86</v>
      </c>
      <c r="F7" s="6" t="n">
        <v>75870</v>
      </c>
      <c r="G7" s="11" t="n">
        <f aca="false">F7/200001</f>
        <v>0.379348103259484</v>
      </c>
      <c r="H7" s="8" t="n">
        <f aca="false">F7-F3</f>
        <v>0</v>
      </c>
      <c r="I7" s="10" t="n">
        <f aca="false">IFERROR((F7-F3)/F3,0)</f>
        <v>0</v>
      </c>
      <c r="J7" s="5" t="s">
        <v>115</v>
      </c>
      <c r="K7" s="9" t="n">
        <v>0</v>
      </c>
      <c r="L7" s="11" t="n">
        <f aca="false">D7/100</f>
        <v>0.0001</v>
      </c>
      <c r="M7" s="5" t="str">
        <f aca="false">IF(K7&lt;=L7,"within","EXCEEDED")</f>
        <v>within</v>
      </c>
    </row>
    <row r="8" customFormat="false" ht="12.75" hidden="false" customHeight="true" outlineLevel="0" collapsed="false">
      <c r="A8" s="5" t="s">
        <v>38</v>
      </c>
      <c r="B8" s="5" t="s">
        <v>39</v>
      </c>
      <c r="C8" s="5" t="s">
        <v>41</v>
      </c>
      <c r="D8" s="12" t="n">
        <v>0.01</v>
      </c>
      <c r="E8" s="6" t="n">
        <v>86</v>
      </c>
      <c r="F8" s="6" t="n">
        <v>404387</v>
      </c>
      <c r="G8" s="11" t="n">
        <f aca="false">F8/200001</f>
        <v>2.02192489037555</v>
      </c>
      <c r="H8" s="8" t="n">
        <f aca="false">F8-F4</f>
        <v>-293461</v>
      </c>
      <c r="I8" s="10" t="n">
        <f aca="false">IFERROR((F8-F4)/F4,0)</f>
        <v>-0.420522807258887</v>
      </c>
      <c r="J8" s="5" t="s">
        <v>118</v>
      </c>
      <c r="K8" s="9" t="n">
        <v>9.99979122E-005</v>
      </c>
      <c r="L8" s="11" t="n">
        <f aca="false">D8/100</f>
        <v>0.0001</v>
      </c>
      <c r="M8" s="5" t="str">
        <f aca="false">IF(K8&lt;=L8,"within","EXCEEDED")</f>
        <v>within</v>
      </c>
    </row>
    <row r="9" customFormat="false" ht="12.75" hidden="false" customHeight="true" outlineLevel="0" collapsed="false">
      <c r="A9" s="5" t="s">
        <v>117</v>
      </c>
      <c r="B9" s="5" t="s">
        <v>43</v>
      </c>
      <c r="C9" s="5" t="s">
        <v>36</v>
      </c>
      <c r="D9" s="12" t="n">
        <v>0.01</v>
      </c>
      <c r="E9" s="6" t="n">
        <v>86</v>
      </c>
      <c r="F9" s="6" t="n">
        <v>574425</v>
      </c>
      <c r="G9" s="11" t="n">
        <f aca="false">F9/200001</f>
        <v>2.8721106394468</v>
      </c>
      <c r="H9" s="8" t="n">
        <f aca="false">F9-F5</f>
        <v>0</v>
      </c>
      <c r="I9" s="10" t="n">
        <f aca="false">IFERROR((F9-F5)/F5,0)</f>
        <v>0</v>
      </c>
      <c r="J9" s="5" t="s">
        <v>115</v>
      </c>
      <c r="K9" s="9" t="n">
        <v>0</v>
      </c>
      <c r="L9" s="11" t="n">
        <f aca="false">D9/100</f>
        <v>0.0001</v>
      </c>
      <c r="M9" s="5" t="str">
        <f aca="false">IF(K9&lt;=L9,"within","EXCEEDED")</f>
        <v>within</v>
      </c>
    </row>
    <row r="10" customFormat="false" ht="12.75" hidden="false" customHeight="true" outlineLevel="0" collapsed="false">
      <c r="A10" s="5" t="s">
        <v>34</v>
      </c>
      <c r="B10" s="5" t="s">
        <v>35</v>
      </c>
      <c r="C10" s="5" t="s">
        <v>36</v>
      </c>
      <c r="D10" s="12" t="n">
        <v>0.1</v>
      </c>
      <c r="E10" s="6" t="n">
        <v>86</v>
      </c>
      <c r="F10" s="6" t="n">
        <v>150881</v>
      </c>
      <c r="G10" s="11" t="n">
        <f aca="false">F10/200001</f>
        <v>0.75440122799386</v>
      </c>
      <c r="H10" s="8" t="n">
        <f aca="false">F10-F2</f>
        <v>0</v>
      </c>
      <c r="I10" s="10" t="n">
        <f aca="false">IFERROR((F10-F2)/F2,0)</f>
        <v>0</v>
      </c>
      <c r="J10" s="5" t="s">
        <v>115</v>
      </c>
      <c r="K10" s="9" t="n">
        <v>0</v>
      </c>
      <c r="L10" s="11" t="n">
        <f aca="false">D10/100</f>
        <v>0.001</v>
      </c>
      <c r="M10" s="5" t="str">
        <f aca="false">IF(K10&lt;=L10,"within","EXCEEDED")</f>
        <v>within</v>
      </c>
    </row>
    <row r="11" customFormat="false" ht="12.75" hidden="false" customHeight="true" outlineLevel="0" collapsed="false">
      <c r="A11" s="5" t="s">
        <v>37</v>
      </c>
      <c r="B11" s="5" t="s">
        <v>35</v>
      </c>
      <c r="C11" s="5" t="s">
        <v>36</v>
      </c>
      <c r="D11" s="12" t="n">
        <v>0.1</v>
      </c>
      <c r="E11" s="6" t="n">
        <v>86</v>
      </c>
      <c r="F11" s="6" t="n">
        <v>75870</v>
      </c>
      <c r="G11" s="11" t="n">
        <f aca="false">F11/200001</f>
        <v>0.379348103259484</v>
      </c>
      <c r="H11" s="8" t="n">
        <f aca="false">F11-F3</f>
        <v>0</v>
      </c>
      <c r="I11" s="10" t="n">
        <f aca="false">IFERROR((F11-F3)/F3,0)</f>
        <v>0</v>
      </c>
      <c r="J11" s="5" t="s">
        <v>115</v>
      </c>
      <c r="K11" s="9" t="n">
        <v>0</v>
      </c>
      <c r="L11" s="11" t="n">
        <f aca="false">D11/100</f>
        <v>0.001</v>
      </c>
      <c r="M11" s="5" t="str">
        <f aca="false">IF(K11&lt;=L11,"within","EXCEEDED")</f>
        <v>within</v>
      </c>
    </row>
    <row r="12" customFormat="false" ht="12.75" hidden="false" customHeight="true" outlineLevel="0" collapsed="false">
      <c r="A12" s="5" t="s">
        <v>38</v>
      </c>
      <c r="B12" s="5" t="s">
        <v>39</v>
      </c>
      <c r="C12" s="5" t="s">
        <v>41</v>
      </c>
      <c r="D12" s="12" t="n">
        <v>0.1</v>
      </c>
      <c r="E12" s="6" t="n">
        <v>86</v>
      </c>
      <c r="F12" s="6" t="n">
        <v>335378</v>
      </c>
      <c r="G12" s="11" t="n">
        <f aca="false">F12/200001</f>
        <v>1.67688161559192</v>
      </c>
      <c r="H12" s="8" t="n">
        <f aca="false">F12-F4</f>
        <v>-362470</v>
      </c>
      <c r="I12" s="10" t="n">
        <f aca="false">IFERROR((F12-F4)/F4,0)</f>
        <v>-0.519411103850695</v>
      </c>
      <c r="J12" s="5" t="s">
        <v>118</v>
      </c>
      <c r="K12" s="9" t="n">
        <v>0.000999989495</v>
      </c>
      <c r="L12" s="11" t="n">
        <f aca="false">D12/100</f>
        <v>0.001</v>
      </c>
      <c r="M12" s="5" t="str">
        <f aca="false">IF(K12&lt;=L12,"within","EXCEEDED")</f>
        <v>within</v>
      </c>
    </row>
    <row r="13" customFormat="false" ht="12.75" hidden="false" customHeight="true" outlineLevel="0" collapsed="false">
      <c r="A13" s="5" t="s">
        <v>117</v>
      </c>
      <c r="B13" s="5" t="s">
        <v>43</v>
      </c>
      <c r="C13" s="5" t="s">
        <v>36</v>
      </c>
      <c r="D13" s="12" t="n">
        <v>0.1</v>
      </c>
      <c r="E13" s="6" t="n">
        <v>86</v>
      </c>
      <c r="F13" s="6" t="n">
        <v>574425</v>
      </c>
      <c r="G13" s="11" t="n">
        <f aca="false">F13/200001</f>
        <v>2.8721106394468</v>
      </c>
      <c r="H13" s="8" t="n">
        <f aca="false">F13-F5</f>
        <v>0</v>
      </c>
      <c r="I13" s="10" t="n">
        <f aca="false">IFERROR((F13-F5)/F5,0)</f>
        <v>0</v>
      </c>
      <c r="J13" s="5" t="s">
        <v>115</v>
      </c>
      <c r="K13" s="9" t="n">
        <v>0</v>
      </c>
      <c r="L13" s="11" t="n">
        <f aca="false">D13/100</f>
        <v>0.001</v>
      </c>
      <c r="M13" s="5" t="str">
        <f aca="false">IF(K13&lt;=L13,"within","EXCEEDED")</f>
        <v>within</v>
      </c>
    </row>
    <row r="14" customFormat="false" ht="12.75" hidden="false" customHeight="true" outlineLevel="0" collapsed="false">
      <c r="A14" s="5" t="s">
        <v>34</v>
      </c>
      <c r="B14" s="5" t="s">
        <v>35</v>
      </c>
      <c r="C14" s="5" t="s">
        <v>36</v>
      </c>
      <c r="D14" s="12" t="n">
        <v>0.5</v>
      </c>
      <c r="E14" s="6" t="n">
        <v>86</v>
      </c>
      <c r="F14" s="6" t="n">
        <v>150881</v>
      </c>
      <c r="G14" s="11" t="n">
        <f aca="false">F14/200001</f>
        <v>0.75440122799386</v>
      </c>
      <c r="H14" s="8" t="n">
        <f aca="false">F14-F2</f>
        <v>0</v>
      </c>
      <c r="I14" s="10" t="n">
        <f aca="false">IFERROR((F14-F2)/F2,0)</f>
        <v>0</v>
      </c>
      <c r="J14" s="5" t="s">
        <v>115</v>
      </c>
      <c r="K14" s="9" t="n">
        <v>0</v>
      </c>
      <c r="L14" s="11" t="n">
        <f aca="false">D14/100</f>
        <v>0.005</v>
      </c>
      <c r="M14" s="5" t="str">
        <f aca="false">IF(K14&lt;=L14,"within","EXCEEDED")</f>
        <v>within</v>
      </c>
    </row>
    <row r="15" customFormat="false" ht="12.75" hidden="false" customHeight="true" outlineLevel="0" collapsed="false">
      <c r="A15" s="5" t="s">
        <v>37</v>
      </c>
      <c r="B15" s="5" t="s">
        <v>35</v>
      </c>
      <c r="C15" s="5" t="s">
        <v>36</v>
      </c>
      <c r="D15" s="12" t="n">
        <v>0.5</v>
      </c>
      <c r="E15" s="6" t="n">
        <v>86</v>
      </c>
      <c r="F15" s="6" t="n">
        <v>75870</v>
      </c>
      <c r="G15" s="11" t="n">
        <f aca="false">F15/200001</f>
        <v>0.379348103259484</v>
      </c>
      <c r="H15" s="8" t="n">
        <f aca="false">F15-F3</f>
        <v>0</v>
      </c>
      <c r="I15" s="10" t="n">
        <f aca="false">IFERROR((F15-F3)/F3,0)</f>
        <v>0</v>
      </c>
      <c r="J15" s="5" t="s">
        <v>115</v>
      </c>
      <c r="K15" s="9" t="n">
        <v>0</v>
      </c>
      <c r="L15" s="11" t="n">
        <f aca="false">D15/100</f>
        <v>0.005</v>
      </c>
      <c r="M15" s="5" t="str">
        <f aca="false">IF(K15&lt;=L15,"within","EXCEEDED")</f>
        <v>within</v>
      </c>
    </row>
    <row r="16" customFormat="false" ht="12.75" hidden="false" customHeight="true" outlineLevel="0" collapsed="false">
      <c r="A16" s="5" t="s">
        <v>38</v>
      </c>
      <c r="B16" s="5" t="s">
        <v>39</v>
      </c>
      <c r="C16" s="5" t="s">
        <v>41</v>
      </c>
      <c r="D16" s="12" t="n">
        <v>0.5</v>
      </c>
      <c r="E16" s="6" t="n">
        <v>86</v>
      </c>
      <c r="F16" s="6" t="n">
        <v>275907</v>
      </c>
      <c r="G16" s="11" t="n">
        <f aca="false">F16/200001</f>
        <v>1.37952810235949</v>
      </c>
      <c r="H16" s="8" t="n">
        <f aca="false">F16-F4</f>
        <v>-421941</v>
      </c>
      <c r="I16" s="10" t="n">
        <f aca="false">IFERROR((F16-F4)/F4,0)</f>
        <v>-0.604631667641091</v>
      </c>
      <c r="J16" s="5" t="s">
        <v>118</v>
      </c>
      <c r="K16" s="9" t="n">
        <v>0.00499984237</v>
      </c>
      <c r="L16" s="11" t="n">
        <f aca="false">D16/100</f>
        <v>0.005</v>
      </c>
      <c r="M16" s="5" t="str">
        <f aca="false">IF(K16&lt;=L16,"within","EXCEEDED")</f>
        <v>within</v>
      </c>
    </row>
    <row r="17" customFormat="false" ht="12.75" hidden="false" customHeight="true" outlineLevel="0" collapsed="false">
      <c r="A17" s="5" t="s">
        <v>117</v>
      </c>
      <c r="B17" s="5" t="s">
        <v>43</v>
      </c>
      <c r="C17" s="5" t="s">
        <v>36</v>
      </c>
      <c r="D17" s="12" t="n">
        <v>0.5</v>
      </c>
      <c r="E17" s="6" t="n">
        <v>86</v>
      </c>
      <c r="F17" s="6" t="n">
        <v>574425</v>
      </c>
      <c r="G17" s="11" t="n">
        <f aca="false">F17/200001</f>
        <v>2.8721106394468</v>
      </c>
      <c r="H17" s="8" t="n">
        <f aca="false">F17-F5</f>
        <v>0</v>
      </c>
      <c r="I17" s="10" t="n">
        <f aca="false">IFERROR((F17-F5)/F5,0)</f>
        <v>0</v>
      </c>
      <c r="J17" s="5" t="s">
        <v>115</v>
      </c>
      <c r="K17" s="9" t="n">
        <v>0</v>
      </c>
      <c r="L17" s="11" t="n">
        <f aca="false">D17/100</f>
        <v>0.005</v>
      </c>
      <c r="M17" s="5" t="str">
        <f aca="false">IF(K17&lt;=L17,"within","EXCEEDED")</f>
        <v>within</v>
      </c>
    </row>
    <row r="18" customFormat="false" ht="12.75" hidden="false" customHeight="true" outlineLevel="0" collapsed="false">
      <c r="A18" s="5" t="s">
        <v>34</v>
      </c>
      <c r="B18" s="5" t="s">
        <v>35</v>
      </c>
      <c r="C18" s="5" t="s">
        <v>36</v>
      </c>
      <c r="D18" s="12" t="n">
        <v>1</v>
      </c>
      <c r="E18" s="6" t="n">
        <v>86</v>
      </c>
      <c r="F18" s="6" t="n">
        <v>150881</v>
      </c>
      <c r="G18" s="11" t="n">
        <f aca="false">F18/200001</f>
        <v>0.75440122799386</v>
      </c>
      <c r="H18" s="8" t="n">
        <f aca="false">F18-F2</f>
        <v>0</v>
      </c>
      <c r="I18" s="10" t="n">
        <f aca="false">IFERROR((F18-F2)/F2,0)</f>
        <v>0</v>
      </c>
      <c r="J18" s="5" t="s">
        <v>115</v>
      </c>
      <c r="K18" s="9" t="n">
        <v>0</v>
      </c>
      <c r="L18" s="11" t="n">
        <f aca="false">D18/100</f>
        <v>0.01</v>
      </c>
      <c r="M18" s="5" t="str">
        <f aca="false">IF(K18&lt;=L18,"within","EXCEEDED")</f>
        <v>within</v>
      </c>
    </row>
    <row r="19" customFormat="false" ht="12.75" hidden="false" customHeight="true" outlineLevel="0" collapsed="false">
      <c r="A19" s="5" t="s">
        <v>37</v>
      </c>
      <c r="B19" s="5" t="s">
        <v>35</v>
      </c>
      <c r="C19" s="5" t="s">
        <v>36</v>
      </c>
      <c r="D19" s="12" t="n">
        <v>1</v>
      </c>
      <c r="E19" s="6" t="n">
        <v>86</v>
      </c>
      <c r="F19" s="6" t="n">
        <v>75870</v>
      </c>
      <c r="G19" s="11" t="n">
        <f aca="false">F19/200001</f>
        <v>0.379348103259484</v>
      </c>
      <c r="H19" s="8" t="n">
        <f aca="false">F19-F3</f>
        <v>0</v>
      </c>
      <c r="I19" s="10" t="n">
        <f aca="false">IFERROR((F19-F3)/F3,0)</f>
        <v>0</v>
      </c>
      <c r="J19" s="5" t="s">
        <v>115</v>
      </c>
      <c r="K19" s="9" t="n">
        <v>0</v>
      </c>
      <c r="L19" s="11" t="n">
        <f aca="false">D19/100</f>
        <v>0.01</v>
      </c>
      <c r="M19" s="5" t="str">
        <f aca="false">IF(K19&lt;=L19,"within","EXCEEDED")</f>
        <v>within</v>
      </c>
    </row>
    <row r="20" customFormat="false" ht="12.75" hidden="false" customHeight="true" outlineLevel="0" collapsed="false">
      <c r="A20" s="5" t="s">
        <v>38</v>
      </c>
      <c r="B20" s="5" t="s">
        <v>39</v>
      </c>
      <c r="C20" s="5" t="s">
        <v>41</v>
      </c>
      <c r="D20" s="12" t="n">
        <v>1</v>
      </c>
      <c r="E20" s="6" t="n">
        <v>86</v>
      </c>
      <c r="F20" s="6" t="n">
        <v>252612</v>
      </c>
      <c r="G20" s="11" t="n">
        <f aca="false">F20/200001</f>
        <v>1.26305368473158</v>
      </c>
      <c r="H20" s="8" t="n">
        <f aca="false">F20-F4</f>
        <v>-445236</v>
      </c>
      <c r="I20" s="10" t="n">
        <f aca="false">IFERROR((F20-F4)/F4,0)</f>
        <v>-0.638012862399835</v>
      </c>
      <c r="J20" s="5" t="s">
        <v>118</v>
      </c>
      <c r="K20" s="9" t="n">
        <v>0.00999997912</v>
      </c>
      <c r="L20" s="11" t="n">
        <f aca="false">D20/100</f>
        <v>0.01</v>
      </c>
      <c r="M20" s="5" t="str">
        <f aca="false">IF(K20&lt;=L20,"within","EXCEEDED")</f>
        <v>within</v>
      </c>
    </row>
    <row r="21" customFormat="false" ht="12.75" hidden="false" customHeight="true" outlineLevel="0" collapsed="false">
      <c r="A21" s="5" t="s">
        <v>117</v>
      </c>
      <c r="B21" s="5" t="s">
        <v>43</v>
      </c>
      <c r="C21" s="5" t="s">
        <v>36</v>
      </c>
      <c r="D21" s="12" t="n">
        <v>1</v>
      </c>
      <c r="E21" s="6" t="n">
        <v>86</v>
      </c>
      <c r="F21" s="6" t="n">
        <v>574425</v>
      </c>
      <c r="G21" s="11" t="n">
        <f aca="false">F21/200001</f>
        <v>2.8721106394468</v>
      </c>
      <c r="H21" s="8" t="n">
        <f aca="false">F21-F5</f>
        <v>0</v>
      </c>
      <c r="I21" s="10" t="n">
        <f aca="false">IFERROR((F21-F5)/F5,0)</f>
        <v>0</v>
      </c>
      <c r="J21" s="5" t="s">
        <v>115</v>
      </c>
      <c r="K21" s="9" t="n">
        <v>0</v>
      </c>
      <c r="L21" s="11" t="n">
        <f aca="false">D21/100</f>
        <v>0.01</v>
      </c>
      <c r="M21" s="5" t="str">
        <f aca="false">IF(K21&lt;=L21,"within","EXCEEDED")</f>
        <v>within</v>
      </c>
    </row>
    <row r="22" customFormat="false" ht="12.75" hidden="false" customHeight="true" outlineLevel="0" collapsed="false">
      <c r="A22" s="5" t="s">
        <v>34</v>
      </c>
      <c r="B22" s="5" t="s">
        <v>35</v>
      </c>
      <c r="C22" s="5" t="s">
        <v>36</v>
      </c>
      <c r="D22" s="12" t="n">
        <v>2</v>
      </c>
      <c r="E22" s="6" t="n">
        <v>86</v>
      </c>
      <c r="F22" s="6" t="n">
        <v>150881</v>
      </c>
      <c r="G22" s="11" t="n">
        <f aca="false">F22/200001</f>
        <v>0.75440122799386</v>
      </c>
      <c r="H22" s="8" t="n">
        <f aca="false">F22-F2</f>
        <v>0</v>
      </c>
      <c r="I22" s="10" t="n">
        <f aca="false">IFERROR((F22-F2)/F2,0)</f>
        <v>0</v>
      </c>
      <c r="J22" s="5" t="s">
        <v>115</v>
      </c>
      <c r="K22" s="9" t="n">
        <v>0</v>
      </c>
      <c r="L22" s="11" t="n">
        <f aca="false">D22/100</f>
        <v>0.02</v>
      </c>
      <c r="M22" s="5" t="str">
        <f aca="false">IF(K22&lt;=L22,"within","EXCEEDED")</f>
        <v>within</v>
      </c>
    </row>
    <row r="23" customFormat="false" ht="12.75" hidden="false" customHeight="true" outlineLevel="0" collapsed="false">
      <c r="A23" s="5" t="s">
        <v>37</v>
      </c>
      <c r="B23" s="5" t="s">
        <v>35</v>
      </c>
      <c r="C23" s="5" t="s">
        <v>36</v>
      </c>
      <c r="D23" s="12" t="n">
        <v>2</v>
      </c>
      <c r="E23" s="6" t="n">
        <v>86</v>
      </c>
      <c r="F23" s="6" t="n">
        <v>75870</v>
      </c>
      <c r="G23" s="11" t="n">
        <f aca="false">F23/200001</f>
        <v>0.379348103259484</v>
      </c>
      <c r="H23" s="8" t="n">
        <f aca="false">F23-F3</f>
        <v>0</v>
      </c>
      <c r="I23" s="10" t="n">
        <f aca="false">IFERROR((F23-F3)/F3,0)</f>
        <v>0</v>
      </c>
      <c r="J23" s="5" t="s">
        <v>115</v>
      </c>
      <c r="K23" s="9" t="n">
        <v>0</v>
      </c>
      <c r="L23" s="11" t="n">
        <f aca="false">D23/100</f>
        <v>0.02</v>
      </c>
      <c r="M23" s="5" t="str">
        <f aca="false">IF(K23&lt;=L23,"within","EXCEEDED")</f>
        <v>within</v>
      </c>
    </row>
    <row r="24" customFormat="false" ht="12.75" hidden="false" customHeight="true" outlineLevel="0" collapsed="false">
      <c r="A24" s="5" t="s">
        <v>38</v>
      </c>
      <c r="B24" s="5" t="s">
        <v>39</v>
      </c>
      <c r="C24" s="5" t="s">
        <v>41</v>
      </c>
      <c r="D24" s="12" t="n">
        <v>2</v>
      </c>
      <c r="E24" s="6" t="n">
        <v>86</v>
      </c>
      <c r="F24" s="6" t="n">
        <v>192392</v>
      </c>
      <c r="G24" s="11" t="n">
        <f aca="false">F24/200001</f>
        <v>0.961955190224049</v>
      </c>
      <c r="H24" s="8" t="n">
        <f aca="false">F24-F4</f>
        <v>-505456</v>
      </c>
      <c r="I24" s="10" t="n">
        <f aca="false">IFERROR((F24-F4)/F4,0)</f>
        <v>-0.724306725819949</v>
      </c>
      <c r="J24" s="5" t="s">
        <v>118</v>
      </c>
      <c r="K24" s="9" t="n">
        <v>0.0199999694</v>
      </c>
      <c r="L24" s="11" t="n">
        <f aca="false">D24/100</f>
        <v>0.02</v>
      </c>
      <c r="M24" s="5" t="str">
        <f aca="false">IF(K24&lt;=L24,"within","EXCEEDED")</f>
        <v>within</v>
      </c>
    </row>
    <row r="25" customFormat="false" ht="12.75" hidden="false" customHeight="true" outlineLevel="0" collapsed="false">
      <c r="A25" s="5" t="s">
        <v>117</v>
      </c>
      <c r="B25" s="5" t="s">
        <v>43</v>
      </c>
      <c r="C25" s="5" t="s">
        <v>36</v>
      </c>
      <c r="D25" s="12" t="n">
        <v>2</v>
      </c>
      <c r="E25" s="6" t="n">
        <v>86</v>
      </c>
      <c r="F25" s="6" t="n">
        <v>574425</v>
      </c>
      <c r="G25" s="11" t="n">
        <f aca="false">F25/200001</f>
        <v>2.8721106394468</v>
      </c>
      <c r="H25" s="8" t="n">
        <f aca="false">F25-F5</f>
        <v>0</v>
      </c>
      <c r="I25" s="10" t="n">
        <f aca="false">IFERROR((F25-F5)/F5,0)</f>
        <v>0</v>
      </c>
      <c r="J25" s="5" t="s">
        <v>115</v>
      </c>
      <c r="K25" s="9" t="n">
        <v>0</v>
      </c>
      <c r="L25" s="11" t="n">
        <f aca="false">D25/100</f>
        <v>0.02</v>
      </c>
      <c r="M25" s="5" t="str">
        <f aca="false">IF(K25&lt;=L25,"within","EXCEEDED")</f>
        <v>within</v>
      </c>
    </row>
    <row r="26" customFormat="false" ht="12.75" hidden="false" customHeight="true" outlineLevel="0" collapsed="false">
      <c r="A26" s="5" t="s">
        <v>34</v>
      </c>
      <c r="B26" s="5" t="s">
        <v>35</v>
      </c>
      <c r="C26" s="5" t="s">
        <v>36</v>
      </c>
      <c r="D26" s="12" t="n">
        <v>5</v>
      </c>
      <c r="E26" s="6" t="n">
        <v>86</v>
      </c>
      <c r="F26" s="6" t="n">
        <v>150881</v>
      </c>
      <c r="G26" s="11" t="n">
        <f aca="false">F26/200001</f>
        <v>0.75440122799386</v>
      </c>
      <c r="H26" s="8" t="n">
        <f aca="false">F26-F2</f>
        <v>0</v>
      </c>
      <c r="I26" s="10" t="n">
        <f aca="false">IFERROR((F26-F2)/F2,0)</f>
        <v>0</v>
      </c>
      <c r="J26" s="5" t="s">
        <v>115</v>
      </c>
      <c r="K26" s="9" t="n">
        <v>0</v>
      </c>
      <c r="L26" s="11" t="n">
        <f aca="false">D26/100</f>
        <v>0.05</v>
      </c>
      <c r="M26" s="5" t="str">
        <f aca="false">IF(K26&lt;=L26,"within","EXCEEDED")</f>
        <v>within</v>
      </c>
    </row>
    <row r="27" customFormat="false" ht="12.75" hidden="false" customHeight="true" outlineLevel="0" collapsed="false">
      <c r="A27" s="5" t="s">
        <v>37</v>
      </c>
      <c r="B27" s="5" t="s">
        <v>35</v>
      </c>
      <c r="C27" s="5" t="s">
        <v>36</v>
      </c>
      <c r="D27" s="12" t="n">
        <v>5</v>
      </c>
      <c r="E27" s="6" t="n">
        <v>86</v>
      </c>
      <c r="F27" s="6" t="n">
        <v>75870</v>
      </c>
      <c r="G27" s="11" t="n">
        <f aca="false">F27/200001</f>
        <v>0.379348103259484</v>
      </c>
      <c r="H27" s="8" t="n">
        <f aca="false">F27-F3</f>
        <v>0</v>
      </c>
      <c r="I27" s="10" t="n">
        <f aca="false">IFERROR((F27-F3)/F3,0)</f>
        <v>0</v>
      </c>
      <c r="J27" s="5" t="s">
        <v>115</v>
      </c>
      <c r="K27" s="9" t="n">
        <v>0</v>
      </c>
      <c r="L27" s="11" t="n">
        <f aca="false">D27/100</f>
        <v>0.05</v>
      </c>
      <c r="M27" s="5" t="str">
        <f aca="false">IF(K27&lt;=L27,"within","EXCEEDED")</f>
        <v>within</v>
      </c>
    </row>
    <row r="28" customFormat="false" ht="12.75" hidden="false" customHeight="true" outlineLevel="0" collapsed="false">
      <c r="A28" s="5" t="s">
        <v>38</v>
      </c>
      <c r="B28" s="5" t="s">
        <v>39</v>
      </c>
      <c r="C28" s="5" t="s">
        <v>41</v>
      </c>
      <c r="D28" s="12" t="n">
        <v>5</v>
      </c>
      <c r="E28" s="6" t="n">
        <v>86</v>
      </c>
      <c r="F28" s="6" t="n">
        <v>198882</v>
      </c>
      <c r="G28" s="11" t="n">
        <f aca="false">F28/200001</f>
        <v>0.99440502797486</v>
      </c>
      <c r="H28" s="8" t="n">
        <f aca="false">F28-F4</f>
        <v>-498966</v>
      </c>
      <c r="I28" s="10" t="n">
        <f aca="false">IFERROR((F28-F4)/F4,0)</f>
        <v>-0.715006706331465</v>
      </c>
      <c r="J28" s="5" t="s">
        <v>118</v>
      </c>
      <c r="K28" s="9" t="n">
        <v>0.0499991623</v>
      </c>
      <c r="L28" s="11" t="n">
        <f aca="false">D28/100</f>
        <v>0.05</v>
      </c>
      <c r="M28" s="5" t="str">
        <f aca="false">IF(K28&lt;=L28,"within","EXCEEDED")</f>
        <v>within</v>
      </c>
    </row>
    <row r="29" customFormat="false" ht="12.75" hidden="false" customHeight="true" outlineLevel="0" collapsed="false">
      <c r="A29" s="5" t="s">
        <v>117</v>
      </c>
      <c r="B29" s="5" t="s">
        <v>43</v>
      </c>
      <c r="C29" s="5" t="s">
        <v>36</v>
      </c>
      <c r="D29" s="12" t="n">
        <v>5</v>
      </c>
      <c r="E29" s="6" t="n">
        <v>86</v>
      </c>
      <c r="F29" s="6" t="n">
        <v>574425</v>
      </c>
      <c r="G29" s="11" t="n">
        <f aca="false">F29/200001</f>
        <v>2.8721106394468</v>
      </c>
      <c r="H29" s="8" t="n">
        <f aca="false">F29-F5</f>
        <v>0</v>
      </c>
      <c r="I29" s="10" t="n">
        <f aca="false">IFERROR((F29-F5)/F5,0)</f>
        <v>0</v>
      </c>
      <c r="J29" s="5" t="s">
        <v>115</v>
      </c>
      <c r="K29" s="9" t="n">
        <v>0</v>
      </c>
      <c r="L29" s="11" t="n">
        <f aca="false">D29/100</f>
        <v>0.05</v>
      </c>
      <c r="M29" s="5" t="str">
        <f aca="false">IF(K29&lt;=L29,"within","EXCEEDED")</f>
        <v>within</v>
      </c>
    </row>
    <row r="30" customFormat="false" ht="12.75" hidden="false" customHeight="true" outlineLevel="0" collapsed="false">
      <c r="A30" s="5" t="s">
        <v>34</v>
      </c>
      <c r="B30" s="5" t="s">
        <v>35</v>
      </c>
      <c r="C30" s="5" t="s">
        <v>36</v>
      </c>
      <c r="D30" s="12" t="n">
        <v>10</v>
      </c>
      <c r="E30" s="6" t="n">
        <v>86</v>
      </c>
      <c r="F30" s="6" t="n">
        <v>150881</v>
      </c>
      <c r="G30" s="11" t="n">
        <f aca="false">F30/200001</f>
        <v>0.75440122799386</v>
      </c>
      <c r="H30" s="8" t="n">
        <f aca="false">F30-F2</f>
        <v>0</v>
      </c>
      <c r="I30" s="10" t="n">
        <f aca="false">IFERROR((F30-F2)/F2,0)</f>
        <v>0</v>
      </c>
      <c r="J30" s="5" t="s">
        <v>115</v>
      </c>
      <c r="K30" s="9" t="n">
        <v>0</v>
      </c>
      <c r="L30" s="11" t="n">
        <f aca="false">D30/100</f>
        <v>0.1</v>
      </c>
      <c r="M30" s="5" t="str">
        <f aca="false">IF(K30&lt;=L30,"within","EXCEEDED")</f>
        <v>within</v>
      </c>
    </row>
    <row r="31" customFormat="false" ht="12.75" hidden="false" customHeight="true" outlineLevel="0" collapsed="false">
      <c r="A31" s="5" t="s">
        <v>37</v>
      </c>
      <c r="B31" s="5" t="s">
        <v>35</v>
      </c>
      <c r="C31" s="5" t="s">
        <v>36</v>
      </c>
      <c r="D31" s="12" t="n">
        <v>10</v>
      </c>
      <c r="E31" s="6" t="n">
        <v>86</v>
      </c>
      <c r="F31" s="6" t="n">
        <v>75870</v>
      </c>
      <c r="G31" s="11" t="n">
        <f aca="false">F31/200001</f>
        <v>0.379348103259484</v>
      </c>
      <c r="H31" s="8" t="n">
        <f aca="false">F31-F3</f>
        <v>0</v>
      </c>
      <c r="I31" s="10" t="n">
        <f aca="false">IFERROR((F31-F3)/F3,0)</f>
        <v>0</v>
      </c>
      <c r="J31" s="5" t="s">
        <v>115</v>
      </c>
      <c r="K31" s="9" t="n">
        <v>0</v>
      </c>
      <c r="L31" s="11" t="n">
        <f aca="false">D31/100</f>
        <v>0.1</v>
      </c>
      <c r="M31" s="5" t="str">
        <f aca="false">IF(K31&lt;=L31,"within","EXCEEDED")</f>
        <v>within</v>
      </c>
    </row>
    <row r="32" customFormat="false" ht="12.75" hidden="false" customHeight="true" outlineLevel="0" collapsed="false">
      <c r="A32" s="5" t="s">
        <v>38</v>
      </c>
      <c r="B32" s="5" t="s">
        <v>39</v>
      </c>
      <c r="C32" s="5" t="s">
        <v>41</v>
      </c>
      <c r="D32" s="12" t="n">
        <v>10</v>
      </c>
      <c r="E32" s="6" t="n">
        <v>86</v>
      </c>
      <c r="F32" s="6" t="n">
        <v>158442</v>
      </c>
      <c r="G32" s="11" t="n">
        <f aca="false">F32/200001</f>
        <v>0.792206038969805</v>
      </c>
      <c r="H32" s="8" t="n">
        <f aca="false">F32-F4</f>
        <v>-539406</v>
      </c>
      <c r="I32" s="10" t="n">
        <f aca="false">IFERROR((F32-F4)/F4,0)</f>
        <v>-0.772956288475427</v>
      </c>
      <c r="J32" s="5" t="s">
        <v>118</v>
      </c>
      <c r="K32" s="9" t="n">
        <v>0.0999987021</v>
      </c>
      <c r="L32" s="11" t="n">
        <f aca="false">D32/100</f>
        <v>0.1</v>
      </c>
      <c r="M32" s="5" t="str">
        <f aca="false">IF(K32&lt;=L32,"within","EXCEEDED")</f>
        <v>within</v>
      </c>
    </row>
    <row r="33" customFormat="false" ht="12.75" hidden="false" customHeight="true" outlineLevel="0" collapsed="false">
      <c r="A33" s="5" t="s">
        <v>117</v>
      </c>
      <c r="B33" s="5" t="s">
        <v>43</v>
      </c>
      <c r="C33" s="5" t="s">
        <v>36</v>
      </c>
      <c r="D33" s="12" t="n">
        <v>10</v>
      </c>
      <c r="E33" s="6" t="n">
        <v>86</v>
      </c>
      <c r="F33" s="6" t="n">
        <v>574425</v>
      </c>
      <c r="G33" s="11" t="n">
        <f aca="false">F33/200001</f>
        <v>2.8721106394468</v>
      </c>
      <c r="H33" s="8" t="n">
        <f aca="false">F33-F5</f>
        <v>0</v>
      </c>
      <c r="I33" s="10" t="n">
        <f aca="false">IFERROR((F33-F5)/F5,0)</f>
        <v>0</v>
      </c>
      <c r="J33" s="5" t="s">
        <v>115</v>
      </c>
      <c r="K33" s="9" t="n">
        <v>0</v>
      </c>
      <c r="L33" s="11" t="n">
        <f aca="false">D33/100</f>
        <v>0.1</v>
      </c>
      <c r="M33" s="5" t="str">
        <f aca="false">IF(K33&lt;=L33,"within","EXCEEDED")</f>
        <v>within</v>
      </c>
    </row>
    <row r="34" customFormat="false" ht="12.75" hidden="false" customHeight="true" outlineLevel="0" collapsed="false">
      <c r="A34" s="5" t="s">
        <v>34</v>
      </c>
      <c r="B34" s="5" t="s">
        <v>35</v>
      </c>
      <c r="C34" s="5" t="s">
        <v>36</v>
      </c>
      <c r="D34" s="12" t="n">
        <v>20</v>
      </c>
      <c r="E34" s="6" t="n">
        <v>86</v>
      </c>
      <c r="F34" s="6" t="n">
        <v>150881</v>
      </c>
      <c r="G34" s="11" t="n">
        <f aca="false">F34/200001</f>
        <v>0.75440122799386</v>
      </c>
      <c r="H34" s="8" t="n">
        <f aca="false">F34-F2</f>
        <v>0</v>
      </c>
      <c r="I34" s="10" t="n">
        <f aca="false">IFERROR((F34-F2)/F2,0)</f>
        <v>0</v>
      </c>
      <c r="J34" s="5" t="s">
        <v>115</v>
      </c>
      <c r="K34" s="9" t="n">
        <v>0</v>
      </c>
      <c r="L34" s="11" t="n">
        <f aca="false">D34/100</f>
        <v>0.2</v>
      </c>
      <c r="M34" s="5" t="str">
        <f aca="false">IF(K34&lt;=L34,"within","EXCEEDED")</f>
        <v>within</v>
      </c>
    </row>
    <row r="35" customFormat="false" ht="12.75" hidden="false" customHeight="true" outlineLevel="0" collapsed="false">
      <c r="A35" s="5" t="s">
        <v>37</v>
      </c>
      <c r="B35" s="5" t="s">
        <v>35</v>
      </c>
      <c r="C35" s="5" t="s">
        <v>36</v>
      </c>
      <c r="D35" s="12" t="n">
        <v>20</v>
      </c>
      <c r="E35" s="6" t="n">
        <v>86</v>
      </c>
      <c r="F35" s="6" t="n">
        <v>75870</v>
      </c>
      <c r="G35" s="11" t="n">
        <f aca="false">F35/200001</f>
        <v>0.379348103259484</v>
      </c>
      <c r="H35" s="8" t="n">
        <f aca="false">F35-F3</f>
        <v>0</v>
      </c>
      <c r="I35" s="10" t="n">
        <f aca="false">IFERROR((F35-F3)/F3,0)</f>
        <v>0</v>
      </c>
      <c r="J35" s="5" t="s">
        <v>115</v>
      </c>
      <c r="K35" s="9" t="n">
        <v>0</v>
      </c>
      <c r="L35" s="11" t="n">
        <f aca="false">D35/100</f>
        <v>0.2</v>
      </c>
      <c r="M35" s="5" t="str">
        <f aca="false">IF(K35&lt;=L35,"within","EXCEEDED")</f>
        <v>within</v>
      </c>
    </row>
    <row r="36" customFormat="false" ht="12.75" hidden="false" customHeight="true" outlineLevel="0" collapsed="false">
      <c r="A36" s="5" t="s">
        <v>38</v>
      </c>
      <c r="B36" s="5" t="s">
        <v>39</v>
      </c>
      <c r="C36" s="5" t="s">
        <v>41</v>
      </c>
      <c r="D36" s="12" t="n">
        <v>20</v>
      </c>
      <c r="E36" s="6" t="n">
        <v>86</v>
      </c>
      <c r="F36" s="6" t="n">
        <v>142123</v>
      </c>
      <c r="G36" s="11" t="n">
        <f aca="false">F36/200001</f>
        <v>0.710611446942765</v>
      </c>
      <c r="H36" s="8" t="n">
        <f aca="false">F36-F4</f>
        <v>-555725</v>
      </c>
      <c r="I36" s="10" t="n">
        <f aca="false">IFERROR((F36-F4)/F4,0)</f>
        <v>-0.796341037016657</v>
      </c>
      <c r="J36" s="5" t="s">
        <v>118</v>
      </c>
      <c r="K36" s="9" t="n">
        <v>0.199996964</v>
      </c>
      <c r="L36" s="11" t="n">
        <f aca="false">D36/100</f>
        <v>0.2</v>
      </c>
      <c r="M36" s="5" t="str">
        <f aca="false">IF(K36&lt;=L36,"within","EXCEEDED")</f>
        <v>within</v>
      </c>
    </row>
    <row r="37" customFormat="false" ht="12.75" hidden="false" customHeight="true" outlineLevel="0" collapsed="false">
      <c r="A37" s="5" t="s">
        <v>117</v>
      </c>
      <c r="B37" s="5" t="s">
        <v>43</v>
      </c>
      <c r="C37" s="5" t="s">
        <v>36</v>
      </c>
      <c r="D37" s="12" t="n">
        <v>20</v>
      </c>
      <c r="E37" s="6" t="n">
        <v>86</v>
      </c>
      <c r="F37" s="6" t="n">
        <v>574425</v>
      </c>
      <c r="G37" s="11" t="n">
        <f aca="false">F37/200001</f>
        <v>2.8721106394468</v>
      </c>
      <c r="H37" s="8" t="n">
        <f aca="false">F37-F5</f>
        <v>0</v>
      </c>
      <c r="I37" s="10" t="n">
        <f aca="false">IFERROR((F37-F5)/F5,0)</f>
        <v>0</v>
      </c>
      <c r="J37" s="5" t="s">
        <v>115</v>
      </c>
      <c r="K37" s="9" t="n">
        <v>0</v>
      </c>
      <c r="L37" s="11" t="n">
        <f aca="false">D37/100</f>
        <v>0.2</v>
      </c>
      <c r="M37" s="5" t="str">
        <f aca="false">IF(K37&lt;=L37,"within","EXCEEDED")</f>
        <v>within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3" t="s">
        <v>119</v>
      </c>
    </row>
    <row r="2" customFormat="false" ht="15" hidden="false" customHeight="false" outlineLevel="0" collapsed="false">
      <c r="A2" s="14" t="s">
        <v>120</v>
      </c>
    </row>
    <row r="4" customFormat="false" ht="15" hidden="false" customHeight="false" outlineLevel="0" collapsed="false">
      <c r="A4" s="15" t="s">
        <v>121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14" t="s">
        <v>122</v>
      </c>
    </row>
    <row r="6" customFormat="false" ht="15" hidden="false" customHeight="false" outlineLevel="0" collapsed="false">
      <c r="A6" s="17" t="s">
        <v>123</v>
      </c>
      <c r="B6" s="17" t="s">
        <v>124</v>
      </c>
      <c r="C6" s="17" t="s">
        <v>125</v>
      </c>
      <c r="D6" s="17" t="s">
        <v>126</v>
      </c>
      <c r="E6" s="17" t="s">
        <v>127</v>
      </c>
      <c r="F6" s="17" t="s">
        <v>128</v>
      </c>
    </row>
    <row r="7" customFormat="false" ht="15" hidden="false" customHeight="false" outlineLevel="0" collapsed="false">
      <c r="A7" s="18" t="s">
        <v>69</v>
      </c>
      <c r="B7" s="19" t="n">
        <f aca="false">SUMIFS(Standalone!$R:$R,Standalone!$A:$A,"MemoryStore",Standalone!$B:$B,"",Standalone!$C:$C,16)</f>
        <v>1</v>
      </c>
      <c r="C7" s="19" t="n">
        <f aca="false">SUMIFS(Standalone!$R:$R,Standalone!$A:$A,"MemoryStore",Standalone!$B:$B,"",Standalone!$C:$C,64)</f>
        <v>1</v>
      </c>
      <c r="D7" s="19" t="n">
        <f aca="false">SUMIFS(Standalone!$R:$R,Standalone!$A:$A,"MemoryStore",Standalone!$B:$B,"",Standalone!$C:$C,256)</f>
        <v>1</v>
      </c>
      <c r="E7" s="19" t="n">
        <f aca="false">SUMIFS(Standalone!$R:$R,Standalone!$A:$A,"MemoryStore",Standalone!$B:$B,"",Standalone!$C:$C,1024)</f>
        <v>1</v>
      </c>
      <c r="F7" s="19" t="n">
        <f aca="false">SUMIFS(Standalone!$R:$R,Standalone!$A:$A,"MemoryStore",Standalone!$B:$B,"",Standalone!$C:$C,4096)</f>
        <v>1</v>
      </c>
    </row>
    <row r="8" customFormat="false" ht="15" hidden="false" customHeight="false" outlineLevel="0" collapsed="false">
      <c r="A8" s="18" t="s">
        <v>93</v>
      </c>
      <c r="B8" s="19" t="n">
        <f aca="false">SUMIFS(Standalone!$R:$R,Standalone!$A:$A,"FileStore",Standalone!$B:$B,"",Standalone!$C:$C,16)</f>
        <v>1</v>
      </c>
      <c r="C8" s="19" t="n">
        <f aca="false">SUMIFS(Standalone!$R:$R,Standalone!$A:$A,"FileStore",Standalone!$B:$B,"",Standalone!$C:$C,64)</f>
        <v>1</v>
      </c>
      <c r="D8" s="19" t="n">
        <f aca="false">SUMIFS(Standalone!$R:$R,Standalone!$A:$A,"FileStore",Standalone!$B:$B,"",Standalone!$C:$C,256)</f>
        <v>1</v>
      </c>
      <c r="E8" s="19" t="n">
        <f aca="false">SUMIFS(Standalone!$R:$R,Standalone!$A:$A,"FileStore",Standalone!$B:$B,"",Standalone!$C:$C,1024)</f>
        <v>1</v>
      </c>
      <c r="F8" s="19" t="n">
        <f aca="false">SUMIFS(Standalone!$R:$R,Standalone!$A:$A,"FileStore",Standalone!$B:$B,"",Standalone!$C:$C,4096)</f>
        <v>1</v>
      </c>
    </row>
    <row r="9" customFormat="false" ht="15" hidden="false" customHeight="false" outlineLevel="0" collapsed="false">
      <c r="A9" s="18" t="s">
        <v>90</v>
      </c>
      <c r="B9" s="19" t="n">
        <f aca="false">SUMIFS(Standalone!$R:$R,Standalone!$A:$A,"CompressedStore",Standalone!$B:$B,"",Standalone!$C:$C,16)</f>
        <v>3.16621708493505</v>
      </c>
      <c r="C9" s="19" t="n">
        <f aca="false">SUMIFS(Standalone!$R:$R,Standalone!$A:$A,"CompressedStore",Standalone!$B:$B,"",Standalone!$C:$C,64)</f>
        <v>3.25666901417051</v>
      </c>
      <c r="D9" s="19" t="n">
        <f aca="false">SUMIFS(Standalone!$R:$R,Standalone!$A:$A,"CompressedStore",Standalone!$B:$B,"",Standalone!$C:$C,256)</f>
        <v>3.2681942674992</v>
      </c>
      <c r="E9" s="19" t="n">
        <f aca="false">SUMIFS(Standalone!$R:$R,Standalone!$A:$A,"CompressedStore",Standalone!$B:$B,"",Standalone!$C:$C,1024)</f>
        <v>3.26612993533095</v>
      </c>
      <c r="F9" s="19" t="n">
        <f aca="false">SUMIFS(Standalone!$R:$R,Standalone!$A:$A,"CompressedStore",Standalone!$B:$B,"",Standalone!$C:$C,4096)</f>
        <v>3.27002251048884</v>
      </c>
    </row>
    <row r="10" customFormat="false" ht="15" hidden="false" customHeight="false" outlineLevel="0" collapsed="false">
      <c r="A10" s="18" t="s">
        <v>129</v>
      </c>
      <c r="B10" s="19" t="n">
        <f aca="false">SUMIFS(Standalone!$R:$R,Standalone!$A:$A,"LossyStore",Standalone!$B:$B,"",Standalone!$C:$C,16)</f>
        <v>4.640836672371</v>
      </c>
      <c r="C10" s="19" t="n">
        <f aca="false">SUMIFS(Standalone!$R:$R,Standalone!$A:$A,"LossyStore",Standalone!$B:$B,"",Standalone!$C:$C,64)</f>
        <v>3.73578274930888</v>
      </c>
      <c r="D10" s="19" t="n">
        <f aca="false">SUMIFS(Standalone!$R:$R,Standalone!$A:$A,"LossyStore",Standalone!$B:$B,"",Standalone!$C:$C,256)</f>
        <v>4.10133468481401</v>
      </c>
      <c r="E10" s="19" t="n">
        <f aca="false">SUMIFS(Standalone!$R:$R,Standalone!$A:$A,"LossyStore",Standalone!$B:$B,"",Standalone!$C:$C,1024)</f>
        <v>3.58846876958429</v>
      </c>
      <c r="F10" s="19" t="n">
        <f aca="false">SUMIFS(Standalone!$R:$R,Standalone!$A:$A,"LossyStore",Standalone!$B:$B,"",Standalone!$C:$C,4096)</f>
        <v>4.49582251865958</v>
      </c>
    </row>
    <row r="11" customFormat="false" ht="15" hidden="false" customHeight="false" outlineLevel="0" collapsed="false">
      <c r="A11" s="18" t="s">
        <v>130</v>
      </c>
      <c r="B11" s="19" t="n">
        <f aca="false">SUMIFS(Standalone!$R:$R,Standalone!$A:$A,"LossyStore",Standalone!$B:$B,0.1,Standalone!$C:$C,16)</f>
        <v>6.9234101580755</v>
      </c>
      <c r="C11" s="19" t="n">
        <f aca="false">SUMIFS(Standalone!$R:$R,Standalone!$A:$A,"LossyStore",Standalone!$B:$B,0.1,Standalone!$C:$C,64)</f>
        <v>4.92719923558406</v>
      </c>
      <c r="D11" s="19" t="n">
        <f aca="false">SUMIFS(Standalone!$R:$R,Standalone!$A:$A,"LossyStore",Standalone!$B:$B,0.1,Standalone!$C:$C,256)</f>
        <v>5.49881137894771</v>
      </c>
      <c r="E11" s="19" t="n">
        <f aca="false">SUMIFS(Standalone!$R:$R,Standalone!$A:$A,"LossyStore",Standalone!$B:$B,0.1,Standalone!$C:$C,1024)</f>
        <v>4.61478900630904</v>
      </c>
      <c r="F11" s="19" t="n">
        <f aca="false">SUMIFS(Standalone!$R:$R,Standalone!$A:$A,"LossyStore",Standalone!$B:$B,0.1,Standalone!$C:$C,4096)</f>
        <v>6.24259726419543</v>
      </c>
    </row>
    <row r="12" customFormat="false" ht="15" hidden="false" customHeight="false" outlineLevel="0" collapsed="false">
      <c r="A12" s="18" t="s">
        <v>131</v>
      </c>
      <c r="B12" s="19" t="n">
        <f aca="false">SUMIFS(Standalone!$R:$R,Standalone!$A:$A,"LossyStore",Standalone!$B:$B,1,Standalone!$C:$C,16)</f>
        <v>7.67037810665881</v>
      </c>
      <c r="C12" s="19" t="n">
        <f aca="false">SUMIFS(Standalone!$R:$R,Standalone!$A:$A,"LossyStore",Standalone!$B:$B,1,Standalone!$C:$C,64)</f>
        <v>5.31418843258796</v>
      </c>
      <c r="D12" s="19" t="n">
        <f aca="false">SUMIFS(Standalone!$R:$R,Standalone!$A:$A,"LossyStore",Standalone!$B:$B,1,Standalone!$C:$C,256)</f>
        <v>6.08606081683222</v>
      </c>
      <c r="E12" s="19" t="n">
        <f aca="false">SUMIFS(Standalone!$R:$R,Standalone!$A:$A,"LossyStore",Standalone!$B:$B,1,Standalone!$C:$C,1024)</f>
        <v>4.99600589168892</v>
      </c>
      <c r="F12" s="19" t="n">
        <f aca="false">SUMIFS(Standalone!$R:$R,Standalone!$A:$A,"LossyStore",Standalone!$B:$B,1,Standalone!$C:$C,4096)</f>
        <v>6.93925579332026</v>
      </c>
    </row>
    <row r="13" customFormat="false" ht="15" hidden="false" customHeight="false" outlineLevel="0" collapsed="false">
      <c r="A13" s="18" t="s">
        <v>132</v>
      </c>
      <c r="B13" s="19" t="n">
        <f aca="false">SUMIFS(Standalone!$R:$R,Standalone!$A:$A,"LossyStore",Standalone!$B:$B,5,Standalone!$C:$C,16)</f>
        <v>8.32471580900224</v>
      </c>
      <c r="C13" s="19" t="n">
        <f aca="false">SUMIFS(Standalone!$R:$R,Standalone!$A:$A,"LossyStore",Standalone!$B:$B,5,Standalone!$C:$C,64)</f>
        <v>5.5997032172134</v>
      </c>
      <c r="D13" s="19" t="n">
        <f aca="false">SUMIFS(Standalone!$R:$R,Standalone!$A:$A,"LossyStore",Standalone!$B:$B,5,Standalone!$C:$C,256)</f>
        <v>6.50374253670241</v>
      </c>
      <c r="E13" s="19" t="n">
        <f aca="false">SUMIFS(Standalone!$R:$R,Standalone!$A:$A,"LossyStore",Standalone!$B:$B,5,Standalone!$C:$C,1024)</f>
        <v>5.32415175277805</v>
      </c>
      <c r="F13" s="19" t="n">
        <f aca="false">SUMIFS(Standalone!$R:$R,Standalone!$A:$A,"LossyStore",Standalone!$B:$B,5,Standalone!$C:$C,4096)</f>
        <v>7.61743786038122</v>
      </c>
    </row>
    <row r="15" customFormat="false" ht="15" hidden="false" customHeight="false" outlineLevel="0" collapsed="false">
      <c r="A15" s="15" t="s">
        <v>133</v>
      </c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14" t="s">
        <v>134</v>
      </c>
    </row>
    <row r="17" customFormat="false" ht="15" hidden="false" customHeight="false" outlineLevel="0" collapsed="false">
      <c r="A17" s="17" t="s">
        <v>123</v>
      </c>
      <c r="B17" s="17" t="s">
        <v>124</v>
      </c>
      <c r="C17" s="17" t="s">
        <v>125</v>
      </c>
      <c r="D17" s="17" t="s">
        <v>126</v>
      </c>
      <c r="E17" s="17" t="s">
        <v>127</v>
      </c>
      <c r="F17" s="17" t="s">
        <v>128</v>
      </c>
    </row>
    <row r="18" customFormat="false" ht="15" hidden="false" customHeight="false" outlineLevel="0" collapsed="false">
      <c r="A18" s="18" t="s">
        <v>135</v>
      </c>
      <c r="B18" s="19" t="n">
        <f aca="false">SUMIFS(Chained!$R:$R,Chained!$A:$A,"MemoryStore-&gt;FileStore-&gt;CompressedStore",Chained!$B:$B,"",Chained!$C:$C,16)</f>
        <v>2.78979915041077</v>
      </c>
      <c r="C18" s="19" t="n">
        <f aca="false">SUMIFS(Chained!$R:$R,Chained!$A:$A,"MemoryStore-&gt;FileStore-&gt;CompressedStore",Chained!$B:$B,"",Chained!$C:$C,64)</f>
        <v>2.83733632197932</v>
      </c>
      <c r="D18" s="19" t="n">
        <f aca="false">SUMIFS(Chained!$R:$R,Chained!$A:$A,"MemoryStore-&gt;FileStore-&gt;CompressedStore",Chained!$B:$B,"",Chained!$C:$C,256)</f>
        <v>2.84226570077487</v>
      </c>
      <c r="E18" s="19" t="n">
        <f aca="false">SUMIFS(Chained!$R:$R,Chained!$A:$A,"MemoryStore-&gt;FileStore-&gt;CompressedStore",Chained!$B:$B,"",Chained!$C:$C,1024)</f>
        <v>2.84333649652937</v>
      </c>
      <c r="F18" s="19" t="n">
        <f aca="false">SUMIFS(Chained!$R:$R,Chained!$A:$A,"MemoryStore-&gt;FileStore-&gt;CompressedStore",Chained!$B:$B,"",Chained!$C:$C,4096)</f>
        <v>2.84630198604811</v>
      </c>
    </row>
    <row r="19" customFormat="false" ht="15" hidden="false" customHeight="false" outlineLevel="0" collapsed="false">
      <c r="A19" s="18" t="s">
        <v>136</v>
      </c>
      <c r="B19" s="19" t="n">
        <f aca="false">SUMIFS(Chained!$R:$R,Chained!$A:$A,"MemoryStore-&gt;FileStore-&gt;LossyStore",Chained!$B:$B,"",Chained!$C:$C,16)</f>
        <v>3.79192716286043</v>
      </c>
      <c r="C19" s="19" t="n">
        <f aca="false">SUMIFS(Chained!$R:$R,Chained!$A:$A,"MemoryStore-&gt;FileStore-&gt;LossyStore",Chained!$B:$B,"",Chained!$C:$C,64)</f>
        <v>3.16932605750261</v>
      </c>
      <c r="D19" s="19" t="n">
        <f aca="false">SUMIFS(Chained!$R:$R,Chained!$A:$A,"MemoryStore-&gt;FileStore-&gt;LossyStore",Chained!$B:$B,"",Chained!$C:$C,256)</f>
        <v>3.41276587446204</v>
      </c>
      <c r="E19" s="19" t="n">
        <f aca="false">SUMIFS(Chained!$R:$R,Chained!$A:$A,"MemoryStore-&gt;FileStore-&gt;LossyStore",Chained!$B:$B,"",Chained!$C:$C,1024)</f>
        <v>3.04712684581506</v>
      </c>
      <c r="F19" s="19" t="n">
        <f aca="false">SUMIFS(Chained!$R:$R,Chained!$A:$A,"MemoryStore-&gt;FileStore-&gt;LossyStore",Chained!$B:$B,"",Chained!$C:$C,4096)</f>
        <v>3.71249766312699</v>
      </c>
    </row>
    <row r="20" customFormat="false" ht="15" hidden="false" customHeight="false" outlineLevel="0" collapsed="false">
      <c r="A20" s="18" t="s">
        <v>137</v>
      </c>
      <c r="B20" s="19" t="n">
        <f aca="false">SUMIFS(Chained!$R:$R,Chained!$A:$A,"MemoryStore-&gt;FileStore-&gt;LossyStore",Chained!$B:$B,0.1,Chained!$C:$C,16)</f>
        <v>5.03912773135105</v>
      </c>
      <c r="C20" s="19" t="n">
        <f aca="false">SUMIFS(Chained!$R:$R,Chained!$A:$A,"MemoryStore-&gt;FileStore-&gt;LossyStore",Chained!$B:$B,0.1,Chained!$C:$C,64)</f>
        <v>3.92095396332946</v>
      </c>
      <c r="D20" s="19" t="n">
        <f aca="false">SUMIFS(Chained!$R:$R,Chained!$A:$A,"MemoryStore-&gt;FileStore-&gt;LossyStore",Chained!$B:$B,0.1,Chained!$C:$C,256)</f>
        <v>4.25204799627037</v>
      </c>
      <c r="E20" s="19" t="n">
        <f aca="false">SUMIFS(Chained!$R:$R,Chained!$A:$A,"MemoryStore-&gt;FileStore-&gt;LossyStore",Chained!$B:$B,0.1,Chained!$C:$C,1024)</f>
        <v>3.70009309651975</v>
      </c>
      <c r="F20" s="19" t="n">
        <f aca="false">SUMIFS(Chained!$R:$R,Chained!$A:$A,"MemoryStore-&gt;FileStore-&gt;LossyStore",Chained!$B:$B,0.1,Chained!$C:$C,4096)</f>
        <v>4.73463997470362</v>
      </c>
    </row>
    <row r="21" customFormat="false" ht="15" hidden="false" customHeight="false" outlineLevel="0" collapsed="false">
      <c r="A21" s="18" t="s">
        <v>138</v>
      </c>
      <c r="B21" s="19" t="n">
        <f aca="false">SUMIFS(Chained!$R:$R,Chained!$A:$A,"MemoryStore-&gt;FileStore-&gt;LossyStore",Chained!$B:$B,1,Chained!$C:$C,16)</f>
        <v>5.39651984030236</v>
      </c>
      <c r="C21" s="19" t="n">
        <f aca="false">SUMIFS(Chained!$R:$R,Chained!$A:$A,"MemoryStore-&gt;FileStore-&gt;LossyStore",Chained!$B:$B,1,Chained!$C:$C,64)</f>
        <v>4.14483153194428</v>
      </c>
      <c r="D21" s="19" t="n">
        <f aca="false">SUMIFS(Chained!$R:$R,Chained!$A:$A,"MemoryStore-&gt;FileStore-&gt;LossyStore",Chained!$B:$B,1,Chained!$C:$C,256)</f>
        <v>4.57180597679004</v>
      </c>
      <c r="E21" s="19" t="n">
        <f aca="false">SUMIFS(Chained!$R:$R,Chained!$A:$A,"MemoryStore-&gt;FileStore-&gt;LossyStore",Chained!$B:$B,1,Chained!$C:$C,1024)</f>
        <v>3.92316519385243</v>
      </c>
      <c r="F21" s="19" t="n">
        <f aca="false">SUMIFS(Chained!$R:$R,Chained!$A:$A,"MemoryStore-&gt;FileStore-&gt;LossyStore",Chained!$B:$B,1,Chained!$C:$C,4096)</f>
        <v>5.09773306764567</v>
      </c>
    </row>
    <row r="22" customFormat="false" ht="15" hidden="false" customHeight="false" outlineLevel="0" collapsed="false">
      <c r="A22" s="18" t="s">
        <v>139</v>
      </c>
      <c r="B22" s="19" t="n">
        <f aca="false">SUMIFS(Chained!$R:$R,Chained!$A:$A,"MemoryStore-&gt;FileStore-&gt;LossyStore",Chained!$B:$B,5,Chained!$C:$C,16)</f>
        <v>5.68178894288816</v>
      </c>
      <c r="C22" s="19" t="n">
        <f aca="false">SUMIFS(Chained!$R:$R,Chained!$A:$A,"MemoryStore-&gt;FileStore-&gt;LossyStore",Chained!$B:$B,5,Chained!$C:$C,64)</f>
        <v>4.30489248584774</v>
      </c>
      <c r="D22" s="19" t="n">
        <f aca="false">SUMIFS(Chained!$R:$R,Chained!$A:$A,"MemoryStore-&gt;FileStore-&gt;LossyStore",Chained!$B:$B,5,Chained!$C:$C,256)</f>
        <v>4.78856291669909</v>
      </c>
      <c r="E22" s="19" t="n">
        <f aca="false">SUMIFS(Chained!$R:$R,Chained!$A:$A,"MemoryStore-&gt;FileStore-&gt;LossyStore",Chained!$B:$B,5,Chained!$C:$C,1024)</f>
        <v>4.11097220335997</v>
      </c>
      <c r="F22" s="19" t="n">
        <f aca="false">SUMIFS(Chained!$R:$R,Chained!$A:$A,"MemoryStore-&gt;FileStore-&gt;LossyStore",Chained!$B:$B,5,Chained!$C:$C,4096)</f>
        <v>5.42912458712199</v>
      </c>
    </row>
    <row r="24" customFormat="false" ht="15" hidden="false" customHeight="false" outlineLevel="0" collapsed="false">
      <c r="A24" s="15" t="s">
        <v>140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14" t="s">
        <v>141</v>
      </c>
    </row>
    <row r="26" customFormat="false" ht="15" hidden="false" customHeight="false" outlineLevel="0" collapsed="false">
      <c r="A26" s="17" t="s">
        <v>123</v>
      </c>
      <c r="B26" s="17" t="s">
        <v>124</v>
      </c>
      <c r="C26" s="17" t="s">
        <v>125</v>
      </c>
      <c r="D26" s="17" t="s">
        <v>126</v>
      </c>
      <c r="E26" s="17" t="s">
        <v>127</v>
      </c>
      <c r="F26" s="17" t="s">
        <v>128</v>
      </c>
    </row>
    <row r="27" customFormat="false" ht="15" hidden="false" customHeight="false" outlineLevel="0" collapsed="false">
      <c r="A27" s="18" t="s">
        <v>135</v>
      </c>
      <c r="B27" s="19" t="n">
        <f aca="false">SUMIFS(Chained!$U:$U,Chained!$A:$A,"MemoryStore-&gt;FileStore-&gt;CompressedStore",Chained!$B:$B,"",Chained!$C:$C,16)</f>
        <v>3.19057360181699</v>
      </c>
      <c r="C27" s="19" t="n">
        <f aca="false">SUMIFS(Chained!$U:$U,Chained!$A:$A,"MemoryStore-&gt;FileStore-&gt;CompressedStore",Chained!$B:$B,"",Chained!$C:$C,64)</f>
        <v>3.25736844857337</v>
      </c>
      <c r="D27" s="19" t="n">
        <f aca="false">SUMIFS(Chained!$U:$U,Chained!$A:$A,"MemoryStore-&gt;FileStore-&gt;CompressedStore",Chained!$B:$B,"",Chained!$C:$C,256)</f>
        <v>3.26432404815657</v>
      </c>
      <c r="E27" s="19" t="n">
        <f aca="false">SUMIFS(Chained!$U:$U,Chained!$A:$A,"MemoryStore-&gt;FileStore-&gt;CompressedStore",Chained!$B:$B,"",Chained!$C:$C,1024)</f>
        <v>3.26583572523886</v>
      </c>
      <c r="F27" s="19" t="n">
        <f aca="false">SUMIFS(Chained!$U:$U,Chained!$A:$A,"MemoryStore-&gt;FileStore-&gt;CompressedStore",Chained!$B:$B,"",Chained!$C:$C,4096)</f>
        <v>3.27002356540666</v>
      </c>
    </row>
    <row r="28" customFormat="false" ht="15" hidden="false" customHeight="false" outlineLevel="0" collapsed="false">
      <c r="A28" s="18" t="s">
        <v>136</v>
      </c>
      <c r="B28" s="19" t="n">
        <f aca="false">SUMIFS(Chained!$U:$U,Chained!$A:$A,"MemoryStore-&gt;FileStore-&gt;LossyStore",Chained!$B:$B,"",Chained!$C:$C,16)</f>
        <v>4.71599639864057</v>
      </c>
      <c r="C28" s="19" t="n">
        <f aca="false">SUMIFS(Chained!$U:$U,Chained!$A:$A,"MemoryStore-&gt;FileStore-&gt;LossyStore",Chained!$B:$B,"",Chained!$C:$C,64)</f>
        <v>3.73850644924834</v>
      </c>
      <c r="D28" s="19" t="n">
        <f aca="false">SUMIFS(Chained!$U:$U,Chained!$A:$A,"MemoryStore-&gt;FileStore-&gt;LossyStore",Chained!$B:$B,"",Chained!$C:$C,256)</f>
        <v>4.10846553784454</v>
      </c>
      <c r="E28" s="19" t="n">
        <f aca="false">SUMIFS(Chained!$U:$U,Chained!$A:$A,"MemoryStore-&gt;FileStore-&gt;LossyStore",Chained!$B:$B,"",Chained!$C:$C,1024)</f>
        <v>3.55836355995479</v>
      </c>
      <c r="F28" s="19" t="n">
        <f aca="false">SUMIFS(Chained!$U:$U,Chained!$A:$A,"MemoryStore-&gt;FileStore-&gt;LossyStore",Chained!$B:$B,"",Chained!$C:$C,4096)</f>
        <v>4.58541962778813</v>
      </c>
    </row>
    <row r="29" customFormat="false" ht="15" hidden="false" customHeight="false" outlineLevel="0" collapsed="false">
      <c r="A29" s="18" t="s">
        <v>137</v>
      </c>
      <c r="B29" s="19" t="n">
        <f aca="false">SUMIFS(Chained!$U:$U,Chained!$A:$A,"MemoryStore-&gt;FileStore-&gt;LossyStore",Chained!$B:$B,0.1,Chained!$C:$C,16)</f>
        <v>7.0327298433865</v>
      </c>
      <c r="C29" s="19" t="n">
        <f aca="false">SUMIFS(Chained!$U:$U,Chained!$A:$A,"MemoryStore-&gt;FileStore-&gt;LossyStore",Chained!$B:$B,0.1,Chained!$C:$C,64)</f>
        <v>4.93201116323259</v>
      </c>
      <c r="D29" s="19" t="n">
        <f aca="false">SUMIFS(Chained!$U:$U,Chained!$A:$A,"MemoryStore-&gt;FileStore-&gt;LossyStore",Chained!$B:$B,0.1,Chained!$C:$C,256)</f>
        <v>5.50951755739015</v>
      </c>
      <c r="E29" s="19" t="n">
        <f aca="false">SUMIFS(Chained!$U:$U,Chained!$A:$A,"MemoryStore-&gt;FileStore-&gt;LossyStore",Chained!$B:$B,0.1,Chained!$C:$C,1024)</f>
        <v>4.56518951174934</v>
      </c>
      <c r="F29" s="19" t="n">
        <f aca="false">SUMIFS(Chained!$U:$U,Chained!$A:$A,"MemoryStore-&gt;FileStore-&gt;LossyStore",Chained!$B:$B,0.1,Chained!$C:$C,4096)</f>
        <v>6.41641631822251</v>
      </c>
    </row>
    <row r="30" customFormat="false" ht="15" hidden="false" customHeight="false" outlineLevel="0" collapsed="false">
      <c r="A30" s="18" t="s">
        <v>138</v>
      </c>
      <c r="B30" s="19" t="n">
        <f aca="false">SUMIFS(Chained!$U:$U,Chained!$A:$A,"MemoryStore-&gt;FileStore-&gt;LossyStore",Chained!$B:$B,1,Chained!$C:$C,16)</f>
        <v>7.80472598786212</v>
      </c>
      <c r="C30" s="19" t="n">
        <f aca="false">SUMIFS(Chained!$U:$U,Chained!$A:$A,"MemoryStore-&gt;FileStore-&gt;LossyStore",Chained!$B:$B,1,Chained!$C:$C,64)</f>
        <v>5.31873609401538</v>
      </c>
      <c r="D30" s="19" t="n">
        <f aca="false">SUMIFS(Chained!$U:$U,Chained!$A:$A,"MemoryStore-&gt;FileStore-&gt;LossyStore",Chained!$B:$B,1,Chained!$C:$C,256)</f>
        <v>6.10125026671502</v>
      </c>
      <c r="E30" s="19" t="n">
        <f aca="false">SUMIFS(Chained!$U:$U,Chained!$A:$A,"MemoryStore-&gt;FileStore-&gt;LossyStore",Chained!$B:$B,1,Chained!$C:$C,1024)</f>
        <v>4.93575607115032</v>
      </c>
      <c r="F30" s="19" t="n">
        <f aca="false">SUMIFS(Chained!$U:$U,Chained!$A:$A,"MemoryStore-&gt;FileStore-&gt;LossyStore",Chained!$B:$B,1,Chained!$C:$C,4096)</f>
        <v>7.15559597147487</v>
      </c>
    </row>
    <row r="31" customFormat="false" ht="15" hidden="false" customHeight="false" outlineLevel="0" collapsed="false">
      <c r="A31" s="18" t="s">
        <v>139</v>
      </c>
      <c r="B31" s="19" t="n">
        <f aca="false">SUMIFS(Chained!$U:$U,Chained!$A:$A,"MemoryStore-&gt;FileStore-&gt;LossyStore",Chained!$B:$B,5,Chained!$C:$C,16)</f>
        <v>8.46232465772476</v>
      </c>
      <c r="C31" s="19" t="n">
        <f aca="false">SUMIFS(Chained!$U:$U,Chained!$A:$A,"MemoryStore-&gt;FileStore-&gt;LossyStore",Chained!$B:$B,5,Chained!$C:$C,64)</f>
        <v>5.60492457187416</v>
      </c>
      <c r="D31" s="19" t="n">
        <f aca="false">SUMIFS(Chained!$U:$U,Chained!$A:$A,"MemoryStore-&gt;FileStore-&gt;LossyStore",Chained!$B:$B,5,Chained!$C:$C,256)</f>
        <v>6.52294720466311</v>
      </c>
      <c r="E31" s="19" t="n">
        <f aca="false">SUMIFS(Chained!$U:$U,Chained!$A:$A,"MemoryStore-&gt;FileStore-&gt;LossyStore",Chained!$B:$B,5,Chained!$C:$C,1024)</f>
        <v>5.25924980426487</v>
      </c>
      <c r="F31" s="19" t="n">
        <f aca="false">SUMIFS(Chained!$U:$U,Chained!$A:$A,"MemoryStore-&gt;FileStore-&gt;LossyStore",Chained!$B:$B,5,Chained!$C:$C,4096)</f>
        <v>7.87795209799001</v>
      </c>
    </row>
    <row r="33" customFormat="false" ht="15" hidden="false" customHeight="false" outlineLevel="0" collapsed="false">
      <c r="A33" s="15" t="s">
        <v>142</v>
      </c>
      <c r="B33" s="16"/>
      <c r="C33" s="16"/>
      <c r="D33" s="16"/>
      <c r="E33" s="16"/>
      <c r="F33" s="16"/>
    </row>
    <row r="34" customFormat="false" ht="15" hidden="false" customHeight="false" outlineLevel="0" collapsed="false">
      <c r="A34" s="14" t="s">
        <v>143</v>
      </c>
    </row>
    <row r="35" customFormat="false" ht="15" hidden="false" customHeight="false" outlineLevel="0" collapsed="false">
      <c r="A35" s="17" t="s">
        <v>123</v>
      </c>
      <c r="B35" s="17" t="s">
        <v>124</v>
      </c>
      <c r="C35" s="17" t="s">
        <v>125</v>
      </c>
      <c r="D35" s="17" t="s">
        <v>126</v>
      </c>
      <c r="E35" s="17" t="s">
        <v>127</v>
      </c>
      <c r="F35" s="17" t="s">
        <v>128</v>
      </c>
    </row>
    <row r="36" customFormat="false" ht="15" hidden="false" customHeight="false" outlineLevel="0" collapsed="false">
      <c r="A36" s="18" t="s">
        <v>135</v>
      </c>
      <c r="B36" s="19" t="n">
        <f aca="false">IFERROR(B27/B18,0)</f>
        <v>1.14365709852167</v>
      </c>
      <c r="C36" s="19" t="n">
        <f aca="false">IFERROR(C27/C18,0)</f>
        <v>1.14803748267003</v>
      </c>
      <c r="D36" s="19" t="n">
        <f aca="false">IFERROR(D27/D18,0)</f>
        <v>1.14849362860997</v>
      </c>
      <c r="E36" s="19" t="n">
        <f aca="false">IFERROR(E27/E18,0)</f>
        <v>1.14859276389735</v>
      </c>
      <c r="F36" s="19" t="n">
        <f aca="false">IFERROR(F27/F18,0)</f>
        <v>1.14886740108236</v>
      </c>
    </row>
    <row r="37" customFormat="false" ht="15" hidden="false" customHeight="false" outlineLevel="0" collapsed="false">
      <c r="A37" s="18" t="s">
        <v>136</v>
      </c>
      <c r="B37" s="19" t="n">
        <f aca="false">IFERROR(B28/B19,0)</f>
        <v>1.24369382535372</v>
      </c>
      <c r="C37" s="19" t="n">
        <f aca="false">IFERROR(C28/C19,0)</f>
        <v>1.17959035498993</v>
      </c>
      <c r="D37" s="19" t="n">
        <f aca="false">IFERROR(D28/D19,0)</f>
        <v>1.20385215071109</v>
      </c>
      <c r="E37" s="19" t="n">
        <f aca="false">IFERROR(E28/E19,0)</f>
        <v>1.16777664337862</v>
      </c>
      <c r="F37" s="19" t="n">
        <f aca="false">IFERROR(F28/F19,0)</f>
        <v>1.23513064353713</v>
      </c>
    </row>
    <row r="38" customFormat="false" ht="15" hidden="false" customHeight="false" outlineLevel="0" collapsed="false">
      <c r="A38" s="18" t="s">
        <v>137</v>
      </c>
      <c r="B38" s="19" t="n">
        <f aca="false">IFERROR(B29/B20,0)</f>
        <v>1.39562444500706</v>
      </c>
      <c r="C38" s="19" t="n">
        <f aca="false">IFERROR(C29/C20,0)</f>
        <v>1.25786000278478</v>
      </c>
      <c r="D38" s="19" t="n">
        <f aca="false">IFERROR(D29/D20,0)</f>
        <v>1.29573268275023</v>
      </c>
      <c r="E38" s="19" t="n">
        <f aca="false">IFERROR(E29/E20,0)</f>
        <v>1.23380395916073</v>
      </c>
      <c r="F38" s="19" t="n">
        <f aca="false">IFERROR(F29/F20,0)</f>
        <v>1.355206806115</v>
      </c>
    </row>
    <row r="39" customFormat="false" ht="15" hidden="false" customHeight="false" outlineLevel="0" collapsed="false">
      <c r="A39" s="18" t="s">
        <v>138</v>
      </c>
      <c r="B39" s="19" t="n">
        <f aca="false">IFERROR(B30/B21,0)</f>
        <v>1.4462516990255</v>
      </c>
      <c r="C39" s="19" t="n">
        <f aca="false">IFERROR(C30/C21,0)</f>
        <v>1.28322129693904</v>
      </c>
      <c r="D39" s="19" t="n">
        <f aca="false">IFERROR(D30/D21,0)</f>
        <v>1.33453831979957</v>
      </c>
      <c r="E39" s="19" t="n">
        <f aca="false">IFERROR(E30/E21,0)</f>
        <v>1.25810559261807</v>
      </c>
      <c r="F39" s="19" t="n">
        <f aca="false">IFERROR(F30/F21,0)</f>
        <v>1.4036819653995</v>
      </c>
    </row>
    <row r="40" customFormat="false" ht="15" hidden="false" customHeight="false" outlineLevel="0" collapsed="false">
      <c r="A40" s="18" t="s">
        <v>139</v>
      </c>
      <c r="B40" s="19" t="n">
        <f aca="false">IFERROR(B31/B22,0)</f>
        <v>1.48937680416957</v>
      </c>
      <c r="C40" s="19" t="n">
        <f aca="false">IFERROR(C31/C22,0)</f>
        <v>1.30198944347629</v>
      </c>
      <c r="D40" s="19" t="n">
        <f aca="false">IFERROR(D31/D22,0)</f>
        <v>1.36219306671647</v>
      </c>
      <c r="E40" s="19" t="n">
        <f aca="false">IFERROR(E31/E22,0)</f>
        <v>1.27932020556266</v>
      </c>
      <c r="F40" s="19" t="n">
        <f aca="false">IFERROR(F31/F22,0)</f>
        <v>1.45105384331697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3" t="s">
        <v>144</v>
      </c>
    </row>
    <row r="2" customFormat="false" ht="15" hidden="false" customHeight="false" outlineLevel="0" collapsed="false">
      <c r="A2" s="14" t="s">
        <v>145</v>
      </c>
    </row>
    <row r="4" customFormat="false" ht="15" hidden="false" customHeight="false" outlineLevel="0" collapsed="false">
      <c r="A4" s="15" t="s">
        <v>146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17" t="s">
        <v>123</v>
      </c>
      <c r="B5" s="17" t="s">
        <v>124</v>
      </c>
      <c r="C5" s="17" t="s">
        <v>125</v>
      </c>
      <c r="D5" s="17" t="s">
        <v>126</v>
      </c>
      <c r="E5" s="17" t="s">
        <v>127</v>
      </c>
      <c r="F5" s="17" t="s">
        <v>128</v>
      </c>
    </row>
    <row r="6" customFormat="false" ht="15" hidden="false" customHeight="false" outlineLevel="0" collapsed="false">
      <c r="A6" s="18" t="s">
        <v>129</v>
      </c>
      <c r="B6" s="19" t="n">
        <f aca="false">SUMIFS(Standalone!$R:$R,Standalone!$A:$A,"LossyStore",Standalone!$B:$B,"",Standalone!$C:$C,16)</f>
        <v>4.640836672371</v>
      </c>
      <c r="C6" s="19" t="n">
        <f aca="false">SUMIFS(Standalone!$R:$R,Standalone!$A:$A,"LossyStore",Standalone!$B:$B,"",Standalone!$C:$C,64)</f>
        <v>3.73578274930888</v>
      </c>
      <c r="D6" s="19" t="n">
        <f aca="false">SUMIFS(Standalone!$R:$R,Standalone!$A:$A,"LossyStore",Standalone!$B:$B,"",Standalone!$C:$C,256)</f>
        <v>4.10133468481401</v>
      </c>
      <c r="E6" s="19" t="n">
        <f aca="false">SUMIFS(Standalone!$R:$R,Standalone!$A:$A,"LossyStore",Standalone!$B:$B,"",Standalone!$C:$C,1024)</f>
        <v>3.58846876958429</v>
      </c>
      <c r="F6" s="19" t="n">
        <f aca="false">SUMIFS(Standalone!$R:$R,Standalone!$A:$A,"LossyStore",Standalone!$B:$B,"",Standalone!$C:$C,4096)</f>
        <v>4.49582251865958</v>
      </c>
    </row>
    <row r="7" customFormat="false" ht="15" hidden="false" customHeight="false" outlineLevel="0" collapsed="false">
      <c r="A7" s="18" t="s">
        <v>130</v>
      </c>
      <c r="B7" s="19" t="n">
        <f aca="false">SUMIFS(Standalone!$R:$R,Standalone!$A:$A,"LossyStore",Standalone!$B:$B,0.1,Standalone!$C:$C,16)</f>
        <v>6.9234101580755</v>
      </c>
      <c r="C7" s="19" t="n">
        <f aca="false">SUMIFS(Standalone!$R:$R,Standalone!$A:$A,"LossyStore",Standalone!$B:$B,0.1,Standalone!$C:$C,64)</f>
        <v>4.92719923558406</v>
      </c>
      <c r="D7" s="19" t="n">
        <f aca="false">SUMIFS(Standalone!$R:$R,Standalone!$A:$A,"LossyStore",Standalone!$B:$B,0.1,Standalone!$C:$C,256)</f>
        <v>5.49881137894771</v>
      </c>
      <c r="E7" s="19" t="n">
        <f aca="false">SUMIFS(Standalone!$R:$R,Standalone!$A:$A,"LossyStore",Standalone!$B:$B,0.1,Standalone!$C:$C,1024)</f>
        <v>4.61478900630904</v>
      </c>
      <c r="F7" s="19" t="n">
        <f aca="false">SUMIFS(Standalone!$R:$R,Standalone!$A:$A,"LossyStore",Standalone!$B:$B,0.1,Standalone!$C:$C,4096)</f>
        <v>6.24259726419543</v>
      </c>
    </row>
    <row r="8" customFormat="false" ht="15" hidden="false" customHeight="false" outlineLevel="0" collapsed="false">
      <c r="A8" s="18" t="s">
        <v>131</v>
      </c>
      <c r="B8" s="19" t="n">
        <f aca="false">SUMIFS(Standalone!$R:$R,Standalone!$A:$A,"LossyStore",Standalone!$B:$B,1,Standalone!$C:$C,16)</f>
        <v>7.67037810665881</v>
      </c>
      <c r="C8" s="19" t="n">
        <f aca="false">SUMIFS(Standalone!$R:$R,Standalone!$A:$A,"LossyStore",Standalone!$B:$B,1,Standalone!$C:$C,64)</f>
        <v>5.31418843258796</v>
      </c>
      <c r="D8" s="19" t="n">
        <f aca="false">SUMIFS(Standalone!$R:$R,Standalone!$A:$A,"LossyStore",Standalone!$B:$B,1,Standalone!$C:$C,256)</f>
        <v>6.08606081683222</v>
      </c>
      <c r="E8" s="19" t="n">
        <f aca="false">SUMIFS(Standalone!$R:$R,Standalone!$A:$A,"LossyStore",Standalone!$B:$B,1,Standalone!$C:$C,1024)</f>
        <v>4.99600589168892</v>
      </c>
      <c r="F8" s="19" t="n">
        <f aca="false">SUMIFS(Standalone!$R:$R,Standalone!$A:$A,"LossyStore",Standalone!$B:$B,1,Standalone!$C:$C,4096)</f>
        <v>6.93925579332026</v>
      </c>
    </row>
    <row r="9" customFormat="false" ht="15" hidden="false" customHeight="false" outlineLevel="0" collapsed="false">
      <c r="A9" s="18" t="s">
        <v>132</v>
      </c>
      <c r="B9" s="19" t="n">
        <f aca="false">SUMIFS(Standalone!$R:$R,Standalone!$A:$A,"LossyStore",Standalone!$B:$B,5,Standalone!$C:$C,16)</f>
        <v>8.32471580900224</v>
      </c>
      <c r="C9" s="19" t="n">
        <f aca="false">SUMIFS(Standalone!$R:$R,Standalone!$A:$A,"LossyStore",Standalone!$B:$B,5,Standalone!$C:$C,64)</f>
        <v>5.5997032172134</v>
      </c>
      <c r="D9" s="19" t="n">
        <f aca="false">SUMIFS(Standalone!$R:$R,Standalone!$A:$A,"LossyStore",Standalone!$B:$B,5,Standalone!$C:$C,256)</f>
        <v>6.50374253670241</v>
      </c>
      <c r="E9" s="19" t="n">
        <f aca="false">SUMIFS(Standalone!$R:$R,Standalone!$A:$A,"LossyStore",Standalone!$B:$B,5,Standalone!$C:$C,1024)</f>
        <v>5.32415175277805</v>
      </c>
      <c r="F9" s="19" t="n">
        <f aca="false">SUMIFS(Standalone!$R:$R,Standalone!$A:$A,"LossyStore",Standalone!$B:$B,5,Standalone!$C:$C,4096)</f>
        <v>7.61743786038122</v>
      </c>
    </row>
    <row r="12" customFormat="false" ht="15" hidden="false" customHeight="false" outlineLevel="0" collapsed="false">
      <c r="A12" s="15" t="s">
        <v>147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7" t="s">
        <v>123</v>
      </c>
      <c r="B13" s="17" t="s">
        <v>124</v>
      </c>
      <c r="C13" s="17" t="s">
        <v>125</v>
      </c>
      <c r="D13" s="17" t="s">
        <v>126</v>
      </c>
      <c r="E13" s="17" t="s">
        <v>127</v>
      </c>
      <c r="F13" s="17" t="s">
        <v>128</v>
      </c>
    </row>
    <row r="14" customFormat="false" ht="15" hidden="false" customHeight="false" outlineLevel="0" collapsed="false">
      <c r="A14" s="18" t="s">
        <v>136</v>
      </c>
      <c r="B14" s="19" t="n">
        <f aca="false">SUMIFS(Chained!$U:$U,Chained!$A:$A,"MemoryStore-&gt;FileStore-&gt;LossyStore",Chained!$B:$B,"",Chained!$C:$C,16)</f>
        <v>4.71599639864057</v>
      </c>
      <c r="C14" s="19" t="n">
        <f aca="false">SUMIFS(Chained!$U:$U,Chained!$A:$A,"MemoryStore-&gt;FileStore-&gt;LossyStore",Chained!$B:$B,"",Chained!$C:$C,64)</f>
        <v>3.73850644924834</v>
      </c>
      <c r="D14" s="19" t="n">
        <f aca="false">SUMIFS(Chained!$U:$U,Chained!$A:$A,"MemoryStore-&gt;FileStore-&gt;LossyStore",Chained!$B:$B,"",Chained!$C:$C,256)</f>
        <v>4.10846553784454</v>
      </c>
      <c r="E14" s="19" t="n">
        <f aca="false">SUMIFS(Chained!$U:$U,Chained!$A:$A,"MemoryStore-&gt;FileStore-&gt;LossyStore",Chained!$B:$B,"",Chained!$C:$C,1024)</f>
        <v>3.55836355995479</v>
      </c>
      <c r="F14" s="19" t="n">
        <f aca="false">SUMIFS(Chained!$U:$U,Chained!$A:$A,"MemoryStore-&gt;FileStore-&gt;LossyStore",Chained!$B:$B,"",Chained!$C:$C,4096)</f>
        <v>4.58541962778813</v>
      </c>
    </row>
    <row r="15" customFormat="false" ht="15" hidden="false" customHeight="false" outlineLevel="0" collapsed="false">
      <c r="A15" s="18" t="s">
        <v>137</v>
      </c>
      <c r="B15" s="19" t="n">
        <f aca="false">SUMIFS(Chained!$U:$U,Chained!$A:$A,"MemoryStore-&gt;FileStore-&gt;LossyStore",Chained!$B:$B,0.1,Chained!$C:$C,16)</f>
        <v>7.0327298433865</v>
      </c>
      <c r="C15" s="19" t="n">
        <f aca="false">SUMIFS(Chained!$U:$U,Chained!$A:$A,"MemoryStore-&gt;FileStore-&gt;LossyStore",Chained!$B:$B,0.1,Chained!$C:$C,64)</f>
        <v>4.93201116323259</v>
      </c>
      <c r="D15" s="19" t="n">
        <f aca="false">SUMIFS(Chained!$U:$U,Chained!$A:$A,"MemoryStore-&gt;FileStore-&gt;LossyStore",Chained!$B:$B,0.1,Chained!$C:$C,256)</f>
        <v>5.50951755739015</v>
      </c>
      <c r="E15" s="19" t="n">
        <f aca="false">SUMIFS(Chained!$U:$U,Chained!$A:$A,"MemoryStore-&gt;FileStore-&gt;LossyStore",Chained!$B:$B,0.1,Chained!$C:$C,1024)</f>
        <v>4.56518951174934</v>
      </c>
      <c r="F15" s="19" t="n">
        <f aca="false">SUMIFS(Chained!$U:$U,Chained!$A:$A,"MemoryStore-&gt;FileStore-&gt;LossyStore",Chained!$B:$B,0.1,Chained!$C:$C,4096)</f>
        <v>6.41641631822251</v>
      </c>
    </row>
    <row r="16" customFormat="false" ht="15" hidden="false" customHeight="false" outlineLevel="0" collapsed="false">
      <c r="A16" s="18" t="s">
        <v>138</v>
      </c>
      <c r="B16" s="19" t="n">
        <f aca="false">SUMIFS(Chained!$U:$U,Chained!$A:$A,"MemoryStore-&gt;FileStore-&gt;LossyStore",Chained!$B:$B,1,Chained!$C:$C,16)</f>
        <v>7.80472598786212</v>
      </c>
      <c r="C16" s="19" t="n">
        <f aca="false">SUMIFS(Chained!$U:$U,Chained!$A:$A,"MemoryStore-&gt;FileStore-&gt;LossyStore",Chained!$B:$B,1,Chained!$C:$C,64)</f>
        <v>5.31873609401538</v>
      </c>
      <c r="D16" s="19" t="n">
        <f aca="false">SUMIFS(Chained!$U:$U,Chained!$A:$A,"MemoryStore-&gt;FileStore-&gt;LossyStore",Chained!$B:$B,1,Chained!$C:$C,256)</f>
        <v>6.10125026671502</v>
      </c>
      <c r="E16" s="19" t="n">
        <f aca="false">SUMIFS(Chained!$U:$U,Chained!$A:$A,"MemoryStore-&gt;FileStore-&gt;LossyStore",Chained!$B:$B,1,Chained!$C:$C,1024)</f>
        <v>4.93575607115032</v>
      </c>
      <c r="F16" s="19" t="n">
        <f aca="false">SUMIFS(Chained!$U:$U,Chained!$A:$A,"MemoryStore-&gt;FileStore-&gt;LossyStore",Chained!$B:$B,1,Chained!$C:$C,4096)</f>
        <v>7.15559597147487</v>
      </c>
    </row>
    <row r="17" customFormat="false" ht="15" hidden="false" customHeight="false" outlineLevel="0" collapsed="false">
      <c r="A17" s="18" t="s">
        <v>139</v>
      </c>
      <c r="B17" s="19" t="n">
        <f aca="false">SUMIFS(Chained!$U:$U,Chained!$A:$A,"MemoryStore-&gt;FileStore-&gt;LossyStore",Chained!$B:$B,5,Chained!$C:$C,16)</f>
        <v>8.46232465772476</v>
      </c>
      <c r="C17" s="19" t="n">
        <f aca="false">SUMIFS(Chained!$U:$U,Chained!$A:$A,"MemoryStore-&gt;FileStore-&gt;LossyStore",Chained!$B:$B,5,Chained!$C:$C,64)</f>
        <v>5.60492457187416</v>
      </c>
      <c r="D17" s="19" t="n">
        <f aca="false">SUMIFS(Chained!$U:$U,Chained!$A:$A,"MemoryStore-&gt;FileStore-&gt;LossyStore",Chained!$B:$B,5,Chained!$C:$C,256)</f>
        <v>6.52294720466311</v>
      </c>
      <c r="E17" s="19" t="n">
        <f aca="false">SUMIFS(Chained!$U:$U,Chained!$A:$A,"MemoryStore-&gt;FileStore-&gt;LossyStore",Chained!$B:$B,5,Chained!$C:$C,1024)</f>
        <v>5.25924980426487</v>
      </c>
      <c r="F17" s="19" t="n">
        <f aca="false">SUMIFS(Chained!$U:$U,Chained!$A:$A,"MemoryStore-&gt;FileStore-&gt;LossyStore",Chained!$B:$B,5,Chained!$C:$C,4096)</f>
        <v>7.87795209799001</v>
      </c>
    </row>
    <row r="20" customFormat="false" ht="15" hidden="false" customHeight="false" outlineLevel="0" collapsed="false">
      <c r="A20" s="15" t="s">
        <v>148</v>
      </c>
      <c r="B20" s="16"/>
      <c r="C20" s="16"/>
      <c r="D20" s="16"/>
      <c r="E20" s="16"/>
      <c r="F20" s="16"/>
    </row>
    <row r="21" customFormat="false" ht="15" hidden="false" customHeight="false" outlineLevel="0" collapsed="false">
      <c r="A21" s="14" t="s">
        <v>149</v>
      </c>
    </row>
    <row r="22" customFormat="false" ht="15" hidden="false" customHeight="false" outlineLevel="0" collapsed="false">
      <c r="A22" s="17" t="s">
        <v>123</v>
      </c>
      <c r="B22" s="17" t="s">
        <v>124</v>
      </c>
      <c r="C22" s="17" t="s">
        <v>125</v>
      </c>
      <c r="D22" s="17" t="s">
        <v>126</v>
      </c>
      <c r="E22" s="17" t="s">
        <v>127</v>
      </c>
      <c r="F22" s="17" t="s">
        <v>128</v>
      </c>
    </row>
    <row r="23" customFormat="false" ht="15" hidden="false" customHeight="false" outlineLevel="0" collapsed="false">
      <c r="A23" s="18" t="s">
        <v>130</v>
      </c>
      <c r="B23" s="19" t="n">
        <f aca="false">IFERROR(B7/B6,0)</f>
        <v>1.49184525266612</v>
      </c>
      <c r="C23" s="19" t="n">
        <f aca="false">IFERROR(C7/C6,0)</f>
        <v>1.31892017449237</v>
      </c>
      <c r="D23" s="19" t="n">
        <f aca="false">IFERROR(D7/D6,0)</f>
        <v>1.34073705306425</v>
      </c>
      <c r="E23" s="19" t="n">
        <f aca="false">IFERROR(E7/E6,0)</f>
        <v>1.28600506305748</v>
      </c>
      <c r="F23" s="19" t="n">
        <f aca="false">IFERROR(F7/F6,0)</f>
        <v>1.38853285206122</v>
      </c>
    </row>
    <row r="24" customFormat="false" ht="15" hidden="false" customHeight="false" outlineLevel="0" collapsed="false">
      <c r="A24" s="18" t="s">
        <v>131</v>
      </c>
      <c r="B24" s="19" t="n">
        <f aca="false">IFERROR(B8/B6,0)</f>
        <v>1.65280070128821</v>
      </c>
      <c r="C24" s="19" t="n">
        <f aca="false">IFERROR(C8/C6,0)</f>
        <v>1.42251003048051</v>
      </c>
      <c r="D24" s="19" t="n">
        <f aca="false">IFERROR(D8/D6,0)</f>
        <v>1.48392201186776</v>
      </c>
      <c r="E24" s="19" t="n">
        <f aca="false">IFERROR(E8/E6,0)</f>
        <v>1.39223892208143</v>
      </c>
      <c r="F24" s="19" t="n">
        <f aca="false">IFERROR(F8/F6,0)</f>
        <v>1.54348970950686</v>
      </c>
    </row>
    <row r="25" customFormat="false" ht="15" hidden="false" customHeight="false" outlineLevel="0" collapsed="false">
      <c r="A25" s="18" t="s">
        <v>132</v>
      </c>
      <c r="B25" s="19" t="n">
        <f aca="false">IFERROR(B9/B6,0)</f>
        <v>1.79379633387295</v>
      </c>
      <c r="C25" s="19" t="n">
        <f aca="false">IFERROR(C9/C6,0)</f>
        <v>1.49893706165042</v>
      </c>
      <c r="D25" s="19" t="n">
        <f aca="false">IFERROR(D9/D6,0)</f>
        <v>1.58576244966883</v>
      </c>
      <c r="E25" s="19" t="n">
        <f aca="false">IFERROR(E9/E6,0)</f>
        <v>1.48368345794321</v>
      </c>
      <c r="F25" s="19" t="n">
        <f aca="false">IFERROR(F9/F6,0)</f>
        <v>1.69433687134348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3" t="s">
        <v>150</v>
      </c>
    </row>
    <row r="2" customFormat="false" ht="15" hidden="false" customHeight="false" outlineLevel="0" collapsed="false">
      <c r="A2" s="14" t="s">
        <v>151</v>
      </c>
    </row>
    <row r="4" customFormat="false" ht="15" hidden="false" customHeight="false" outlineLevel="0" collapsed="false">
      <c r="A4" s="15" t="s">
        <v>152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14" t="s">
        <v>153</v>
      </c>
    </row>
    <row r="6" customFormat="false" ht="15" hidden="false" customHeight="false" outlineLevel="0" collapsed="false">
      <c r="A6" s="17" t="s">
        <v>123</v>
      </c>
      <c r="B6" s="17" t="s">
        <v>124</v>
      </c>
      <c r="C6" s="17" t="s">
        <v>125</v>
      </c>
      <c r="D6" s="17" t="s">
        <v>126</v>
      </c>
      <c r="E6" s="17" t="s">
        <v>127</v>
      </c>
      <c r="F6" s="17" t="s">
        <v>128</v>
      </c>
    </row>
    <row r="7" customFormat="false" ht="15" hidden="false" customHeight="false" outlineLevel="0" collapsed="false">
      <c r="A7" s="18" t="s">
        <v>69</v>
      </c>
      <c r="B7" s="20" t="n">
        <f aca="false">SUMIFS(Standalone!$Q:$Q,Standalone!$A:$A,"MemoryStore",Standalone!$B:$B,"",Standalone!$C:$C,16)</f>
        <v>0</v>
      </c>
      <c r="C7" s="20" t="n">
        <f aca="false">SUMIFS(Standalone!$Q:$Q,Standalone!$A:$A,"MemoryStore",Standalone!$B:$B,"",Standalone!$C:$C,64)</f>
        <v>0</v>
      </c>
      <c r="D7" s="20" t="n">
        <f aca="false">SUMIFS(Standalone!$Q:$Q,Standalone!$A:$A,"MemoryStore",Standalone!$B:$B,"",Standalone!$C:$C,256)</f>
        <v>0</v>
      </c>
      <c r="E7" s="20" t="n">
        <f aca="false">SUMIFS(Standalone!$Q:$Q,Standalone!$A:$A,"MemoryStore",Standalone!$B:$B,"",Standalone!$C:$C,1024)</f>
        <v>0</v>
      </c>
      <c r="F7" s="20" t="n">
        <f aca="false">SUMIFS(Standalone!$Q:$Q,Standalone!$A:$A,"MemoryStore",Standalone!$B:$B,"",Standalone!$C:$C,4096)</f>
        <v>0</v>
      </c>
    </row>
    <row r="8" customFormat="false" ht="15" hidden="false" customHeight="false" outlineLevel="0" collapsed="false">
      <c r="A8" s="18" t="s">
        <v>93</v>
      </c>
      <c r="B8" s="20" t="n">
        <f aca="false">SUMIFS(Standalone!$Q:$Q,Standalone!$A:$A,"FileStore",Standalone!$B:$B,"",Standalone!$C:$C,16)</f>
        <v>0.00377779801838163</v>
      </c>
      <c r="C8" s="20" t="n">
        <f aca="false">SUMIFS(Standalone!$Q:$Q,Standalone!$A:$A,"FileStore",Standalone!$B:$B,"",Standalone!$C:$C,64)</f>
        <v>0.00104818063241896</v>
      </c>
      <c r="D8" s="20" t="n">
        <f aca="false">SUMIFS(Standalone!$Q:$Q,Standalone!$A:$A,"FileStore",Standalone!$B:$B,"",Standalone!$C:$C,256)</f>
        <v>0.000363437475901739</v>
      </c>
      <c r="E8" s="20" t="n">
        <f aca="false">SUMIFS(Standalone!$Q:$Q,Standalone!$A:$A,"FileStore",Standalone!$B:$B,"",Standalone!$C:$C,1024)</f>
        <v>0.000192104985017239</v>
      </c>
      <c r="F8" s="20" t="n">
        <f aca="false">SUMIFS(Standalone!$Q:$Q,Standalone!$A:$A,"FileStore",Standalone!$B:$B,"",Standalone!$C:$C,4096)</f>
        <v>0.000149262685185714</v>
      </c>
    </row>
    <row r="9" customFormat="false" ht="15" hidden="false" customHeight="false" outlineLevel="0" collapsed="false">
      <c r="A9" s="18" t="s">
        <v>90</v>
      </c>
      <c r="B9" s="20" t="n">
        <f aca="false">SUMIFS(Standalone!$Q:$Q,Standalone!$A:$A,"CompressedStore",Standalone!$B:$B,"",Standalone!$C:$C,16)</f>
        <v>0.00807590905853408</v>
      </c>
      <c r="C9" s="20" t="n">
        <f aca="false">SUMIFS(Standalone!$Q:$Q,Standalone!$A:$A,"CompressedStore",Standalone!$B:$B,"",Standalone!$C:$C,64)</f>
        <v>0.00226520936650148</v>
      </c>
      <c r="D9" s="20" t="n">
        <f aca="false">SUMIFS(Standalone!$Q:$Q,Standalone!$A:$A,"CompressedStore",Standalone!$B:$B,"",Standalone!$C:$C,256)</f>
        <v>0.000746454486978743</v>
      </c>
      <c r="E9" s="20" t="n">
        <f aca="false">SUMIFS(Standalone!$Q:$Q,Standalone!$A:$A,"CompressedStore",Standalone!$B:$B,"",Standalone!$C:$C,1024)</f>
        <v>0.000363805970149254</v>
      </c>
      <c r="F9" s="20" t="n">
        <f aca="false">SUMIFS(Standalone!$Q:$Q,Standalone!$A:$A,"CompressedStore",Standalone!$B:$B,"",Standalone!$C:$C,4096)</f>
        <v>0.000268535518200579</v>
      </c>
    </row>
    <row r="10" customFormat="false" ht="15" hidden="false" customHeight="false" outlineLevel="0" collapsed="false">
      <c r="A10" s="18" t="s">
        <v>129</v>
      </c>
      <c r="B10" s="20" t="n">
        <f aca="false">SUMIFS(Standalone!$Q:$Q,Standalone!$A:$A,"LossyStore",Standalone!$B:$B,"",Standalone!$C:$C,16)</f>
        <v>0.0629690745665974</v>
      </c>
      <c r="C10" s="20" t="n">
        <f aca="false">SUMIFS(Standalone!$Q:$Q,Standalone!$A:$A,"LossyStore",Standalone!$B:$B,"",Standalone!$C:$C,64)</f>
        <v>0.0136040186931877</v>
      </c>
      <c r="D10" s="20" t="n">
        <f aca="false">SUMIFS(Standalone!$Q:$Q,Standalone!$A:$A,"LossyStore",Standalone!$B:$B,"",Standalone!$C:$C,256)</f>
        <v>0.00406276942288251</v>
      </c>
      <c r="E10" s="20" t="n">
        <f aca="false">SUMIFS(Standalone!$Q:$Q,Standalone!$A:$A,"LossyStore",Standalone!$B:$B,"",Standalone!$C:$C,1024)</f>
        <v>0.00114826582417836</v>
      </c>
      <c r="F10" s="20" t="n">
        <f aca="false">SUMIFS(Standalone!$Q:$Q,Standalone!$A:$A,"LossyStore",Standalone!$B:$B,"",Standalone!$C:$C,4096)</f>
        <v>0.000681932870528225</v>
      </c>
    </row>
    <row r="11" customFormat="false" ht="15" hidden="false" customHeight="false" outlineLevel="0" collapsed="false">
      <c r="A11" s="18" t="s">
        <v>130</v>
      </c>
      <c r="B11" s="20" t="n">
        <f aca="false">SUMIFS(Standalone!$Q:$Q,Standalone!$A:$A,"LossyStore",Standalone!$B:$B,0.1,Standalone!$C:$C,16)</f>
        <v>0.0911180928238181</v>
      </c>
      <c r="C11" s="20" t="n">
        <f aca="false">SUMIFS(Standalone!$Q:$Q,Standalone!$A:$A,"LossyStore",Standalone!$B:$B,0.1,Standalone!$C:$C,64)</f>
        <v>0.0178651052342321</v>
      </c>
      <c r="D11" s="20" t="n">
        <f aca="false">SUMIFS(Standalone!$Q:$Q,Standalone!$A:$A,"LossyStore",Standalone!$B:$B,0.1,Standalone!$C:$C,256)</f>
        <v>0.00543957530296091</v>
      </c>
      <c r="E11" s="20" t="n">
        <f aca="false">SUMIFS(Standalone!$Q:$Q,Standalone!$A:$A,"LossyStore",Standalone!$B:$B,0.1,Standalone!$C:$C,1024)</f>
        <v>0.00147619086802327</v>
      </c>
      <c r="F11" s="20" t="n">
        <f aca="false">SUMIFS(Standalone!$Q:$Q,Standalone!$A:$A,"LossyStore",Standalone!$B:$B,0.1,Standalone!$C:$C,4096)</f>
        <v>0.000946635379439302</v>
      </c>
    </row>
    <row r="12" customFormat="false" ht="15" hidden="false" customHeight="false" outlineLevel="0" collapsed="false">
      <c r="A12" s="18" t="s">
        <v>131</v>
      </c>
      <c r="B12" s="20" t="n">
        <f aca="false">SUMIFS(Standalone!$Q:$Q,Standalone!$A:$A,"LossyStore",Standalone!$B:$B,1,Standalone!$C:$C,16)</f>
        <v>0.0999660985607298</v>
      </c>
      <c r="C12" s="20" t="n">
        <f aca="false">SUMIFS(Standalone!$Q:$Q,Standalone!$A:$A,"LossyStore",Standalone!$B:$B,1,Standalone!$C:$C,64)</f>
        <v>0.0192412574851414</v>
      </c>
      <c r="D12" s="20" t="n">
        <f aca="false">SUMIFS(Standalone!$Q:$Q,Standalone!$A:$A,"LossyStore",Standalone!$B:$B,1,Standalone!$C:$C,256)</f>
        <v>0.00601700316513811</v>
      </c>
      <c r="E12" s="20" t="n">
        <f aca="false">SUMIFS(Standalone!$Q:$Q,Standalone!$A:$A,"LossyStore",Standalone!$B:$B,1,Standalone!$C:$C,1024)</f>
        <v>0.00159794066954961</v>
      </c>
      <c r="F12" s="20" t="n">
        <f aca="false">SUMIFS(Standalone!$Q:$Q,Standalone!$A:$A,"LossyStore",Standalone!$B:$B,1,Standalone!$C:$C,4096)</f>
        <v>0.00105216641063951</v>
      </c>
    </row>
    <row r="13" customFormat="false" ht="15" hidden="false" customHeight="false" outlineLevel="0" collapsed="false">
      <c r="A13" s="18" t="s">
        <v>132</v>
      </c>
      <c r="B13" s="20" t="n">
        <f aca="false">SUMIFS(Standalone!$Q:$Q,Standalone!$A:$A,"LossyStore",Standalone!$B:$B,5,Standalone!$C:$C,16)</f>
        <v>0.107576523403764</v>
      </c>
      <c r="C13" s="20" t="n">
        <f aca="false">SUMIFS(Standalone!$Q:$Q,Standalone!$A:$A,"LossyStore",Standalone!$B:$B,5,Standalone!$C:$C,64)</f>
        <v>0.0202540921613117</v>
      </c>
      <c r="D13" s="20" t="n">
        <f aca="false">SUMIFS(Standalone!$Q:$Q,Standalone!$A:$A,"LossyStore",Standalone!$B:$B,5,Standalone!$C:$C,256)</f>
        <v>0.00642729141016158</v>
      </c>
      <c r="E13" s="20" t="n">
        <f aca="false">SUMIFS(Standalone!$Q:$Q,Standalone!$A:$A,"LossyStore",Standalone!$B:$B,5,Standalone!$C:$C,1024)</f>
        <v>0.00170271732424711</v>
      </c>
      <c r="F13" s="20" t="n">
        <f aca="false">SUMIFS(Standalone!$Q:$Q,Standalone!$A:$A,"LossyStore",Standalone!$B:$B,5,Standalone!$C:$C,4096)</f>
        <v>0.00115487718220837</v>
      </c>
    </row>
    <row r="15" customFormat="false" ht="15" hidden="false" customHeight="false" outlineLevel="0" collapsed="false">
      <c r="A15" s="15" t="s">
        <v>154</v>
      </c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14" t="s">
        <v>155</v>
      </c>
    </row>
    <row r="17" customFormat="false" ht="15" hidden="false" customHeight="false" outlineLevel="0" collapsed="false">
      <c r="A17" s="17" t="s">
        <v>123</v>
      </c>
      <c r="B17" s="17" t="s">
        <v>124</v>
      </c>
      <c r="C17" s="17" t="s">
        <v>125</v>
      </c>
      <c r="D17" s="17" t="s">
        <v>126</v>
      </c>
      <c r="E17" s="17" t="s">
        <v>127</v>
      </c>
      <c r="F17" s="17" t="s">
        <v>128</v>
      </c>
    </row>
    <row r="18" customFormat="false" ht="15" hidden="false" customHeight="false" outlineLevel="0" collapsed="false">
      <c r="A18" s="18" t="s">
        <v>69</v>
      </c>
      <c r="B18" s="21" t="n">
        <f aca="false">SUMIFS(Standalone!$T:$T,Standalone!$A:$A,"MemoryStore",Standalone!$B:$B,"",Standalone!$C:$C,16)</f>
        <v>0</v>
      </c>
      <c r="C18" s="21" t="n">
        <f aca="false">SUMIFS(Standalone!$T:$T,Standalone!$A:$A,"MemoryStore",Standalone!$B:$B,"",Standalone!$C:$C,64)</f>
        <v>0</v>
      </c>
      <c r="D18" s="21" t="n">
        <f aca="false">SUMIFS(Standalone!$T:$T,Standalone!$A:$A,"MemoryStore",Standalone!$B:$B,"",Standalone!$C:$C,256)</f>
        <v>0</v>
      </c>
      <c r="E18" s="21" t="n">
        <f aca="false">SUMIFS(Standalone!$T:$T,Standalone!$A:$A,"MemoryStore",Standalone!$B:$B,"",Standalone!$C:$C,1024)</f>
        <v>0</v>
      </c>
      <c r="F18" s="21" t="n">
        <f aca="false">SUMIFS(Standalone!$T:$T,Standalone!$A:$A,"MemoryStore",Standalone!$B:$B,"",Standalone!$C:$C,4096)</f>
        <v>0</v>
      </c>
    </row>
    <row r="19" customFormat="false" ht="15" hidden="false" customHeight="false" outlineLevel="0" collapsed="false">
      <c r="A19" s="18" t="s">
        <v>93</v>
      </c>
      <c r="B19" s="21" t="n">
        <f aca="false">SUMIFS(Standalone!$T:$T,Standalone!$A:$A,"FileStore",Standalone!$B:$B,"",Standalone!$C:$C,16)</f>
        <v>342</v>
      </c>
      <c r="C19" s="21" t="n">
        <f aca="false">SUMIFS(Standalone!$T:$T,Standalone!$A:$A,"FileStore",Standalone!$B:$B,"",Standalone!$C:$C,64)</f>
        <v>86</v>
      </c>
      <c r="D19" s="21" t="n">
        <f aca="false">SUMIFS(Standalone!$T:$T,Standalone!$A:$A,"FileStore",Standalone!$B:$B,"",Standalone!$C:$C,256)</f>
        <v>22</v>
      </c>
      <c r="E19" s="21" t="n">
        <f aca="false">SUMIFS(Standalone!$T:$T,Standalone!$A:$A,"FileStore",Standalone!$B:$B,"",Standalone!$C:$C,1024)</f>
        <v>6</v>
      </c>
      <c r="F19" s="21" t="n">
        <f aca="false">SUMIFS(Standalone!$T:$T,Standalone!$A:$A,"FileStore",Standalone!$B:$B,"",Standalone!$C:$C,4096)</f>
        <v>2</v>
      </c>
    </row>
    <row r="20" customFormat="false" ht="15" hidden="false" customHeight="false" outlineLevel="0" collapsed="false">
      <c r="A20" s="18" t="s">
        <v>90</v>
      </c>
      <c r="B20" s="21" t="n">
        <f aca="false">SUMIFS(Standalone!$T:$T,Standalone!$A:$A,"CompressedStore",Standalone!$B:$B,"",Standalone!$C:$C,16)</f>
        <v>342</v>
      </c>
      <c r="C20" s="21" t="n">
        <f aca="false">SUMIFS(Standalone!$T:$T,Standalone!$A:$A,"CompressedStore",Standalone!$B:$B,"",Standalone!$C:$C,64)</f>
        <v>86</v>
      </c>
      <c r="D20" s="21" t="n">
        <f aca="false">SUMIFS(Standalone!$T:$T,Standalone!$A:$A,"CompressedStore",Standalone!$B:$B,"",Standalone!$C:$C,256)</f>
        <v>22</v>
      </c>
      <c r="E20" s="21" t="n">
        <f aca="false">SUMIFS(Standalone!$T:$T,Standalone!$A:$A,"CompressedStore",Standalone!$B:$B,"",Standalone!$C:$C,1024)</f>
        <v>6</v>
      </c>
      <c r="F20" s="21" t="n">
        <f aca="false">SUMIFS(Standalone!$T:$T,Standalone!$A:$A,"CompressedStore",Standalone!$B:$B,"",Standalone!$C:$C,4096)</f>
        <v>2</v>
      </c>
    </row>
    <row r="21" customFormat="false" ht="15" hidden="false" customHeight="false" outlineLevel="0" collapsed="false">
      <c r="A21" s="18" t="s">
        <v>129</v>
      </c>
      <c r="B21" s="21" t="n">
        <f aca="false">SUMIFS(Standalone!$T:$T,Standalone!$A:$A,"LossyStore",Standalone!$B:$B,"",Standalone!$C:$C,16)</f>
        <v>342</v>
      </c>
      <c r="C21" s="21" t="n">
        <f aca="false">SUMIFS(Standalone!$T:$T,Standalone!$A:$A,"LossyStore",Standalone!$B:$B,"",Standalone!$C:$C,64)</f>
        <v>86</v>
      </c>
      <c r="D21" s="21" t="n">
        <f aca="false">SUMIFS(Standalone!$T:$T,Standalone!$A:$A,"LossyStore",Standalone!$B:$B,"",Standalone!$C:$C,256)</f>
        <v>22</v>
      </c>
      <c r="E21" s="21" t="n">
        <f aca="false">SUMIFS(Standalone!$T:$T,Standalone!$A:$A,"LossyStore",Standalone!$B:$B,"",Standalone!$C:$C,1024)</f>
        <v>6</v>
      </c>
      <c r="F21" s="21" t="n">
        <f aca="false">SUMIFS(Standalone!$T:$T,Standalone!$A:$A,"LossyStore",Standalone!$B:$B,"",Standalone!$C:$C,4096)</f>
        <v>2</v>
      </c>
    </row>
    <row r="22" customFormat="false" ht="15" hidden="false" customHeight="false" outlineLevel="0" collapsed="false">
      <c r="A22" s="18" t="s">
        <v>130</v>
      </c>
      <c r="B22" s="21" t="n">
        <f aca="false">SUMIFS(Standalone!$T:$T,Standalone!$A:$A,"LossyStore",Standalone!$B:$B,0.1,Standalone!$C:$C,16)</f>
        <v>342</v>
      </c>
      <c r="C22" s="21" t="n">
        <f aca="false">SUMIFS(Standalone!$T:$T,Standalone!$A:$A,"LossyStore",Standalone!$B:$B,0.1,Standalone!$C:$C,64)</f>
        <v>86</v>
      </c>
      <c r="D22" s="21" t="n">
        <f aca="false">SUMIFS(Standalone!$T:$T,Standalone!$A:$A,"LossyStore",Standalone!$B:$B,0.1,Standalone!$C:$C,256)</f>
        <v>22</v>
      </c>
      <c r="E22" s="21" t="n">
        <f aca="false">SUMIFS(Standalone!$T:$T,Standalone!$A:$A,"LossyStore",Standalone!$B:$B,0.1,Standalone!$C:$C,1024)</f>
        <v>6</v>
      </c>
      <c r="F22" s="21" t="n">
        <f aca="false">SUMIFS(Standalone!$T:$T,Standalone!$A:$A,"LossyStore",Standalone!$B:$B,0.1,Standalone!$C:$C,4096)</f>
        <v>2</v>
      </c>
    </row>
    <row r="23" customFormat="false" ht="15" hidden="false" customHeight="false" outlineLevel="0" collapsed="false">
      <c r="A23" s="18" t="s">
        <v>131</v>
      </c>
      <c r="B23" s="21" t="n">
        <f aca="false">SUMIFS(Standalone!$T:$T,Standalone!$A:$A,"LossyStore",Standalone!$B:$B,1,Standalone!$C:$C,16)</f>
        <v>342</v>
      </c>
      <c r="C23" s="21" t="n">
        <f aca="false">SUMIFS(Standalone!$T:$T,Standalone!$A:$A,"LossyStore",Standalone!$B:$B,1,Standalone!$C:$C,64)</f>
        <v>86</v>
      </c>
      <c r="D23" s="21" t="n">
        <f aca="false">SUMIFS(Standalone!$T:$T,Standalone!$A:$A,"LossyStore",Standalone!$B:$B,1,Standalone!$C:$C,256)</f>
        <v>22</v>
      </c>
      <c r="E23" s="21" t="n">
        <f aca="false">SUMIFS(Standalone!$T:$T,Standalone!$A:$A,"LossyStore",Standalone!$B:$B,1,Standalone!$C:$C,1024)</f>
        <v>6</v>
      </c>
      <c r="F23" s="21" t="n">
        <f aca="false">SUMIFS(Standalone!$T:$T,Standalone!$A:$A,"LossyStore",Standalone!$B:$B,1,Standalone!$C:$C,4096)</f>
        <v>2</v>
      </c>
    </row>
    <row r="24" customFormat="false" ht="15" hidden="false" customHeight="false" outlineLevel="0" collapsed="false">
      <c r="A24" s="18" t="s">
        <v>132</v>
      </c>
      <c r="B24" s="21" t="n">
        <f aca="false">SUMIFS(Standalone!$T:$T,Standalone!$A:$A,"LossyStore",Standalone!$B:$B,5,Standalone!$C:$C,16)</f>
        <v>342</v>
      </c>
      <c r="C24" s="21" t="n">
        <f aca="false">SUMIFS(Standalone!$T:$T,Standalone!$A:$A,"LossyStore",Standalone!$B:$B,5,Standalone!$C:$C,64)</f>
        <v>86</v>
      </c>
      <c r="D24" s="21" t="n">
        <f aca="false">SUMIFS(Standalone!$T:$T,Standalone!$A:$A,"LossyStore",Standalone!$B:$B,5,Standalone!$C:$C,256)</f>
        <v>22</v>
      </c>
      <c r="E24" s="21" t="n">
        <f aca="false">SUMIFS(Standalone!$T:$T,Standalone!$A:$A,"LossyStore",Standalone!$B:$B,5,Standalone!$C:$C,1024)</f>
        <v>6</v>
      </c>
      <c r="F24" s="21" t="n">
        <f aca="false">SUMIFS(Standalone!$T:$T,Standalone!$A:$A,"LossyStore",Standalone!$B:$B,5,Standalone!$C:$C,4096)</f>
        <v>2</v>
      </c>
    </row>
    <row r="26" customFormat="false" ht="15" hidden="false" customHeight="false" outlineLevel="0" collapsed="false">
      <c r="A26" s="15" t="s">
        <v>156</v>
      </c>
      <c r="B26" s="16"/>
      <c r="C26" s="16"/>
      <c r="D26" s="16"/>
      <c r="E26" s="16"/>
      <c r="F26" s="16"/>
    </row>
    <row r="27" customFormat="false" ht="15" hidden="false" customHeight="false" outlineLevel="0" collapsed="false">
      <c r="A27" s="17" t="s">
        <v>123</v>
      </c>
      <c r="B27" s="17" t="s">
        <v>124</v>
      </c>
      <c r="C27" s="17" t="s">
        <v>125</v>
      </c>
      <c r="D27" s="17" t="s">
        <v>126</v>
      </c>
      <c r="E27" s="17" t="s">
        <v>127</v>
      </c>
      <c r="F27" s="17" t="s">
        <v>128</v>
      </c>
    </row>
    <row r="28" customFormat="false" ht="15" hidden="false" customHeight="false" outlineLevel="0" collapsed="false">
      <c r="A28" s="18" t="s">
        <v>69</v>
      </c>
      <c r="B28" s="22" t="n">
        <f aca="false">SUMIFS(Standalone!$L:$L,Standalone!$A:$A,"MemoryStore",Standalone!$B:$B,"",Standalone!$C:$C,16)</f>
        <v>0.6759</v>
      </c>
      <c r="C28" s="22" t="n">
        <f aca="false">SUMIFS(Standalone!$L:$L,Standalone!$A:$A,"MemoryStore",Standalone!$B:$B,"",Standalone!$C:$C,64)</f>
        <v>0.6934</v>
      </c>
      <c r="D28" s="22" t="n">
        <f aca="false">SUMIFS(Standalone!$L:$L,Standalone!$A:$A,"MemoryStore",Standalone!$B:$B,"",Standalone!$C:$C,256)</f>
        <v>0.7453</v>
      </c>
      <c r="E28" s="22" t="n">
        <f aca="false">SUMIFS(Standalone!$L:$L,Standalone!$A:$A,"MemoryStore",Standalone!$B:$B,"",Standalone!$C:$C,1024)</f>
        <v>0.653</v>
      </c>
      <c r="F28" s="22" t="n">
        <f aca="false">SUMIFS(Standalone!$L:$L,Standalone!$A:$A,"MemoryStore",Standalone!$B:$B,"",Standalone!$C:$C,4096)</f>
        <v>0.6585</v>
      </c>
    </row>
    <row r="29" customFormat="false" ht="15" hidden="false" customHeight="false" outlineLevel="0" collapsed="false">
      <c r="A29" s="18" t="s">
        <v>93</v>
      </c>
      <c r="B29" s="22" t="n">
        <f aca="false">SUMIFS(Standalone!$L:$L,Standalone!$A:$A,"FileStore",Standalone!$B:$B,"",Standalone!$C:$C,16)</f>
        <v>0.6804</v>
      </c>
      <c r="C29" s="22" t="n">
        <f aca="false">SUMIFS(Standalone!$L:$L,Standalone!$A:$A,"FileStore",Standalone!$B:$B,"",Standalone!$C:$C,64)</f>
        <v>0.6688</v>
      </c>
      <c r="D29" s="22" t="n">
        <f aca="false">SUMIFS(Standalone!$L:$L,Standalone!$A:$A,"FileStore",Standalone!$B:$B,"",Standalone!$C:$C,256)</f>
        <v>0.7324</v>
      </c>
      <c r="E29" s="22" t="n">
        <f aca="false">SUMIFS(Standalone!$L:$L,Standalone!$A:$A,"FileStore",Standalone!$B:$B,"",Standalone!$C:$C,1024)</f>
        <v>0.6875</v>
      </c>
      <c r="F29" s="22" t="n">
        <f aca="false">SUMIFS(Standalone!$L:$L,Standalone!$A:$A,"FileStore",Standalone!$B:$B,"",Standalone!$C:$C,4096)</f>
        <v>0.6623</v>
      </c>
    </row>
    <row r="30" customFormat="false" ht="15" hidden="false" customHeight="false" outlineLevel="0" collapsed="false">
      <c r="A30" s="18" t="s">
        <v>90</v>
      </c>
      <c r="B30" s="22" t="n">
        <f aca="false">SUMIFS(Standalone!$L:$L,Standalone!$A:$A,"CompressedStore",Standalone!$B:$B,"",Standalone!$C:$C,16)</f>
        <v>0.7031</v>
      </c>
      <c r="C30" s="22" t="n">
        <f aca="false">SUMIFS(Standalone!$L:$L,Standalone!$A:$A,"CompressedStore",Standalone!$B:$B,"",Standalone!$C:$C,64)</f>
        <v>0.7695</v>
      </c>
      <c r="D30" s="22" t="n">
        <f aca="false">SUMIFS(Standalone!$L:$L,Standalone!$A:$A,"CompressedStore",Standalone!$B:$B,"",Standalone!$C:$C,256)</f>
        <v>0.6936</v>
      </c>
      <c r="E30" s="22" t="n">
        <f aca="false">SUMIFS(Standalone!$L:$L,Standalone!$A:$A,"CompressedStore",Standalone!$B:$B,"",Standalone!$C:$C,1024)</f>
        <v>0.6715</v>
      </c>
      <c r="F30" s="22" t="n">
        <f aca="false">SUMIFS(Standalone!$L:$L,Standalone!$A:$A,"CompressedStore",Standalone!$B:$B,"",Standalone!$C:$C,4096)</f>
        <v>0.6797</v>
      </c>
    </row>
    <row r="31" customFormat="false" ht="15" hidden="false" customHeight="false" outlineLevel="0" collapsed="false">
      <c r="A31" s="18" t="s">
        <v>129</v>
      </c>
      <c r="B31" s="22" t="n">
        <f aca="false">SUMIFS(Standalone!$L:$L,Standalone!$A:$A,"LossyStore",Standalone!$B:$B,"",Standalone!$C:$C,16)</f>
        <v>0.7157</v>
      </c>
      <c r="C31" s="22" t="n">
        <f aca="false">SUMIFS(Standalone!$L:$L,Standalone!$A:$A,"LossyStore",Standalone!$B:$B,"",Standalone!$C:$C,64)</f>
        <v>0.6977</v>
      </c>
      <c r="D31" s="22" t="n">
        <f aca="false">SUMIFS(Standalone!$L:$L,Standalone!$A:$A,"LossyStore",Standalone!$B:$B,"",Standalone!$C:$C,256)</f>
        <v>0.7072</v>
      </c>
      <c r="E31" s="22" t="n">
        <f aca="false">SUMIFS(Standalone!$L:$L,Standalone!$A:$A,"LossyStore",Standalone!$B:$B,"",Standalone!$C:$C,1024)</f>
        <v>0.6909</v>
      </c>
      <c r="F31" s="22" t="n">
        <f aca="false">SUMIFS(Standalone!$L:$L,Standalone!$A:$A,"LossyStore",Standalone!$B:$B,"",Standalone!$C:$C,4096)</f>
        <v>0.7017</v>
      </c>
    </row>
    <row r="32" customFormat="false" ht="15" hidden="false" customHeight="false" outlineLevel="0" collapsed="false">
      <c r="A32" s="18" t="s">
        <v>130</v>
      </c>
      <c r="B32" s="22" t="n">
        <f aca="false">SUMIFS(Standalone!$L:$L,Standalone!$A:$A,"LossyStore",Standalone!$B:$B,0.1,Standalone!$C:$C,16)</f>
        <v>0.7184</v>
      </c>
      <c r="C32" s="22" t="n">
        <f aca="false">SUMIFS(Standalone!$L:$L,Standalone!$A:$A,"LossyStore",Standalone!$B:$B,0.1,Standalone!$C:$C,64)</f>
        <v>0.7177</v>
      </c>
      <c r="D32" s="22" t="n">
        <f aca="false">SUMIFS(Standalone!$L:$L,Standalone!$A:$A,"LossyStore",Standalone!$B:$B,0.1,Standalone!$C:$C,256)</f>
        <v>0.7142</v>
      </c>
      <c r="E32" s="22" t="n">
        <f aca="false">SUMIFS(Standalone!$L:$L,Standalone!$A:$A,"LossyStore",Standalone!$B:$B,0.1,Standalone!$C:$C,1024)</f>
        <v>0.6916</v>
      </c>
      <c r="F32" s="22" t="n">
        <f aca="false">SUMIFS(Standalone!$L:$L,Standalone!$A:$A,"LossyStore",Standalone!$B:$B,0.1,Standalone!$C:$C,4096)</f>
        <v>0.6805</v>
      </c>
    </row>
    <row r="33" customFormat="false" ht="15" hidden="false" customHeight="false" outlineLevel="0" collapsed="false">
      <c r="A33" s="18" t="s">
        <v>131</v>
      </c>
      <c r="B33" s="22" t="n">
        <f aca="false">SUMIFS(Standalone!$L:$L,Standalone!$A:$A,"LossyStore",Standalone!$B:$B,1,Standalone!$C:$C,16)</f>
        <v>0.695</v>
      </c>
      <c r="C33" s="22" t="n">
        <f aca="false">SUMIFS(Standalone!$L:$L,Standalone!$A:$A,"LossyStore",Standalone!$B:$B,1,Standalone!$C:$C,64)</f>
        <v>0.6953</v>
      </c>
      <c r="D33" s="22" t="n">
        <f aca="false">SUMIFS(Standalone!$L:$L,Standalone!$A:$A,"LossyStore",Standalone!$B:$B,1,Standalone!$C:$C,256)</f>
        <v>0.717</v>
      </c>
      <c r="E33" s="22" t="n">
        <f aca="false">SUMIFS(Standalone!$L:$L,Standalone!$A:$A,"LossyStore",Standalone!$B:$B,1,Standalone!$C:$C,1024)</f>
        <v>0.6803</v>
      </c>
      <c r="F33" s="22" t="n">
        <f aca="false">SUMIFS(Standalone!$L:$L,Standalone!$A:$A,"LossyStore",Standalone!$B:$B,1,Standalone!$C:$C,4096)</f>
        <v>0.6573</v>
      </c>
    </row>
    <row r="34" customFormat="false" ht="15" hidden="false" customHeight="false" outlineLevel="0" collapsed="false">
      <c r="A34" s="18" t="s">
        <v>132</v>
      </c>
      <c r="B34" s="22" t="n">
        <f aca="false">SUMIFS(Standalone!$L:$L,Standalone!$A:$A,"LossyStore",Standalone!$B:$B,5,Standalone!$C:$C,16)</f>
        <v>0.7438</v>
      </c>
      <c r="C34" s="22" t="n">
        <f aca="false">SUMIFS(Standalone!$L:$L,Standalone!$A:$A,"LossyStore",Standalone!$B:$B,5,Standalone!$C:$C,64)</f>
        <v>0.7093</v>
      </c>
      <c r="D34" s="22" t="n">
        <f aca="false">SUMIFS(Standalone!$L:$L,Standalone!$A:$A,"LossyStore",Standalone!$B:$B,5,Standalone!$C:$C,256)</f>
        <v>0.7075</v>
      </c>
      <c r="E34" s="22" t="n">
        <f aca="false">SUMIFS(Standalone!$L:$L,Standalone!$A:$A,"LossyStore",Standalone!$B:$B,5,Standalone!$C:$C,1024)</f>
        <v>0.6819</v>
      </c>
      <c r="F34" s="22" t="n">
        <f aca="false">SUMIFS(Standalone!$L:$L,Standalone!$A:$A,"LossyStore",Standalone!$B:$B,5,Standalone!$C:$C,4096)</f>
        <v>0.6817</v>
      </c>
    </row>
    <row r="37" customFormat="false" ht="15" hidden="false" customHeight="false" outlineLevel="0" collapsed="false">
      <c r="A37" s="15" t="s">
        <v>157</v>
      </c>
      <c r="B37" s="16"/>
      <c r="C37" s="16"/>
      <c r="D37" s="16"/>
      <c r="E37" s="16"/>
      <c r="F37" s="16"/>
    </row>
    <row r="38" customFormat="false" ht="15" hidden="false" customHeight="false" outlineLevel="0" collapsed="false">
      <c r="A38" s="14" t="s">
        <v>158</v>
      </c>
    </row>
    <row r="39" customFormat="false" ht="15" hidden="false" customHeight="false" outlineLevel="0" collapsed="false">
      <c r="A39" s="17" t="s">
        <v>123</v>
      </c>
      <c r="B39" s="17" t="s">
        <v>124</v>
      </c>
      <c r="C39" s="17" t="s">
        <v>125</v>
      </c>
      <c r="D39" s="17" t="s">
        <v>126</v>
      </c>
      <c r="E39" s="17" t="s">
        <v>127</v>
      </c>
      <c r="F39" s="17" t="s">
        <v>128</v>
      </c>
    </row>
    <row r="40" customFormat="false" ht="15" hidden="false" customHeight="false" outlineLevel="0" collapsed="false">
      <c r="A40" s="18" t="s">
        <v>69</v>
      </c>
      <c r="B40" s="22" t="n">
        <f aca="false">SUMIFS(Standalone!$M:$M,Standalone!$A:$A,"MemoryStore",Standalone!$B:$B,"",Standalone!$C:$C,16)</f>
        <v>0.4095</v>
      </c>
      <c r="C40" s="22" t="n">
        <f aca="false">SUMIFS(Standalone!$M:$M,Standalone!$A:$A,"MemoryStore",Standalone!$B:$B,"",Standalone!$C:$C,64)</f>
        <v>0.4331</v>
      </c>
      <c r="D40" s="22" t="n">
        <f aca="false">SUMIFS(Standalone!$M:$M,Standalone!$A:$A,"MemoryStore",Standalone!$B:$B,"",Standalone!$C:$C,256)</f>
        <v>0.4162</v>
      </c>
      <c r="E40" s="22" t="n">
        <f aca="false">SUMIFS(Standalone!$M:$M,Standalone!$A:$A,"MemoryStore",Standalone!$B:$B,"",Standalone!$C:$C,1024)</f>
        <v>0.4373</v>
      </c>
      <c r="F40" s="22" t="n">
        <f aca="false">SUMIFS(Standalone!$M:$M,Standalone!$A:$A,"MemoryStore",Standalone!$B:$B,"",Standalone!$C:$C,4096)</f>
        <v>0.427</v>
      </c>
    </row>
    <row r="41" customFormat="false" ht="15" hidden="false" customHeight="false" outlineLevel="0" collapsed="false">
      <c r="A41" s="18" t="s">
        <v>93</v>
      </c>
      <c r="B41" s="22" t="n">
        <f aca="false">SUMIFS(Standalone!$M:$M,Standalone!$A:$A,"FileStore",Standalone!$B:$B,"",Standalone!$C:$C,16)</f>
        <v>0.399</v>
      </c>
      <c r="C41" s="22" t="n">
        <f aca="false">SUMIFS(Standalone!$M:$M,Standalone!$A:$A,"FileStore",Standalone!$B:$B,"",Standalone!$C:$C,64)</f>
        <v>0.4381</v>
      </c>
      <c r="D41" s="22" t="n">
        <f aca="false">SUMIFS(Standalone!$M:$M,Standalone!$A:$A,"FileStore",Standalone!$B:$B,"",Standalone!$C:$C,256)</f>
        <v>0.431</v>
      </c>
      <c r="E41" s="22" t="n">
        <f aca="false">SUMIFS(Standalone!$M:$M,Standalone!$A:$A,"FileStore",Standalone!$B:$B,"",Standalone!$C:$C,1024)</f>
        <v>0.4065</v>
      </c>
      <c r="F41" s="22" t="n">
        <f aca="false">SUMIFS(Standalone!$M:$M,Standalone!$A:$A,"FileStore",Standalone!$B:$B,"",Standalone!$C:$C,4096)</f>
        <v>0.4198</v>
      </c>
    </row>
    <row r="42" customFormat="false" ht="15" hidden="false" customHeight="false" outlineLevel="0" collapsed="false">
      <c r="A42" s="18" t="s">
        <v>90</v>
      </c>
      <c r="B42" s="22" t="n">
        <f aca="false">SUMIFS(Standalone!$M:$M,Standalone!$A:$A,"CompressedStore",Standalone!$B:$B,"",Standalone!$C:$C,16)</f>
        <v>0.4097</v>
      </c>
      <c r="C42" s="22" t="n">
        <f aca="false">SUMIFS(Standalone!$M:$M,Standalone!$A:$A,"CompressedStore",Standalone!$B:$B,"",Standalone!$C:$C,64)</f>
        <v>0.4426</v>
      </c>
      <c r="D42" s="22" t="n">
        <f aca="false">SUMIFS(Standalone!$M:$M,Standalone!$A:$A,"CompressedStore",Standalone!$B:$B,"",Standalone!$C:$C,256)</f>
        <v>0.5869</v>
      </c>
      <c r="E42" s="22" t="n">
        <f aca="false">SUMIFS(Standalone!$M:$M,Standalone!$A:$A,"CompressedStore",Standalone!$B:$B,"",Standalone!$C:$C,1024)</f>
        <v>2.1232</v>
      </c>
      <c r="F42" s="22" t="n">
        <f aca="false">SUMIFS(Standalone!$M:$M,Standalone!$A:$A,"CompressedStore",Standalone!$B:$B,"",Standalone!$C:$C,4096)</f>
        <v>7.5978</v>
      </c>
    </row>
    <row r="43" customFormat="false" ht="15" hidden="false" customHeight="false" outlineLevel="0" collapsed="false">
      <c r="A43" s="18" t="s">
        <v>129</v>
      </c>
      <c r="B43" s="22" t="n">
        <f aca="false">SUMIFS(Standalone!$M:$M,Standalone!$A:$A,"LossyStore",Standalone!$B:$B,"",Standalone!$C:$C,16)</f>
        <v>0.4167</v>
      </c>
      <c r="C43" s="22" t="n">
        <f aca="false">SUMIFS(Standalone!$M:$M,Standalone!$A:$A,"LossyStore",Standalone!$B:$B,"",Standalone!$C:$C,64)</f>
        <v>0.4176</v>
      </c>
      <c r="D43" s="22" t="n">
        <f aca="false">SUMIFS(Standalone!$M:$M,Standalone!$A:$A,"LossyStore",Standalone!$B:$B,"",Standalone!$C:$C,256)</f>
        <v>0.7512</v>
      </c>
      <c r="E43" s="22" t="n">
        <f aca="false">SUMIFS(Standalone!$M:$M,Standalone!$A:$A,"LossyStore",Standalone!$B:$B,"",Standalone!$C:$C,1024)</f>
        <v>2.8006</v>
      </c>
      <c r="F43" s="22" t="n">
        <f aca="false">SUMIFS(Standalone!$M:$M,Standalone!$A:$A,"LossyStore",Standalone!$B:$B,"",Standalone!$C:$C,4096)</f>
        <v>10.9161</v>
      </c>
    </row>
    <row r="44" customFormat="false" ht="15" hidden="false" customHeight="false" outlineLevel="0" collapsed="false">
      <c r="A44" s="18" t="s">
        <v>130</v>
      </c>
      <c r="B44" s="22" t="n">
        <f aca="false">SUMIFS(Standalone!$M:$M,Standalone!$A:$A,"LossyStore",Standalone!$B:$B,0.1,Standalone!$C:$C,16)</f>
        <v>0.4371</v>
      </c>
      <c r="C44" s="22" t="n">
        <f aca="false">SUMIFS(Standalone!$M:$M,Standalone!$A:$A,"LossyStore",Standalone!$B:$B,0.1,Standalone!$C:$C,64)</f>
        <v>0.4269</v>
      </c>
      <c r="D44" s="22" t="n">
        <f aca="false">SUMIFS(Standalone!$M:$M,Standalone!$A:$A,"LossyStore",Standalone!$B:$B,0.1,Standalone!$C:$C,256)</f>
        <v>0.8139</v>
      </c>
      <c r="E44" s="22" t="n">
        <f aca="false">SUMIFS(Standalone!$M:$M,Standalone!$A:$A,"LossyStore",Standalone!$B:$B,0.1,Standalone!$C:$C,1024)</f>
        <v>2.7759</v>
      </c>
      <c r="F44" s="22" t="n">
        <f aca="false">SUMIFS(Standalone!$M:$M,Standalone!$A:$A,"LossyStore",Standalone!$B:$B,0.1,Standalone!$C:$C,4096)</f>
        <v>11.3982</v>
      </c>
    </row>
    <row r="45" customFormat="false" ht="15" hidden="false" customHeight="false" outlineLevel="0" collapsed="false">
      <c r="A45" s="18" t="s">
        <v>131</v>
      </c>
      <c r="B45" s="22" t="n">
        <f aca="false">SUMIFS(Standalone!$M:$M,Standalone!$A:$A,"LossyStore",Standalone!$B:$B,1,Standalone!$C:$C,16)</f>
        <v>0.4221</v>
      </c>
      <c r="C45" s="22" t="n">
        <f aca="false">SUMIFS(Standalone!$M:$M,Standalone!$A:$A,"LossyStore",Standalone!$B:$B,1,Standalone!$C:$C,64)</f>
        <v>0.426</v>
      </c>
      <c r="D45" s="22" t="n">
        <f aca="false">SUMIFS(Standalone!$M:$M,Standalone!$A:$A,"LossyStore",Standalone!$B:$B,1,Standalone!$C:$C,256)</f>
        <v>0.8083</v>
      </c>
      <c r="E45" s="22" t="n">
        <f aca="false">SUMIFS(Standalone!$M:$M,Standalone!$A:$A,"LossyStore",Standalone!$B:$B,1,Standalone!$C:$C,1024)</f>
        <v>2.8354</v>
      </c>
      <c r="F45" s="22" t="n">
        <f aca="false">SUMIFS(Standalone!$M:$M,Standalone!$A:$A,"LossyStore",Standalone!$B:$B,1,Standalone!$C:$C,4096)</f>
        <v>13.3751</v>
      </c>
    </row>
    <row r="46" customFormat="false" ht="15" hidden="false" customHeight="false" outlineLevel="0" collapsed="false">
      <c r="A46" s="18" t="s">
        <v>132</v>
      </c>
      <c r="B46" s="22" t="n">
        <f aca="false">SUMIFS(Standalone!$M:$M,Standalone!$A:$A,"LossyStore",Standalone!$B:$B,5,Standalone!$C:$C,16)</f>
        <v>0.4027</v>
      </c>
      <c r="C46" s="22" t="n">
        <f aca="false">SUMIFS(Standalone!$M:$M,Standalone!$A:$A,"LossyStore",Standalone!$B:$B,5,Standalone!$C:$C,64)</f>
        <v>0.4334</v>
      </c>
      <c r="D46" s="22" t="n">
        <f aca="false">SUMIFS(Standalone!$M:$M,Standalone!$A:$A,"LossyStore",Standalone!$B:$B,5,Standalone!$C:$C,256)</f>
        <v>0.8157</v>
      </c>
      <c r="E46" s="22" t="n">
        <f aca="false">SUMIFS(Standalone!$M:$M,Standalone!$A:$A,"LossyStore",Standalone!$B:$B,5,Standalone!$C:$C,1024)</f>
        <v>2.8947</v>
      </c>
      <c r="F46" s="22" t="n">
        <f aca="false">SUMIFS(Standalone!$M:$M,Standalone!$A:$A,"LossyStore",Standalone!$B:$B,5,Standalone!$C:$C,4096)</f>
        <v>11.3411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2026-10-01T10:07:09Z</dcterms:created>
  <dc:creator/>
  <dc:description/>
  <dc:language>en-US</dc:language>
  <cp:lastModifiedBy/>
  <dcterms:modified xsi:type="dcterms:W3CDTF">2026-10-01T10:07:09Z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